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shboard" sheetId="2" state="visible" r:id="rId4"/>
    <sheet name="Proposals" sheetId="3" state="visible" r:id="rId5"/>
    <sheet name="Quotations" sheetId="4" state="visible" r:id="rId6"/>
    <sheet name="Clients" sheetId="5" state="visible" r:id="rId7"/>
    <sheet name="Lists" sheetId="6" state="visible" r:id="rId8"/>
  </sheets>
  <definedNames>
    <definedName function="false" hidden="true" localSheetId="2" name="_xlnm._FilterDatabase" vbProcedure="false">Proposals!$A$5:$M$205</definedName>
    <definedName function="false" hidden="true" localSheetId="3" name="_xlnm._FilterDatabase" vbProcedure="false">Quotations!$A$5:$Q$205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<sst xmlns="http://schemas.openxmlformats.org/spreadsheetml/2006/main" count="182" uniqueCount="148">
  <si>
    <t xml:space="preserve">Knotica Solutions Inc: Document Register (Proposals and Quotations)</t>
  </si>
  <si>
    <t xml:space="preserve">Purpose</t>
  </si>
  <si>
    <t xml:space="preserve">Single source of truth for proposal (PROP-YYYY-###) and quotation (QUO-YYYY-###) IDs, their status, value and link to the repo folder in sales/pipeline/.</t>
  </si>
  <si>
    <t xml:space="preserve">Sheets</t>
  </si>
  <si>
    <t xml:space="preserve">Dashboard (summary, next IDs, checks) | Proposals | Quotations | Clients (client code register) | Lists (dropdown options).</t>
  </si>
  <si>
    <t xml:space="preserve">HOW TO ADD A PROPOSAL</t>
  </si>
  <si>
    <t xml:space="preserve">1</t>
  </si>
  <si>
    <t xml:space="preserve">Open Dashboard and copy the 'Next Proposal ID' value.</t>
  </si>
  <si>
    <t xml:space="preserve">2</t>
  </si>
  <si>
    <t xml:space="preserve">In Proposals, go to the first empty row, paste the ID as a value (Paste Special &gt; Values), then fill the blue cells.</t>
  </si>
  <si>
    <t xml:space="preserve">3</t>
  </si>
  <si>
    <t xml:space="preserve">Create the matching folder/files in the sales repo using the same ID, e.g. sales/pipeline/2026-northwind/PROP-2026-002-title.md.</t>
  </si>
  <si>
    <t xml:space="preserve">4</t>
  </si>
  <si>
    <t xml:space="preserve">Update Status as the proposal moves: Draft &gt; In Review &gt; Approved &gt; Sent &gt; Won or Lost.</t>
  </si>
  <si>
    <t xml:space="preserve">HOW TO ADD A QUOTATION</t>
  </si>
  <si>
    <t xml:space="preserve">Copy the 'Next Quotation ID' from the Dashboard and paste it as a value in the first empty row of Quotations.</t>
  </si>
  <si>
    <t xml:space="preserve">Choose the Related Proposal ID from the dropdown. Client name, tax amount and total calculate automatically.</t>
  </si>
  <si>
    <t xml:space="preserve">A revised quote is a NEW row with the same Related Proposal ID, Version + 1; set the old row to Superseded.</t>
  </si>
  <si>
    <t xml:space="preserve">WHEN A PROPOSAL IS WON</t>
  </si>
  <si>
    <t xml:space="preserve">Add the client to Clients (3 to 5 capital letters, never reused), then run setup/new-client.sh to create the cl-&lt;code&gt;-&lt;project&gt; repo. Enter the code on the proposal row.</t>
  </si>
  <si>
    <t xml:space="preserve">RULES</t>
  </si>
  <si>
    <t xml:space="preserve">Never delete a row</t>
  </si>
  <si>
    <t xml:space="preserve">Set Status to Void instead. The 'Next ID' formula counts existing IDs for the year, so deleting rows can create duplicates.</t>
  </si>
  <si>
    <t xml:space="preserve">IDs are permanent</t>
  </si>
  <si>
    <t xml:space="preserve">Do not edit an ID after it is issued. Duplicates are highlighted red and counted on the Dashboard.</t>
  </si>
  <si>
    <t xml:space="preserve">One editor at a time</t>
  </si>
  <si>
    <t xml:space="preserve">This is a binary file in Git: two people editing at once cause a conflict. Assign one register owner, or keep the live file in SharePoint / Google Drive and export a copy to the repo.</t>
  </si>
  <si>
    <t xml:space="preserve">COLOUR LEGEND</t>
  </si>
  <si>
    <t xml:space="preserve">Blue text</t>
  </si>
  <si>
    <t xml:space="preserve">Cell you type into.</t>
  </si>
  <si>
    <t xml:space="preserve">Black text on grey</t>
  </si>
  <si>
    <t xml:space="preserve">Formula. Do not overwrite.</t>
  </si>
  <si>
    <t xml:space="preserve">Yellow fill</t>
  </si>
  <si>
    <t xml:space="preserve">Formula you may overwrite (the reporting year on the Dashboard).</t>
  </si>
  <si>
    <t xml:space="preserve">Red highlight</t>
  </si>
  <si>
    <t xml:space="preserve">Problem: duplicate ID, missing proposal, or EXPIRED validity.</t>
  </si>
  <si>
    <t xml:space="preserve">ASSUMPTIONS</t>
  </si>
  <si>
    <t xml:space="preserve">Example rows</t>
  </si>
  <si>
    <t xml:space="preserve">Row 6 of Proposals, Quotations and Clients holds an example (Northwind Bank). Overwrite it with your first real entry; the ID 001 then stays consistent.</t>
  </si>
  <si>
    <t xml:space="preserve">Tax rate</t>
  </si>
  <si>
    <t xml:space="preserve">Entered per quotation. The 10% in the example is an illustration only, not a statement of any tax rule.</t>
  </si>
  <si>
    <t xml:space="preserve">Currency</t>
  </si>
  <si>
    <t xml:space="preserve">Dashboard totals add amounts without currency conversion. Use one currency per reporting view or filter by currency first.</t>
  </si>
  <si>
    <t xml:space="preserve">Next ID logic</t>
  </si>
  <si>
    <t xml:space="preserve">Count of IDs with the reporting-year prefix, plus 1. Reporting year defaults to the current calendar year (=YEAR(TODAY())) and can be overwritten.</t>
  </si>
  <si>
    <t xml:space="preserve">Validity flag</t>
  </si>
  <si>
    <t xml:space="preserve">EXPIRED appears when Status is Sent or Approved and Valid Until is earlier than today.</t>
  </si>
  <si>
    <t xml:space="preserve">Capacity</t>
  </si>
  <si>
    <t xml:space="preserve">Proposals and Quotations hold 200 rows; Clients holds 100. To extend, insert rows above the last row inside the range and copy the formulas down.</t>
  </si>
  <si>
    <t xml:space="preserve">Knotica Solutions Inc: Proposal and Quotation Dashboard</t>
  </si>
  <si>
    <t xml:space="preserve">Everything on this sheet is calculated from the Proposals, Quotations and Clients sheets.</t>
  </si>
  <si>
    <t xml:space="preserve">Settings and next IDs</t>
  </si>
  <si>
    <t xml:space="preserve">Reporting year (overwrite with a number to change)</t>
  </si>
  <si>
    <t xml:space="preserve">Next Proposal ID (copy into the Proposals sheet)</t>
  </si>
  <si>
    <t xml:space="preserve">Next Quotation ID (copy into the Quotations sheet)</t>
  </si>
  <si>
    <t xml:space="preserve">Integrity checks (all should be 0)</t>
  </si>
  <si>
    <t xml:space="preserve">Duplicate proposal IDs</t>
  </si>
  <si>
    <t xml:space="preserve">Duplicate quotation IDs</t>
  </si>
  <si>
    <t xml:space="preserve">Duplicate client codes</t>
  </si>
  <si>
    <t xml:space="preserve">Quotations pointing to a missing proposal</t>
  </si>
  <si>
    <t xml:space="preserve">Expired items still marked Sent or Approved</t>
  </si>
  <si>
    <t xml:space="preserve">Key figures for the reporting year</t>
  </si>
  <si>
    <t xml:space="preserve">Proposals raised</t>
  </si>
  <si>
    <t xml:space="preserve">Quotations issued</t>
  </si>
  <si>
    <t xml:space="preserve">Proposals won</t>
  </si>
  <si>
    <t xml:space="preserve">Proposals lost</t>
  </si>
  <si>
    <t xml:space="preserve">Win rate (won / (won + lost))</t>
  </si>
  <si>
    <t xml:space="preserve">Accepted quotation value</t>
  </si>
  <si>
    <t xml:space="preserve">Single currency assumed (no conversion)</t>
  </si>
  <si>
    <t xml:space="preserve">Open pipeline value (Approved + Sent)</t>
  </si>
  <si>
    <t xml:space="preserve">Proposals by status (reporting year)</t>
  </si>
  <si>
    <t xml:space="preserve">Status</t>
  </si>
  <si>
    <t xml:space="preserve">Count</t>
  </si>
  <si>
    <t xml:space="preserve">Quotation status</t>
  </si>
  <si>
    <t xml:space="preserve">Total value</t>
  </si>
  <si>
    <t xml:space="preserve">Total</t>
  </si>
  <si>
    <t xml:space="preserve">Knotica Solutions Inc: Proposal Register</t>
  </si>
  <si>
    <t xml:space="preserve">One row per proposal. IDs follow PROP-YYYY-###. Never delete rows: set Status to Void.</t>
  </si>
  <si>
    <t xml:space="preserve">Blue = type here   |   Black on grey = formula (do not edit)   |   Yellow = may be overridden</t>
  </si>
  <si>
    <t xml:space="preserve">Proposal ID</t>
  </si>
  <si>
    <t xml:space="preserve">Date Raised</t>
  </si>
  <si>
    <t xml:space="preserve">Prospect / Client Name</t>
  </si>
  <si>
    <t xml:space="preserve">Client Code</t>
  </si>
  <si>
    <t xml:space="preserve">Title / Scope</t>
  </si>
  <si>
    <t xml:space="preserve">Prepared By</t>
  </si>
  <si>
    <t xml:space="preserve">Valid Until</t>
  </si>
  <si>
    <t xml:space="preserve">Quotation Count</t>
  </si>
  <si>
    <t xml:space="preserve">Accepted Quotation Value</t>
  </si>
  <si>
    <t xml:space="preserve">Validity Flag</t>
  </si>
  <si>
    <t xml:space="preserve">Repo Path / Link</t>
  </si>
  <si>
    <t xml:space="preserve">Notes</t>
  </si>
  <si>
    <t xml:space="preserve">PROP-2026-001</t>
  </si>
  <si>
    <t xml:space="preserve">Northwind Bank</t>
  </si>
  <si>
    <t xml:space="preserve">NWB</t>
  </si>
  <si>
    <t xml:space="preserve">Core banking migration assessment</t>
  </si>
  <si>
    <t xml:space="preserve">Jane Doe</t>
  </si>
  <si>
    <t xml:space="preserve">Won</t>
  </si>
  <si>
    <t xml:space="preserve">sales/pipeline/2026-northwind/</t>
  </si>
  <si>
    <t xml:space="preserve">EXAMPLE ROW: overwrite with your first real entry</t>
  </si>
  <si>
    <t xml:space="preserve">Knotica Solutions Inc: Quotation Register</t>
  </si>
  <si>
    <t xml:space="preserve">One row per quotation version. IDs follow QUO-YYYY-###. Link each quotation to its proposal.</t>
  </si>
  <si>
    <t xml:space="preserve">Quotation ID</t>
  </si>
  <si>
    <t xml:space="preserve">Related Proposal ID</t>
  </si>
  <si>
    <t xml:space="preserve">Client / Prospect</t>
  </si>
  <si>
    <t xml:space="preserve">Version</t>
  </si>
  <si>
    <t xml:space="preserve">Date Issued</t>
  </si>
  <si>
    <t xml:space="preserve">Subtotal</t>
  </si>
  <si>
    <t xml:space="preserve">Tax Rate</t>
  </si>
  <si>
    <t xml:space="preserve">Tax Amount</t>
  </si>
  <si>
    <t xml:space="preserve">Approved By</t>
  </si>
  <si>
    <t xml:space="preserve">Date Approved</t>
  </si>
  <si>
    <t xml:space="preserve">QUO-2026-001</t>
  </si>
  <si>
    <t xml:space="preserve">USD</t>
  </si>
  <si>
    <t xml:space="preserve">Accepted</t>
  </si>
  <si>
    <t xml:space="preserve">EXAMPLE ROW: overwrite with your first real entry. Tax rate is an example value only.</t>
  </si>
  <si>
    <t xml:space="preserve">Knotica Solutions Inc: Client Code Register</t>
  </si>
  <si>
    <t xml:space="preserve">Client codes are 3 to 5 capital letters, unique, and never reused. Matches the cl-&lt;code&gt;-&lt;project&gt; repo names.</t>
  </si>
  <si>
    <t xml:space="preserve">Client Name</t>
  </si>
  <si>
    <t xml:space="preserve">Repo Name</t>
  </si>
  <si>
    <t xml:space="preserve">Account Owner</t>
  </si>
  <si>
    <t xml:space="preserve">Onboarded</t>
  </si>
  <si>
    <t xml:space="preserve">Proposals</t>
  </si>
  <si>
    <t xml:space="preserve">cl-nwb-core-migration</t>
  </si>
  <si>
    <t xml:space="preserve">Active</t>
  </si>
  <si>
    <t xml:space="preserve">EXAMPLE ROW: overwrite with your first real client</t>
  </si>
  <si>
    <t xml:space="preserve">Proposal Status</t>
  </si>
  <si>
    <t xml:space="preserve">Quotation Status</t>
  </si>
  <si>
    <t xml:space="preserve">Client Status</t>
  </si>
  <si>
    <t xml:space="preserve">Edit the lists above to change dropdown options. Keep the first row as the header.</t>
  </si>
  <si>
    <t xml:space="preserve">Draft</t>
  </si>
  <si>
    <t xml:space="preserve">PHP</t>
  </si>
  <si>
    <t xml:space="preserve">Prospect</t>
  </si>
  <si>
    <t xml:space="preserve">In Review</t>
  </si>
  <si>
    <t xml:space="preserve">Approved</t>
  </si>
  <si>
    <t xml:space="preserve">EUR</t>
  </si>
  <si>
    <t xml:space="preserve">Inactive</t>
  </si>
  <si>
    <t xml:space="preserve">Sent</t>
  </si>
  <si>
    <t xml:space="preserve">SGD</t>
  </si>
  <si>
    <t xml:space="preserve">Archived</t>
  </si>
  <si>
    <t xml:space="preserve">AUD</t>
  </si>
  <si>
    <t xml:space="preserve">Lost</t>
  </si>
  <si>
    <t xml:space="preserve">Rejected</t>
  </si>
  <si>
    <t xml:space="preserve">GBP</t>
  </si>
  <si>
    <t xml:space="preserve">Withdrawn</t>
  </si>
  <si>
    <t xml:space="preserve">Expired</t>
  </si>
  <si>
    <t xml:space="preserve">Other</t>
  </si>
  <si>
    <t xml:space="preserve">Void</t>
  </si>
  <si>
    <t xml:space="preserve">Superseded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</si>
</sst>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#,##0.00;\(#,##0.00\);\-"/>
    <numFmt numFmtId="168" formatCode="yyyy\-mm\-dd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E7E6E6"/>
        </patternFill>
      </fill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/>
      <c r="B5" s="3"/>
    </row>
    <row r="6" customFormat="false" ht="15" hidden="false" customHeight="false" outlineLevel="0" collapsed="false">
      <c r="A6" s="4" t="s">
        <v>5</v>
      </c>
      <c r="B6" s="5"/>
    </row>
    <row r="7" customFormat="false" ht="15" hidden="false" customHeight="false" outlineLevel="0" collapsed="false">
      <c r="A7" s="2" t="s">
        <v>6</v>
      </c>
      <c r="B7" s="3" t="s">
        <v>7</v>
      </c>
    </row>
    <row r="8" customFormat="false" ht="15" hidden="false" customHeight="false" outlineLevel="0" collapsed="false">
      <c r="A8" s="2" t="s">
        <v>8</v>
      </c>
      <c r="B8" s="3" t="s">
        <v>9</v>
      </c>
    </row>
    <row r="9" customFormat="false" ht="23.8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4" t="s">
        <v>14</v>
      </c>
      <c r="B11" s="5"/>
    </row>
    <row r="12" customFormat="false" ht="15" hidden="false" customHeight="false" outlineLevel="0" collapsed="false">
      <c r="A12" s="2" t="s">
        <v>6</v>
      </c>
      <c r="B12" s="3" t="s">
        <v>15</v>
      </c>
    </row>
    <row r="13" customFormat="false" ht="15" hidden="false" customHeight="false" outlineLevel="0" collapsed="false">
      <c r="A13" s="2" t="s">
        <v>8</v>
      </c>
      <c r="B13" s="3" t="s">
        <v>16</v>
      </c>
    </row>
    <row r="14" customFormat="false" ht="15" hidden="false" customHeight="false" outlineLevel="0" collapsed="false">
      <c r="A14" s="2" t="s">
        <v>10</v>
      </c>
      <c r="B14" s="3" t="s">
        <v>17</v>
      </c>
    </row>
    <row r="15" customFormat="false" ht="23.85" hidden="false" customHeight="false" outlineLevel="0" collapsed="false">
      <c r="A15" s="2" t="s">
        <v>18</v>
      </c>
      <c r="B15" s="3" t="s">
        <v>19</v>
      </c>
    </row>
    <row r="16" customFormat="false" ht="15" hidden="false" customHeight="false" outlineLevel="0" collapsed="false">
      <c r="A16" s="2"/>
      <c r="B16" s="3"/>
    </row>
    <row r="17" customFormat="false" ht="15" hidden="false" customHeight="false" outlineLevel="0" collapsed="false">
      <c r="A17" s="4" t="s">
        <v>20</v>
      </c>
      <c r="B17" s="5"/>
    </row>
    <row r="18" customFormat="false" ht="15" hidden="false" customHeight="false" outlineLevel="0" collapsed="false">
      <c r="A18" s="2" t="s">
        <v>21</v>
      </c>
      <c r="B18" s="3" t="s">
        <v>22</v>
      </c>
    </row>
    <row r="19" customFormat="false" ht="15" hidden="false" customHeight="false" outlineLevel="0" collapsed="false">
      <c r="A19" s="2" t="s">
        <v>23</v>
      </c>
      <c r="B19" s="3" t="s">
        <v>24</v>
      </c>
    </row>
    <row r="20" customFormat="false" ht="23.85" hidden="false" customHeight="false" outlineLevel="0" collapsed="false">
      <c r="A20" s="2" t="s">
        <v>25</v>
      </c>
      <c r="B20" s="3" t="s">
        <v>26</v>
      </c>
    </row>
    <row r="21" customFormat="false" ht="15" hidden="false" customHeight="false" outlineLevel="0" collapsed="false">
      <c r="A21" s="2"/>
      <c r="B21" s="3"/>
    </row>
    <row r="22" customFormat="false" ht="15" hidden="false" customHeight="false" outlineLevel="0" collapsed="false">
      <c r="A22" s="4" t="s">
        <v>27</v>
      </c>
      <c r="B22" s="5"/>
    </row>
    <row r="23" customFormat="false" ht="15" hidden="false" customHeight="false" outlineLevel="0" collapsed="false">
      <c r="A23" s="2" t="s">
        <v>28</v>
      </c>
      <c r="B23" s="3" t="s">
        <v>29</v>
      </c>
    </row>
    <row r="24" customFormat="false" ht="15" hidden="false" customHeight="false" outlineLevel="0" collapsed="false">
      <c r="A24" s="2" t="s">
        <v>30</v>
      </c>
      <c r="B24" s="3" t="s">
        <v>31</v>
      </c>
    </row>
    <row r="25" customFormat="false" ht="15" hidden="false" customHeight="false" outlineLevel="0" collapsed="false">
      <c r="A25" s="2" t="s">
        <v>32</v>
      </c>
      <c r="B25" s="3" t="s">
        <v>33</v>
      </c>
    </row>
    <row r="26" customFormat="false" ht="15" hidden="false" customHeight="false" outlineLevel="0" collapsed="false">
      <c r="A26" s="2" t="s">
        <v>34</v>
      </c>
      <c r="B26" s="3" t="s">
        <v>35</v>
      </c>
    </row>
    <row r="27" customFormat="false" ht="15" hidden="false" customHeight="false" outlineLevel="0" collapsed="false">
      <c r="A27" s="2"/>
      <c r="B27" s="3"/>
    </row>
    <row r="28" customFormat="false" ht="15" hidden="false" customHeight="false" outlineLevel="0" collapsed="false">
      <c r="A28" s="4" t="s">
        <v>36</v>
      </c>
      <c r="B28" s="5"/>
    </row>
    <row r="29" customFormat="false" ht="23.85" hidden="false" customHeight="false" outlineLevel="0" collapsed="false">
      <c r="A29" s="2" t="s">
        <v>37</v>
      </c>
      <c r="B29" s="3" t="s">
        <v>38</v>
      </c>
    </row>
    <row r="30" customFormat="false" ht="15" hidden="false" customHeight="false" outlineLevel="0" collapsed="false">
      <c r="A30" s="2" t="s">
        <v>39</v>
      </c>
      <c r="B30" s="3" t="s">
        <v>40</v>
      </c>
    </row>
    <row r="31" customFormat="false" ht="15" hidden="false" customHeight="false" outlineLevel="0" collapsed="false">
      <c r="A31" s="2" t="s">
        <v>41</v>
      </c>
      <c r="B31" s="3" t="s">
        <v>42</v>
      </c>
    </row>
    <row r="32" customFormat="false" ht="23.85" hidden="false" customHeight="false" outlineLevel="0" collapsed="false">
      <c r="A32" s="2" t="s">
        <v>43</v>
      </c>
      <c r="B32" s="3" t="s">
        <v>44</v>
      </c>
    </row>
    <row r="33" customFormat="false" ht="15" hidden="false" customHeight="false" outlineLevel="0" collapsed="false">
      <c r="A33" s="2" t="s">
        <v>45</v>
      </c>
      <c r="B33" s="3" t="s">
        <v>46</v>
      </c>
    </row>
    <row r="34" customFormat="false" ht="23.85" hidden="false" customHeight="false" outlineLevel="0" collapsed="false">
      <c r="A34" s="2" t="s">
        <v>47</v>
      </c>
      <c r="B34" s="3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6" t="s">
        <v>50</v>
      </c>
    </row>
    <row r="4" customFormat="false" ht="15" hidden="false" customHeight="false" outlineLevel="0" collapsed="false">
      <c r="A4" s="7" t="s">
        <v>51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9" t="s">
        <v>52</v>
      </c>
      <c r="B5" s="10" t="n">
        <f aca="true">YEAR(TODAY())</f>
        <v>2026</v>
      </c>
    </row>
    <row r="6" customFormat="false" ht="15" hidden="false" customHeight="false" outlineLevel="0" collapsed="false">
      <c r="A6" s="9" t="s">
        <v>53</v>
      </c>
      <c r="B6" s="11" t="str">
        <f aca="false">"PROP-"&amp;$B$5&amp;"-"&amp;TEXT(COUNTIF(Proposals!$A$6:$A$205,"PROP-"&amp;$B$5&amp;"-*")+1,"000")</f>
        <v>PROP-2026-002</v>
      </c>
    </row>
    <row r="7" customFormat="false" ht="15" hidden="false" customHeight="false" outlineLevel="0" collapsed="false">
      <c r="A7" s="9" t="s">
        <v>54</v>
      </c>
      <c r="B7" s="11" t="str">
        <f aca="false">"QUO-"&amp;$B$5&amp;"-"&amp;TEXT(COUNTIF(Quotations!$A$6:$A$205,"QUO-"&amp;$B$5&amp;"-*")+1,"000")</f>
        <v>QUO-2026-002</v>
      </c>
    </row>
    <row r="9" customFormat="false" ht="15" hidden="false" customHeight="false" outlineLevel="0" collapsed="false">
      <c r="A9" s="7" t="s">
        <v>55</v>
      </c>
      <c r="B9" s="8"/>
      <c r="C9" s="8"/>
      <c r="D9" s="8"/>
      <c r="E9" s="8"/>
      <c r="F9" s="8"/>
    </row>
    <row r="10" customFormat="false" ht="15" hidden="false" customHeight="false" outlineLevel="0" collapsed="false">
      <c r="A10" s="9" t="s">
        <v>56</v>
      </c>
      <c r="B10" s="12" t="n">
        <f aca="false">SUMPRODUCT((Proposals!$A$6:$A$205&lt;&gt;"")*(COUNTIF(Proposals!$A$6:$A$205,Proposals!$A$6:$A$205)&gt;1))</f>
        <v>0</v>
      </c>
      <c r="C10" s="13" t="str">
        <f aca="false">IF($B10=0,"OK","CHECK")</f>
        <v>OK</v>
      </c>
    </row>
    <row r="11" customFormat="false" ht="15" hidden="false" customHeight="false" outlineLevel="0" collapsed="false">
      <c r="A11" s="9" t="s">
        <v>57</v>
      </c>
      <c r="B11" s="12" t="n">
        <f aca="false">SUMPRODUCT((Quotations!$A$6:$A$205&lt;&gt;"")*(COUNTIF(Quotations!$A$6:$A$205,Quotations!$A$6:$A$205)&gt;1))</f>
        <v>0</v>
      </c>
      <c r="C11" s="13" t="str">
        <f aca="false">IF($B11=0,"OK","CHECK")</f>
        <v>OK</v>
      </c>
    </row>
    <row r="12" customFormat="false" ht="15" hidden="false" customHeight="false" outlineLevel="0" collapsed="false">
      <c r="A12" s="9" t="s">
        <v>58</v>
      </c>
      <c r="B12" s="12" t="n">
        <f aca="false">SUMPRODUCT((Clients!$A$6:$A$105&lt;&gt;"")*(COUNTIF(Clients!$A$6:$A$105,Clients!$A$6:$A$105)&gt;1))</f>
        <v>0</v>
      </c>
      <c r="C12" s="13" t="str">
        <f aca="false">IF($B12=0,"OK","CHECK")</f>
        <v>OK</v>
      </c>
    </row>
    <row r="13" customFormat="false" ht="15" hidden="false" customHeight="false" outlineLevel="0" collapsed="false">
      <c r="A13" s="9" t="s">
        <v>59</v>
      </c>
      <c r="B13" s="12" t="n">
        <f aca="false">SUMPRODUCT((Quotations!$B$6:$B$205&lt;&gt;"")*(COUNTIF(Proposals!$A$6:$A$205,Quotations!$B$6:$B$205)=0))</f>
        <v>0</v>
      </c>
      <c r="C13" s="13" t="str">
        <f aca="false">IF($B13=0,"OK","CHECK")</f>
        <v>OK</v>
      </c>
    </row>
    <row r="14" customFormat="false" ht="15" hidden="false" customHeight="false" outlineLevel="0" collapsed="false">
      <c r="A14" s="9" t="s">
        <v>60</v>
      </c>
      <c r="B14" s="12" t="n">
        <f aca="false">COUNTIF(Proposals!$K$6:$K$205,"EXPIRED")+COUNTIF(Quotations!$O$6:$O$205,"EXPIRED")</f>
        <v>0</v>
      </c>
      <c r="C14" s="13" t="str">
        <f aca="false">IF($B14=0,"OK","CHECK")</f>
        <v>OK</v>
      </c>
    </row>
    <row r="16" customFormat="false" ht="15" hidden="false" customHeight="false" outlineLevel="0" collapsed="false">
      <c r="A16" s="7" t="s">
        <v>61</v>
      </c>
      <c r="B16" s="8"/>
      <c r="C16" s="8"/>
      <c r="D16" s="8"/>
      <c r="E16" s="8"/>
      <c r="F16" s="8"/>
    </row>
    <row r="17" customFormat="false" ht="15" hidden="false" customHeight="false" outlineLevel="0" collapsed="false">
      <c r="A17" s="9" t="s">
        <v>62</v>
      </c>
      <c r="B17" s="12" t="n">
        <f aca="false">COUNTIF(Proposals!$A$6:$A$205,"PROP-"&amp;$B$5&amp;"-*")</f>
        <v>1</v>
      </c>
    </row>
    <row r="18" customFormat="false" ht="15" hidden="false" customHeight="false" outlineLevel="0" collapsed="false">
      <c r="A18" s="9" t="s">
        <v>63</v>
      </c>
      <c r="B18" s="12" t="n">
        <f aca="false">COUNTIF(Quotations!$A$6:$A$205,"QUO-"&amp;$B$5&amp;"-*")</f>
        <v>1</v>
      </c>
    </row>
    <row r="19" customFormat="false" ht="15" hidden="false" customHeight="false" outlineLevel="0" collapsed="false">
      <c r="A19" s="9" t="s">
        <v>64</v>
      </c>
      <c r="B19" s="12" t="n">
        <f aca="false">COUNTIFS(Proposals!$A$6:$A$205,"PROP-"&amp;$B$5&amp;"-*",Proposals!$G$6:$G$205,"Won")</f>
        <v>1</v>
      </c>
    </row>
    <row r="20" customFormat="false" ht="15" hidden="false" customHeight="false" outlineLevel="0" collapsed="false">
      <c r="A20" s="9" t="s">
        <v>65</v>
      </c>
      <c r="B20" s="12" t="n">
        <f aca="false">COUNTIFS(Proposals!$A$6:$A$205,"PROP-"&amp;$B$5&amp;"-*",Proposals!$G$6:$G$205,"Lost")</f>
        <v>0</v>
      </c>
    </row>
    <row r="21" customFormat="false" ht="15" hidden="false" customHeight="false" outlineLevel="0" collapsed="false">
      <c r="A21" s="9" t="s">
        <v>66</v>
      </c>
      <c r="B21" s="14" t="n">
        <f aca="false">IF($B$19+$B$20=0,"n/a",$B$19/($B$19+$B$20))</f>
        <v>1</v>
      </c>
    </row>
    <row r="22" customFormat="false" ht="15" hidden="false" customHeight="false" outlineLevel="0" collapsed="false">
      <c r="A22" s="9" t="s">
        <v>67</v>
      </c>
      <c r="B22" s="15" t="n">
        <f aca="false">SUMIFS(Quotations!$J$6:$J$205,Quotations!$A$6:$A$205,"QUO-"&amp;$B$5&amp;"-*",Quotations!$L$6:$L$205,"Accepted")</f>
        <v>52800</v>
      </c>
      <c r="C22" s="6" t="s">
        <v>68</v>
      </c>
    </row>
    <row r="23" customFormat="false" ht="15" hidden="false" customHeight="false" outlineLevel="0" collapsed="false">
      <c r="A23" s="9" t="s">
        <v>69</v>
      </c>
      <c r="B23" s="15" t="n">
        <f aca="false">SUMIFS(Quotations!$J$6:$J$205,Quotations!$A$6:$A$205,"QUO-"&amp;$B$5&amp;"-*",Quotations!$L$6:$L$205,"Approved")+SUMIFS(Quotations!$J$6:$J$205,Quotations!$A$6:$A$205,"QUO-"&amp;$B$5&amp;"-*",Quotations!$L$6:$L$205,"Sent")</f>
        <v>0</v>
      </c>
    </row>
    <row r="25" customFormat="false" ht="15" hidden="false" customHeight="false" outlineLevel="0" collapsed="false">
      <c r="A25" s="7" t="s">
        <v>70</v>
      </c>
      <c r="B25" s="8"/>
      <c r="C25" s="8"/>
      <c r="D25" s="8"/>
      <c r="E25" s="8"/>
      <c r="F25" s="8"/>
    </row>
    <row r="26" customFormat="false" ht="15" hidden="false" customHeight="false" outlineLevel="0" collapsed="false">
      <c r="A26" s="16" t="s">
        <v>71</v>
      </c>
      <c r="B26" s="16" t="s">
        <v>72</v>
      </c>
      <c r="D26" s="16" t="s">
        <v>73</v>
      </c>
      <c r="E26" s="16" t="s">
        <v>72</v>
      </c>
      <c r="F26" s="16" t="s">
        <v>74</v>
      </c>
    </row>
    <row r="27" customFormat="false" ht="15" hidden="false" customHeight="false" outlineLevel="0" collapsed="false">
      <c r="A27" s="17" t="str">
        <f aca="false">Lists!A2</f>
        <v>Draft</v>
      </c>
      <c r="B27" s="17" t="n">
        <f aca="false">COUNTIFS(Proposals!$A$6:$A$205,"PROP-"&amp;$B$5&amp;"-*",Proposals!$G$6:$G$205,$A27)</f>
        <v>0</v>
      </c>
      <c r="D27" s="17" t="str">
        <f aca="false">Lists!B2</f>
        <v>Draft</v>
      </c>
      <c r="E27" s="17" t="n">
        <f aca="false">COUNTIFS(Quotations!$A$6:$A$205,"QUO-"&amp;$B$5&amp;"-*",Quotations!$L$6:$L$205,$D27)</f>
        <v>0</v>
      </c>
      <c r="F27" s="18" t="n">
        <f aca="false">SUMIFS(Quotations!$J$6:$J$205,Quotations!$A$6:$A$205,"QUO-"&amp;$B$5&amp;"-*",Quotations!$L$6:$L$205,$D27)</f>
        <v>0</v>
      </c>
    </row>
    <row r="28" customFormat="false" ht="15" hidden="false" customHeight="false" outlineLevel="0" collapsed="false">
      <c r="A28" s="17" t="str">
        <f aca="false">Lists!A3</f>
        <v>In Review</v>
      </c>
      <c r="B28" s="17" t="n">
        <f aca="false">COUNTIFS(Proposals!$A$6:$A$205,"PROP-"&amp;$B$5&amp;"-*",Proposals!$G$6:$G$205,$A28)</f>
        <v>0</v>
      </c>
      <c r="D28" s="17" t="str">
        <f aca="false">Lists!B3</f>
        <v>In Review</v>
      </c>
      <c r="E28" s="17" t="n">
        <f aca="false">COUNTIFS(Quotations!$A$6:$A$205,"QUO-"&amp;$B$5&amp;"-*",Quotations!$L$6:$L$205,$D28)</f>
        <v>0</v>
      </c>
      <c r="F28" s="18" t="n">
        <f aca="false">SUMIFS(Quotations!$J$6:$J$205,Quotations!$A$6:$A$205,"QUO-"&amp;$B$5&amp;"-*",Quotations!$L$6:$L$205,$D28)</f>
        <v>0</v>
      </c>
    </row>
    <row r="29" customFormat="false" ht="15" hidden="false" customHeight="false" outlineLevel="0" collapsed="false">
      <c r="A29" s="17" t="str">
        <f aca="false">Lists!A4</f>
        <v>Approved</v>
      </c>
      <c r="B29" s="17" t="n">
        <f aca="false">COUNTIFS(Proposals!$A$6:$A$205,"PROP-"&amp;$B$5&amp;"-*",Proposals!$G$6:$G$205,$A29)</f>
        <v>0</v>
      </c>
      <c r="D29" s="17" t="str">
        <f aca="false">Lists!B4</f>
        <v>Approved</v>
      </c>
      <c r="E29" s="17" t="n">
        <f aca="false">COUNTIFS(Quotations!$A$6:$A$205,"QUO-"&amp;$B$5&amp;"-*",Quotations!$L$6:$L$205,$D29)</f>
        <v>0</v>
      </c>
      <c r="F29" s="18" t="n">
        <f aca="false">SUMIFS(Quotations!$J$6:$J$205,Quotations!$A$6:$A$205,"QUO-"&amp;$B$5&amp;"-*",Quotations!$L$6:$L$205,$D29)</f>
        <v>0</v>
      </c>
    </row>
    <row r="30" customFormat="false" ht="15" hidden="false" customHeight="false" outlineLevel="0" collapsed="false">
      <c r="A30" s="17" t="str">
        <f aca="false">Lists!A5</f>
        <v>Sent</v>
      </c>
      <c r="B30" s="17" t="n">
        <f aca="false">COUNTIFS(Proposals!$A$6:$A$205,"PROP-"&amp;$B$5&amp;"-*",Proposals!$G$6:$G$205,$A30)</f>
        <v>0</v>
      </c>
      <c r="D30" s="17" t="str">
        <f aca="false">Lists!B5</f>
        <v>Sent</v>
      </c>
      <c r="E30" s="17" t="n">
        <f aca="false">COUNTIFS(Quotations!$A$6:$A$205,"QUO-"&amp;$B$5&amp;"-*",Quotations!$L$6:$L$205,$D30)</f>
        <v>0</v>
      </c>
      <c r="F30" s="18" t="n">
        <f aca="false">SUMIFS(Quotations!$J$6:$J$205,Quotations!$A$6:$A$205,"QUO-"&amp;$B$5&amp;"-*",Quotations!$L$6:$L$205,$D30)</f>
        <v>0</v>
      </c>
    </row>
    <row r="31" customFormat="false" ht="15" hidden="false" customHeight="false" outlineLevel="0" collapsed="false">
      <c r="A31" s="17" t="str">
        <f aca="false">Lists!A6</f>
        <v>Won</v>
      </c>
      <c r="B31" s="17" t="n">
        <f aca="false">COUNTIFS(Proposals!$A$6:$A$205,"PROP-"&amp;$B$5&amp;"-*",Proposals!$G$6:$G$205,$A31)</f>
        <v>1</v>
      </c>
      <c r="D31" s="17" t="str">
        <f aca="false">Lists!B6</f>
        <v>Accepted</v>
      </c>
      <c r="E31" s="17" t="n">
        <f aca="false">COUNTIFS(Quotations!$A$6:$A$205,"QUO-"&amp;$B$5&amp;"-*",Quotations!$L$6:$L$205,$D31)</f>
        <v>1</v>
      </c>
      <c r="F31" s="18" t="n">
        <f aca="false">SUMIFS(Quotations!$J$6:$J$205,Quotations!$A$6:$A$205,"QUO-"&amp;$B$5&amp;"-*",Quotations!$L$6:$L$205,$D31)</f>
        <v>52800</v>
      </c>
    </row>
    <row r="32" customFormat="false" ht="15" hidden="false" customHeight="false" outlineLevel="0" collapsed="false">
      <c r="A32" s="17" t="str">
        <f aca="false">Lists!A7</f>
        <v>Lost</v>
      </c>
      <c r="B32" s="17" t="n">
        <f aca="false">COUNTIFS(Proposals!$A$6:$A$205,"PROP-"&amp;$B$5&amp;"-*",Proposals!$G$6:$G$205,$A32)</f>
        <v>0</v>
      </c>
      <c r="D32" s="17" t="str">
        <f aca="false">Lists!B7</f>
        <v>Rejected</v>
      </c>
      <c r="E32" s="17" t="n">
        <f aca="false">COUNTIFS(Quotations!$A$6:$A$205,"QUO-"&amp;$B$5&amp;"-*",Quotations!$L$6:$L$205,$D32)</f>
        <v>0</v>
      </c>
      <c r="F32" s="18" t="n">
        <f aca="false">SUMIFS(Quotations!$J$6:$J$205,Quotations!$A$6:$A$205,"QUO-"&amp;$B$5&amp;"-*",Quotations!$L$6:$L$205,$D32)</f>
        <v>0</v>
      </c>
    </row>
    <row r="33" customFormat="false" ht="15" hidden="false" customHeight="false" outlineLevel="0" collapsed="false">
      <c r="A33" s="17" t="str">
        <f aca="false">Lists!A8</f>
        <v>Withdrawn</v>
      </c>
      <c r="B33" s="17" t="n">
        <f aca="false">COUNTIFS(Proposals!$A$6:$A$205,"PROP-"&amp;$B$5&amp;"-*",Proposals!$G$6:$G$205,$A33)</f>
        <v>0</v>
      </c>
      <c r="D33" s="17" t="str">
        <f aca="false">Lists!B8</f>
        <v>Expired</v>
      </c>
      <c r="E33" s="17" t="n">
        <f aca="false">COUNTIFS(Quotations!$A$6:$A$205,"QUO-"&amp;$B$5&amp;"-*",Quotations!$L$6:$L$205,$D33)</f>
        <v>0</v>
      </c>
      <c r="F33" s="18" t="n">
        <f aca="false">SUMIFS(Quotations!$J$6:$J$205,Quotations!$A$6:$A$205,"QUO-"&amp;$B$5&amp;"-*",Quotations!$L$6:$L$205,$D33)</f>
        <v>0</v>
      </c>
    </row>
    <row r="34" customFormat="false" ht="15" hidden="false" customHeight="false" outlineLevel="0" collapsed="false">
      <c r="A34" s="17" t="str">
        <f aca="false">Lists!A9</f>
        <v>Void</v>
      </c>
      <c r="B34" s="17" t="n">
        <f aca="false">COUNTIFS(Proposals!$A$6:$A$205,"PROP-"&amp;$B$5&amp;"-*",Proposals!$G$6:$G$205,$A34)</f>
        <v>0</v>
      </c>
      <c r="D34" s="17" t="str">
        <f aca="false">Lists!B9</f>
        <v>Superseded</v>
      </c>
      <c r="E34" s="17" t="n">
        <f aca="false">COUNTIFS(Quotations!$A$6:$A$205,"QUO-"&amp;$B$5&amp;"-*",Quotations!$L$6:$L$205,$D34)</f>
        <v>0</v>
      </c>
      <c r="F34" s="18" t="n">
        <f aca="false">SUMIFS(Quotations!$J$6:$J$205,Quotations!$A$6:$A$205,"QUO-"&amp;$B$5&amp;"-*",Quotations!$L$6:$L$205,$D34)</f>
        <v>0</v>
      </c>
    </row>
    <row r="35" customFormat="false" ht="15" hidden="false" customHeight="false" outlineLevel="0" collapsed="false">
      <c r="D35" s="17" t="str">
        <f aca="false">Lists!B10</f>
        <v>Void</v>
      </c>
      <c r="E35" s="17" t="n">
        <f aca="false">COUNTIFS(Quotations!$A$6:$A$205,"QUO-"&amp;$B$5&amp;"-*",Quotations!$L$6:$L$205,$D35)</f>
        <v>0</v>
      </c>
      <c r="F35" s="18" t="n">
        <f aca="false">SUMIFS(Quotations!$J$6:$J$205,Quotations!$A$6:$A$205,"QUO-"&amp;$B$5&amp;"-*",Quotations!$L$6:$L$205,$D35)</f>
        <v>0</v>
      </c>
    </row>
    <row r="36" customFormat="false" ht="15" hidden="false" customHeight="false" outlineLevel="0" collapsed="false">
      <c r="A36" s="19" t="s">
        <v>75</v>
      </c>
      <c r="B36" s="19" t="n">
        <f aca="false">SUM(B27:B34)</f>
        <v>1</v>
      </c>
      <c r="D36" s="19" t="s">
        <v>75</v>
      </c>
      <c r="E36" s="19" t="n">
        <f aca="false">SUM(E27:E35)</f>
        <v>1</v>
      </c>
      <c r="F36" s="20" t="n">
        <f aca="false">SUM(F27:F35)</f>
        <v>52800</v>
      </c>
    </row>
  </sheetData>
  <conditionalFormatting sqref="C10:C14">
    <cfRule type="expression" priority="2" aboveAverage="0" equalAverage="0" bottom="0" percent="0" rank="0" text="" dxfId="0">
      <formula>C10="CHECK"</formula>
    </cfRule>
    <cfRule type="expression" priority="3" aboveAverage="0" equalAverage="0" bottom="0" percent="0" rank="0" text="" dxfId="1">
      <formula>C10="OK"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34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6" t="s">
        <v>77</v>
      </c>
    </row>
    <row r="3" customFormat="false" ht="15" hidden="false" customHeight="false" outlineLevel="0" collapsed="false">
      <c r="A3" s="6" t="s">
        <v>78</v>
      </c>
    </row>
    <row r="5" customFormat="false" ht="31.5" hidden="false" customHeight="true" outlineLevel="0" collapsed="false">
      <c r="A5" s="21" t="s">
        <v>79</v>
      </c>
      <c r="B5" s="21" t="s">
        <v>80</v>
      </c>
      <c r="C5" s="21" t="s">
        <v>81</v>
      </c>
      <c r="D5" s="21" t="s">
        <v>82</v>
      </c>
      <c r="E5" s="21" t="s">
        <v>83</v>
      </c>
      <c r="F5" s="21" t="s">
        <v>84</v>
      </c>
      <c r="G5" s="21" t="s">
        <v>71</v>
      </c>
      <c r="H5" s="21" t="s">
        <v>85</v>
      </c>
      <c r="I5" s="21" t="s">
        <v>86</v>
      </c>
      <c r="J5" s="21" t="s">
        <v>87</v>
      </c>
      <c r="K5" s="21" t="s">
        <v>88</v>
      </c>
      <c r="L5" s="21" t="s">
        <v>89</v>
      </c>
      <c r="M5" s="21" t="s">
        <v>90</v>
      </c>
    </row>
    <row r="6" customFormat="false" ht="23.85" hidden="false" customHeight="false" outlineLevel="0" collapsed="false">
      <c r="A6" s="22" t="s">
        <v>91</v>
      </c>
      <c r="B6" s="23" t="n">
        <v>46213</v>
      </c>
      <c r="C6" s="24" t="s">
        <v>92</v>
      </c>
      <c r="D6" s="22" t="s">
        <v>93</v>
      </c>
      <c r="E6" s="24" t="s">
        <v>94</v>
      </c>
      <c r="F6" s="22" t="s">
        <v>95</v>
      </c>
      <c r="G6" s="22" t="s">
        <v>96</v>
      </c>
      <c r="H6" s="23" t="n">
        <v>46265</v>
      </c>
      <c r="I6" s="25" t="n">
        <f aca="false">IF($A6="","",COUNTIF(Quotations!$B$6:$B$205,$A6))</f>
        <v>1</v>
      </c>
      <c r="J6" s="26" t="n">
        <f aca="false">IF($A6="","",SUMIFS(Quotations!$J$6:$J$205,Quotations!$B$6:$B$205,$A6,Quotations!$L$6:$L$205,"Accepted"))</f>
        <v>52800</v>
      </c>
      <c r="K6" s="27" t="str">
        <f aca="true">IF($A6="","",IF(AND(OR($G6="Sent",$G6="Approved"),$H6&lt;&gt;"",$H6&lt;TODAY()),"EXPIRED",""))</f>
        <v/>
      </c>
      <c r="L6" s="24" t="s">
        <v>97</v>
      </c>
      <c r="M6" s="24" t="s">
        <v>98</v>
      </c>
    </row>
    <row r="7" customFormat="false" ht="15" hidden="false" customHeight="false" outlineLevel="0" collapsed="false">
      <c r="A7" s="22"/>
      <c r="B7" s="23"/>
      <c r="C7" s="24"/>
      <c r="D7" s="22"/>
      <c r="E7" s="24"/>
      <c r="F7" s="22"/>
      <c r="G7" s="22"/>
      <c r="H7" s="23"/>
      <c r="I7" s="25" t="str">
        <f aca="false">IF($A7="","",COUNTIF(Quotations!$B$6:$B$205,$A7))</f>
        <v/>
      </c>
      <c r="J7" s="26" t="str">
        <f aca="false">IF($A7="","",SUMIFS(Quotations!$J$6:$J$205,Quotations!$B$6:$B$205,$A7,Quotations!$L$6:$L$205,"Accepted"))</f>
        <v/>
      </c>
      <c r="K7" s="27" t="str">
        <f aca="true">IF($A7="","",IF(AND(OR($G7="Sent",$G7="Approved"),$H7&lt;&gt;"",$H7&lt;TODAY()),"EXPIRED",""))</f>
        <v/>
      </c>
      <c r="L7" s="24"/>
      <c r="M7" s="24"/>
    </row>
    <row r="8" customFormat="false" ht="15" hidden="false" customHeight="false" outlineLevel="0" collapsed="false">
      <c r="A8" s="22"/>
      <c r="B8" s="23"/>
      <c r="C8" s="24"/>
      <c r="D8" s="22"/>
      <c r="E8" s="24"/>
      <c r="F8" s="22"/>
      <c r="G8" s="22"/>
      <c r="H8" s="23"/>
      <c r="I8" s="25" t="str">
        <f aca="false">IF($A8="","",COUNTIF(Quotations!$B$6:$B$205,$A8))</f>
        <v/>
      </c>
      <c r="J8" s="26" t="str">
        <f aca="false">IF($A8="","",SUMIFS(Quotations!$J$6:$J$205,Quotations!$B$6:$B$205,$A8,Quotations!$L$6:$L$205,"Accepted"))</f>
        <v/>
      </c>
      <c r="K8" s="27" t="str">
        <f aca="true">IF($A8="","",IF(AND(OR($G8="Sent",$G8="Approved"),$H8&lt;&gt;"",$H8&lt;TODAY()),"EXPIRED",""))</f>
        <v/>
      </c>
      <c r="L8" s="24"/>
      <c r="M8" s="24"/>
    </row>
    <row r="9" customFormat="false" ht="15" hidden="false" customHeight="false" outlineLevel="0" collapsed="false">
      <c r="A9" s="22"/>
      <c r="B9" s="23"/>
      <c r="C9" s="24"/>
      <c r="D9" s="22"/>
      <c r="E9" s="24"/>
      <c r="F9" s="22"/>
      <c r="G9" s="22"/>
      <c r="H9" s="23"/>
      <c r="I9" s="25" t="str">
        <f aca="false">IF($A9="","",COUNTIF(Quotations!$B$6:$B$205,$A9))</f>
        <v/>
      </c>
      <c r="J9" s="26" t="str">
        <f aca="false">IF($A9="","",SUMIFS(Quotations!$J$6:$J$205,Quotations!$B$6:$B$205,$A9,Quotations!$L$6:$L$205,"Accepted"))</f>
        <v/>
      </c>
      <c r="K9" s="27" t="str">
        <f aca="true">IF($A9="","",IF(AND(OR($G9="Sent",$G9="Approved"),$H9&lt;&gt;"",$H9&lt;TODAY()),"EXPIRED",""))</f>
        <v/>
      </c>
      <c r="L9" s="24"/>
      <c r="M9" s="24"/>
    </row>
    <row r="10" customFormat="false" ht="15" hidden="false" customHeight="false" outlineLevel="0" collapsed="false">
      <c r="A10" s="22"/>
      <c r="B10" s="23"/>
      <c r="C10" s="24"/>
      <c r="D10" s="22"/>
      <c r="E10" s="24"/>
      <c r="F10" s="22"/>
      <c r="G10" s="22"/>
      <c r="H10" s="23"/>
      <c r="I10" s="25" t="str">
        <f aca="false">IF($A10="","",COUNTIF(Quotations!$B$6:$B$205,$A10))</f>
        <v/>
      </c>
      <c r="J10" s="26" t="str">
        <f aca="false">IF($A10="","",SUMIFS(Quotations!$J$6:$J$205,Quotations!$B$6:$B$205,$A10,Quotations!$L$6:$L$205,"Accepted"))</f>
        <v/>
      </c>
      <c r="K10" s="27" t="str">
        <f aca="true">IF($A10="","",IF(AND(OR($G10="Sent",$G10="Approved"),$H10&lt;&gt;"",$H10&lt;TODAY()),"EXPIRED",""))</f>
        <v/>
      </c>
      <c r="L10" s="24"/>
      <c r="M10" s="24"/>
    </row>
    <row r="11" customFormat="false" ht="15" hidden="false" customHeight="false" outlineLevel="0" collapsed="false">
      <c r="A11" s="22"/>
      <c r="B11" s="23"/>
      <c r="C11" s="24"/>
      <c r="D11" s="22"/>
      <c r="E11" s="24"/>
      <c r="F11" s="22"/>
      <c r="G11" s="22"/>
      <c r="H11" s="23"/>
      <c r="I11" s="25" t="str">
        <f aca="false">IF($A11="","",COUNTIF(Quotations!$B$6:$B$205,$A11))</f>
        <v/>
      </c>
      <c r="J11" s="26" t="str">
        <f aca="false">IF($A11="","",SUMIFS(Quotations!$J$6:$J$205,Quotations!$B$6:$B$205,$A11,Quotations!$L$6:$L$205,"Accepted"))</f>
        <v/>
      </c>
      <c r="K11" s="27" t="str">
        <f aca="true">IF($A11="","",IF(AND(OR($G11="Sent",$G11="Approved"),$H11&lt;&gt;"",$H11&lt;TODAY()),"EXPIRED",""))</f>
        <v/>
      </c>
      <c r="L11" s="24"/>
      <c r="M11" s="24"/>
    </row>
    <row r="12" customFormat="false" ht="15" hidden="false" customHeight="false" outlineLevel="0" collapsed="false">
      <c r="A12" s="22"/>
      <c r="B12" s="23"/>
      <c r="C12" s="24"/>
      <c r="D12" s="22"/>
      <c r="E12" s="24"/>
      <c r="F12" s="22"/>
      <c r="G12" s="22"/>
      <c r="H12" s="23"/>
      <c r="I12" s="25" t="str">
        <f aca="false">IF($A12="","",COUNTIF(Quotations!$B$6:$B$205,$A12))</f>
        <v/>
      </c>
      <c r="J12" s="26" t="str">
        <f aca="false">IF($A12="","",SUMIFS(Quotations!$J$6:$J$205,Quotations!$B$6:$B$205,$A12,Quotations!$L$6:$L$205,"Accepted"))</f>
        <v/>
      </c>
      <c r="K12" s="27" t="str">
        <f aca="true">IF($A12="","",IF(AND(OR($G12="Sent",$G12="Approved"),$H12&lt;&gt;"",$H12&lt;TODAY()),"EXPIRED",""))</f>
        <v/>
      </c>
      <c r="L12" s="24"/>
      <c r="M12" s="24"/>
    </row>
    <row r="13" customFormat="false" ht="15" hidden="false" customHeight="false" outlineLevel="0" collapsed="false">
      <c r="A13" s="22"/>
      <c r="B13" s="23"/>
      <c r="C13" s="24"/>
      <c r="D13" s="22"/>
      <c r="E13" s="24"/>
      <c r="F13" s="22"/>
      <c r="G13" s="22"/>
      <c r="H13" s="23"/>
      <c r="I13" s="25" t="str">
        <f aca="false">IF($A13="","",COUNTIF(Quotations!$B$6:$B$205,$A13))</f>
        <v/>
      </c>
      <c r="J13" s="26" t="str">
        <f aca="false">IF($A13="","",SUMIFS(Quotations!$J$6:$J$205,Quotations!$B$6:$B$205,$A13,Quotations!$L$6:$L$205,"Accepted"))</f>
        <v/>
      </c>
      <c r="K13" s="27" t="str">
        <f aca="true">IF($A13="","",IF(AND(OR($G13="Sent",$G13="Approved"),$H13&lt;&gt;"",$H13&lt;TODAY()),"EXPIRED",""))</f>
        <v/>
      </c>
      <c r="L13" s="24"/>
      <c r="M13" s="24"/>
    </row>
    <row r="14" customFormat="false" ht="15" hidden="false" customHeight="false" outlineLevel="0" collapsed="false">
      <c r="A14" s="22"/>
      <c r="B14" s="23"/>
      <c r="C14" s="24"/>
      <c r="D14" s="22"/>
      <c r="E14" s="24"/>
      <c r="F14" s="22"/>
      <c r="G14" s="22"/>
      <c r="H14" s="23"/>
      <c r="I14" s="25" t="str">
        <f aca="false">IF($A14="","",COUNTIF(Quotations!$B$6:$B$205,$A14))</f>
        <v/>
      </c>
      <c r="J14" s="26" t="str">
        <f aca="false">IF($A14="","",SUMIFS(Quotations!$J$6:$J$205,Quotations!$B$6:$B$205,$A14,Quotations!$L$6:$L$205,"Accepted"))</f>
        <v/>
      </c>
      <c r="K14" s="27" t="str">
        <f aca="true">IF($A14="","",IF(AND(OR($G14="Sent",$G14="Approved"),$H14&lt;&gt;"",$H14&lt;TODAY()),"EXPIRED",""))</f>
        <v/>
      </c>
      <c r="L14" s="24"/>
      <c r="M14" s="24"/>
    </row>
    <row r="15" customFormat="false" ht="15" hidden="false" customHeight="false" outlineLevel="0" collapsed="false">
      <c r="A15" s="22"/>
      <c r="B15" s="23"/>
      <c r="C15" s="24"/>
      <c r="D15" s="22"/>
      <c r="E15" s="24"/>
      <c r="F15" s="22"/>
      <c r="G15" s="22"/>
      <c r="H15" s="23"/>
      <c r="I15" s="25" t="str">
        <f aca="false">IF($A15="","",COUNTIF(Quotations!$B$6:$B$205,$A15))</f>
        <v/>
      </c>
      <c r="J15" s="26" t="str">
        <f aca="false">IF($A15="","",SUMIFS(Quotations!$J$6:$J$205,Quotations!$B$6:$B$205,$A15,Quotations!$L$6:$L$205,"Accepted"))</f>
        <v/>
      </c>
      <c r="K15" s="27" t="str">
        <f aca="true">IF($A15="","",IF(AND(OR($G15="Sent",$G15="Approved"),$H15&lt;&gt;"",$H15&lt;TODAY()),"EXPIRED",""))</f>
        <v/>
      </c>
      <c r="L15" s="24"/>
      <c r="M15" s="24"/>
    </row>
    <row r="16" customFormat="false" ht="15" hidden="false" customHeight="false" outlineLevel="0" collapsed="false">
      <c r="A16" s="22"/>
      <c r="B16" s="23"/>
      <c r="C16" s="24"/>
      <c r="D16" s="22"/>
      <c r="E16" s="24"/>
      <c r="F16" s="22"/>
      <c r="G16" s="22"/>
      <c r="H16" s="23"/>
      <c r="I16" s="25" t="str">
        <f aca="false">IF($A16="","",COUNTIF(Quotations!$B$6:$B$205,$A16))</f>
        <v/>
      </c>
      <c r="J16" s="26" t="str">
        <f aca="false">IF($A16="","",SUMIFS(Quotations!$J$6:$J$205,Quotations!$B$6:$B$205,$A16,Quotations!$L$6:$L$205,"Accepted"))</f>
        <v/>
      </c>
      <c r="K16" s="27" t="str">
        <f aca="true">IF($A16="","",IF(AND(OR($G16="Sent",$G16="Approved"),$H16&lt;&gt;"",$H16&lt;TODAY()),"EXPIRED",""))</f>
        <v/>
      </c>
      <c r="L16" s="24"/>
      <c r="M16" s="24"/>
    </row>
    <row r="17" customFormat="false" ht="15" hidden="false" customHeight="false" outlineLevel="0" collapsed="false">
      <c r="A17" s="22"/>
      <c r="B17" s="23"/>
      <c r="C17" s="24"/>
      <c r="D17" s="22"/>
      <c r="E17" s="24"/>
      <c r="F17" s="22"/>
      <c r="G17" s="22"/>
      <c r="H17" s="23"/>
      <c r="I17" s="25" t="str">
        <f aca="false">IF($A17="","",COUNTIF(Quotations!$B$6:$B$205,$A17))</f>
        <v/>
      </c>
      <c r="J17" s="26" t="str">
        <f aca="false">IF($A17="","",SUMIFS(Quotations!$J$6:$J$205,Quotations!$B$6:$B$205,$A17,Quotations!$L$6:$L$205,"Accepted"))</f>
        <v/>
      </c>
      <c r="K17" s="27" t="str">
        <f aca="true">IF($A17="","",IF(AND(OR($G17="Sent",$G17="Approved"),$H17&lt;&gt;"",$H17&lt;TODAY()),"EXPIRED",""))</f>
        <v/>
      </c>
      <c r="L17" s="24"/>
      <c r="M17" s="24"/>
    </row>
    <row r="18" customFormat="false" ht="15" hidden="false" customHeight="false" outlineLevel="0" collapsed="false">
      <c r="A18" s="22"/>
      <c r="B18" s="23"/>
      <c r="C18" s="24"/>
      <c r="D18" s="22"/>
      <c r="E18" s="24"/>
      <c r="F18" s="22"/>
      <c r="G18" s="22"/>
      <c r="H18" s="23"/>
      <c r="I18" s="25" t="str">
        <f aca="false">IF($A18="","",COUNTIF(Quotations!$B$6:$B$205,$A18))</f>
        <v/>
      </c>
      <c r="J18" s="26" t="str">
        <f aca="false">IF($A18="","",SUMIFS(Quotations!$J$6:$J$205,Quotations!$B$6:$B$205,$A18,Quotations!$L$6:$L$205,"Accepted"))</f>
        <v/>
      </c>
      <c r="K18" s="27" t="str">
        <f aca="true">IF($A18="","",IF(AND(OR($G18="Sent",$G18="Approved"),$H18&lt;&gt;"",$H18&lt;TODAY()),"EXPIRED",""))</f>
        <v/>
      </c>
      <c r="L18" s="24"/>
      <c r="M18" s="24"/>
    </row>
    <row r="19" customFormat="false" ht="15" hidden="false" customHeight="false" outlineLevel="0" collapsed="false">
      <c r="A19" s="22"/>
      <c r="B19" s="23"/>
      <c r="C19" s="24"/>
      <c r="D19" s="22"/>
      <c r="E19" s="24"/>
      <c r="F19" s="22"/>
      <c r="G19" s="22"/>
      <c r="H19" s="23"/>
      <c r="I19" s="25" t="str">
        <f aca="false">IF($A19="","",COUNTIF(Quotations!$B$6:$B$205,$A19))</f>
        <v/>
      </c>
      <c r="J19" s="26" t="str">
        <f aca="false">IF($A19="","",SUMIFS(Quotations!$J$6:$J$205,Quotations!$B$6:$B$205,$A19,Quotations!$L$6:$L$205,"Accepted"))</f>
        <v/>
      </c>
      <c r="K19" s="27" t="str">
        <f aca="true">IF($A19="","",IF(AND(OR($G19="Sent",$G19="Approved"),$H19&lt;&gt;"",$H19&lt;TODAY()),"EXPIRED",""))</f>
        <v/>
      </c>
      <c r="L19" s="24"/>
      <c r="M19" s="24"/>
    </row>
    <row r="20" customFormat="false" ht="15" hidden="false" customHeight="false" outlineLevel="0" collapsed="false">
      <c r="A20" s="22"/>
      <c r="B20" s="23"/>
      <c r="C20" s="24"/>
      <c r="D20" s="22"/>
      <c r="E20" s="24"/>
      <c r="F20" s="22"/>
      <c r="G20" s="22"/>
      <c r="H20" s="23"/>
      <c r="I20" s="25" t="str">
        <f aca="false">IF($A20="","",COUNTIF(Quotations!$B$6:$B$205,$A20))</f>
        <v/>
      </c>
      <c r="J20" s="26" t="str">
        <f aca="false">IF($A20="","",SUMIFS(Quotations!$J$6:$J$205,Quotations!$B$6:$B$205,$A20,Quotations!$L$6:$L$205,"Accepted"))</f>
        <v/>
      </c>
      <c r="K20" s="27" t="str">
        <f aca="true">IF($A20="","",IF(AND(OR($G20="Sent",$G20="Approved"),$H20&lt;&gt;"",$H20&lt;TODAY()),"EXPIRED",""))</f>
        <v/>
      </c>
      <c r="L20" s="24"/>
      <c r="M20" s="24"/>
    </row>
    <row r="21" customFormat="false" ht="15" hidden="false" customHeight="false" outlineLevel="0" collapsed="false">
      <c r="A21" s="22"/>
      <c r="B21" s="23"/>
      <c r="C21" s="24"/>
      <c r="D21" s="22"/>
      <c r="E21" s="24"/>
      <c r="F21" s="22"/>
      <c r="G21" s="22"/>
      <c r="H21" s="23"/>
      <c r="I21" s="25" t="str">
        <f aca="false">IF($A21="","",COUNTIF(Quotations!$B$6:$B$205,$A21))</f>
        <v/>
      </c>
      <c r="J21" s="26" t="str">
        <f aca="false">IF($A21="","",SUMIFS(Quotations!$J$6:$J$205,Quotations!$B$6:$B$205,$A21,Quotations!$L$6:$L$205,"Accepted"))</f>
        <v/>
      </c>
      <c r="K21" s="27" t="str">
        <f aca="true">IF($A21="","",IF(AND(OR($G21="Sent",$G21="Approved"),$H21&lt;&gt;"",$H21&lt;TODAY()),"EXPIRED",""))</f>
        <v/>
      </c>
      <c r="L21" s="24"/>
      <c r="M21" s="24"/>
    </row>
    <row r="22" customFormat="false" ht="15" hidden="false" customHeight="false" outlineLevel="0" collapsed="false">
      <c r="A22" s="22"/>
      <c r="B22" s="23"/>
      <c r="C22" s="24"/>
      <c r="D22" s="22"/>
      <c r="E22" s="24"/>
      <c r="F22" s="22"/>
      <c r="G22" s="22"/>
      <c r="H22" s="23"/>
      <c r="I22" s="25" t="str">
        <f aca="false">IF($A22="","",COUNTIF(Quotations!$B$6:$B$205,$A22))</f>
        <v/>
      </c>
      <c r="J22" s="26" t="str">
        <f aca="false">IF($A22="","",SUMIFS(Quotations!$J$6:$J$205,Quotations!$B$6:$B$205,$A22,Quotations!$L$6:$L$205,"Accepted"))</f>
        <v/>
      </c>
      <c r="K22" s="27" t="str">
        <f aca="true">IF($A22="","",IF(AND(OR($G22="Sent",$G22="Approved"),$H22&lt;&gt;"",$H22&lt;TODAY()),"EXPIRED",""))</f>
        <v/>
      </c>
      <c r="L22" s="24"/>
      <c r="M22" s="24"/>
    </row>
    <row r="23" customFormat="false" ht="15" hidden="false" customHeight="false" outlineLevel="0" collapsed="false">
      <c r="A23" s="22"/>
      <c r="B23" s="23"/>
      <c r="C23" s="24"/>
      <c r="D23" s="22"/>
      <c r="E23" s="24"/>
      <c r="F23" s="22"/>
      <c r="G23" s="22"/>
      <c r="H23" s="23"/>
      <c r="I23" s="25" t="str">
        <f aca="false">IF($A23="","",COUNTIF(Quotations!$B$6:$B$205,$A23))</f>
        <v/>
      </c>
      <c r="J23" s="26" t="str">
        <f aca="false">IF($A23="","",SUMIFS(Quotations!$J$6:$J$205,Quotations!$B$6:$B$205,$A23,Quotations!$L$6:$L$205,"Accepted"))</f>
        <v/>
      </c>
      <c r="K23" s="27" t="str">
        <f aca="true">IF($A23="","",IF(AND(OR($G23="Sent",$G23="Approved"),$H23&lt;&gt;"",$H23&lt;TODAY()),"EXPIRED",""))</f>
        <v/>
      </c>
      <c r="L23" s="24"/>
      <c r="M23" s="24"/>
    </row>
    <row r="24" customFormat="false" ht="15" hidden="false" customHeight="false" outlineLevel="0" collapsed="false">
      <c r="A24" s="22"/>
      <c r="B24" s="23"/>
      <c r="C24" s="24"/>
      <c r="D24" s="22"/>
      <c r="E24" s="24"/>
      <c r="F24" s="22"/>
      <c r="G24" s="22"/>
      <c r="H24" s="23"/>
      <c r="I24" s="25" t="str">
        <f aca="false">IF($A24="","",COUNTIF(Quotations!$B$6:$B$205,$A24))</f>
        <v/>
      </c>
      <c r="J24" s="26" t="str">
        <f aca="false">IF($A24="","",SUMIFS(Quotations!$J$6:$J$205,Quotations!$B$6:$B$205,$A24,Quotations!$L$6:$L$205,"Accepted"))</f>
        <v/>
      </c>
      <c r="K24" s="27" t="str">
        <f aca="true">IF($A24="","",IF(AND(OR($G24="Sent",$G24="Approved"),$H24&lt;&gt;"",$H24&lt;TODAY()),"EXPIRED",""))</f>
        <v/>
      </c>
      <c r="L24" s="24"/>
      <c r="M24" s="24"/>
    </row>
    <row r="25" customFormat="false" ht="15" hidden="false" customHeight="false" outlineLevel="0" collapsed="false">
      <c r="A25" s="22"/>
      <c r="B25" s="23"/>
      <c r="C25" s="24"/>
      <c r="D25" s="22"/>
      <c r="E25" s="24"/>
      <c r="F25" s="22"/>
      <c r="G25" s="22"/>
      <c r="H25" s="23"/>
      <c r="I25" s="25" t="str">
        <f aca="false">IF($A25="","",COUNTIF(Quotations!$B$6:$B$205,$A25))</f>
        <v/>
      </c>
      <c r="J25" s="26" t="str">
        <f aca="false">IF($A25="","",SUMIFS(Quotations!$J$6:$J$205,Quotations!$B$6:$B$205,$A25,Quotations!$L$6:$L$205,"Accepted"))</f>
        <v/>
      </c>
      <c r="K25" s="27" t="str">
        <f aca="true">IF($A25="","",IF(AND(OR($G25="Sent",$G25="Approved"),$H25&lt;&gt;"",$H25&lt;TODAY()),"EXPIRED",""))</f>
        <v/>
      </c>
      <c r="L25" s="24"/>
      <c r="M25" s="24"/>
    </row>
    <row r="26" customFormat="false" ht="15" hidden="false" customHeight="false" outlineLevel="0" collapsed="false">
      <c r="A26" s="22"/>
      <c r="B26" s="23"/>
      <c r="C26" s="24"/>
      <c r="D26" s="22"/>
      <c r="E26" s="24"/>
      <c r="F26" s="22"/>
      <c r="G26" s="22"/>
      <c r="H26" s="23"/>
      <c r="I26" s="25" t="str">
        <f aca="false">IF($A26="","",COUNTIF(Quotations!$B$6:$B$205,$A26))</f>
        <v/>
      </c>
      <c r="J26" s="26" t="str">
        <f aca="false">IF($A26="","",SUMIFS(Quotations!$J$6:$J$205,Quotations!$B$6:$B$205,$A26,Quotations!$L$6:$L$205,"Accepted"))</f>
        <v/>
      </c>
      <c r="K26" s="27" t="str">
        <f aca="true">IF($A26="","",IF(AND(OR($G26="Sent",$G26="Approved"),$H26&lt;&gt;"",$H26&lt;TODAY()),"EXPIRED",""))</f>
        <v/>
      </c>
      <c r="L26" s="24"/>
      <c r="M26" s="24"/>
    </row>
    <row r="27" customFormat="false" ht="15" hidden="false" customHeight="false" outlineLevel="0" collapsed="false">
      <c r="A27" s="22"/>
      <c r="B27" s="23"/>
      <c r="C27" s="24"/>
      <c r="D27" s="22"/>
      <c r="E27" s="24"/>
      <c r="F27" s="22"/>
      <c r="G27" s="22"/>
      <c r="H27" s="23"/>
      <c r="I27" s="25" t="str">
        <f aca="false">IF($A27="","",COUNTIF(Quotations!$B$6:$B$205,$A27))</f>
        <v/>
      </c>
      <c r="J27" s="26" t="str">
        <f aca="false">IF($A27="","",SUMIFS(Quotations!$J$6:$J$205,Quotations!$B$6:$B$205,$A27,Quotations!$L$6:$L$205,"Accepted"))</f>
        <v/>
      </c>
      <c r="K27" s="27" t="str">
        <f aca="true">IF($A27="","",IF(AND(OR($G27="Sent",$G27="Approved"),$H27&lt;&gt;"",$H27&lt;TODAY()),"EXPIRED",""))</f>
        <v/>
      </c>
      <c r="L27" s="24"/>
      <c r="M27" s="24"/>
    </row>
    <row r="28" customFormat="false" ht="15" hidden="false" customHeight="false" outlineLevel="0" collapsed="false">
      <c r="A28" s="22"/>
      <c r="B28" s="23"/>
      <c r="C28" s="24"/>
      <c r="D28" s="22"/>
      <c r="E28" s="24"/>
      <c r="F28" s="22"/>
      <c r="G28" s="22"/>
      <c r="H28" s="23"/>
      <c r="I28" s="25" t="str">
        <f aca="false">IF($A28="","",COUNTIF(Quotations!$B$6:$B$205,$A28))</f>
        <v/>
      </c>
      <c r="J28" s="26" t="str">
        <f aca="false">IF($A28="","",SUMIFS(Quotations!$J$6:$J$205,Quotations!$B$6:$B$205,$A28,Quotations!$L$6:$L$205,"Accepted"))</f>
        <v/>
      </c>
      <c r="K28" s="27" t="str">
        <f aca="true">IF($A28="","",IF(AND(OR($G28="Sent",$G28="Approved"),$H28&lt;&gt;"",$H28&lt;TODAY()),"EXPIRED",""))</f>
        <v/>
      </c>
      <c r="L28" s="24"/>
      <c r="M28" s="24"/>
    </row>
    <row r="29" customFormat="false" ht="15" hidden="false" customHeight="false" outlineLevel="0" collapsed="false">
      <c r="A29" s="22"/>
      <c r="B29" s="23"/>
      <c r="C29" s="24"/>
      <c r="D29" s="22"/>
      <c r="E29" s="24"/>
      <c r="F29" s="22"/>
      <c r="G29" s="22"/>
      <c r="H29" s="23"/>
      <c r="I29" s="25" t="str">
        <f aca="false">IF($A29="","",COUNTIF(Quotations!$B$6:$B$205,$A29))</f>
        <v/>
      </c>
      <c r="J29" s="26" t="str">
        <f aca="false">IF($A29="","",SUMIFS(Quotations!$J$6:$J$205,Quotations!$B$6:$B$205,$A29,Quotations!$L$6:$L$205,"Accepted"))</f>
        <v/>
      </c>
      <c r="K29" s="27" t="str">
        <f aca="true">IF($A29="","",IF(AND(OR($G29="Sent",$G29="Approved"),$H29&lt;&gt;"",$H29&lt;TODAY()),"EXPIRED",""))</f>
        <v/>
      </c>
      <c r="L29" s="24"/>
      <c r="M29" s="24"/>
    </row>
    <row r="30" customFormat="false" ht="15" hidden="false" customHeight="false" outlineLevel="0" collapsed="false">
      <c r="A30" s="22"/>
      <c r="B30" s="23"/>
      <c r="C30" s="24"/>
      <c r="D30" s="22"/>
      <c r="E30" s="24"/>
      <c r="F30" s="22"/>
      <c r="G30" s="22"/>
      <c r="H30" s="23"/>
      <c r="I30" s="25" t="str">
        <f aca="false">IF($A30="","",COUNTIF(Quotations!$B$6:$B$205,$A30))</f>
        <v/>
      </c>
      <c r="J30" s="26" t="str">
        <f aca="false">IF($A30="","",SUMIFS(Quotations!$J$6:$J$205,Quotations!$B$6:$B$205,$A30,Quotations!$L$6:$L$205,"Accepted"))</f>
        <v/>
      </c>
      <c r="K30" s="27" t="str">
        <f aca="true">IF($A30="","",IF(AND(OR($G30="Sent",$G30="Approved"),$H30&lt;&gt;"",$H30&lt;TODAY()),"EXPIRED",""))</f>
        <v/>
      </c>
      <c r="L30" s="24"/>
      <c r="M30" s="24"/>
    </row>
    <row r="31" customFormat="false" ht="15" hidden="false" customHeight="false" outlineLevel="0" collapsed="false">
      <c r="A31" s="22"/>
      <c r="B31" s="23"/>
      <c r="C31" s="24"/>
      <c r="D31" s="22"/>
      <c r="E31" s="24"/>
      <c r="F31" s="22"/>
      <c r="G31" s="22"/>
      <c r="H31" s="23"/>
      <c r="I31" s="25" t="str">
        <f aca="false">IF($A31="","",COUNTIF(Quotations!$B$6:$B$205,$A31))</f>
        <v/>
      </c>
      <c r="J31" s="26" t="str">
        <f aca="false">IF($A31="","",SUMIFS(Quotations!$J$6:$J$205,Quotations!$B$6:$B$205,$A31,Quotations!$L$6:$L$205,"Accepted"))</f>
        <v/>
      </c>
      <c r="K31" s="27" t="str">
        <f aca="true">IF($A31="","",IF(AND(OR($G31="Sent",$G31="Approved"),$H31&lt;&gt;"",$H31&lt;TODAY()),"EXPIRED",""))</f>
        <v/>
      </c>
      <c r="L31" s="24"/>
      <c r="M31" s="24"/>
    </row>
    <row r="32" customFormat="false" ht="15" hidden="false" customHeight="false" outlineLevel="0" collapsed="false">
      <c r="A32" s="22"/>
      <c r="B32" s="23"/>
      <c r="C32" s="24"/>
      <c r="D32" s="22"/>
      <c r="E32" s="24"/>
      <c r="F32" s="22"/>
      <c r="G32" s="22"/>
      <c r="H32" s="23"/>
      <c r="I32" s="25" t="str">
        <f aca="false">IF($A32="","",COUNTIF(Quotations!$B$6:$B$205,$A32))</f>
        <v/>
      </c>
      <c r="J32" s="26" t="str">
        <f aca="false">IF($A32="","",SUMIFS(Quotations!$J$6:$J$205,Quotations!$B$6:$B$205,$A32,Quotations!$L$6:$L$205,"Accepted"))</f>
        <v/>
      </c>
      <c r="K32" s="27" t="str">
        <f aca="true">IF($A32="","",IF(AND(OR($G32="Sent",$G32="Approved"),$H32&lt;&gt;"",$H32&lt;TODAY()),"EXPIRED",""))</f>
        <v/>
      </c>
      <c r="L32" s="24"/>
      <c r="M32" s="24"/>
    </row>
    <row r="33" customFormat="false" ht="15" hidden="false" customHeight="false" outlineLevel="0" collapsed="false">
      <c r="A33" s="22"/>
      <c r="B33" s="23"/>
      <c r="C33" s="24"/>
      <c r="D33" s="22"/>
      <c r="E33" s="24"/>
      <c r="F33" s="22"/>
      <c r="G33" s="22"/>
      <c r="H33" s="23"/>
      <c r="I33" s="25" t="str">
        <f aca="false">IF($A33="","",COUNTIF(Quotations!$B$6:$B$205,$A33))</f>
        <v/>
      </c>
      <c r="J33" s="26" t="str">
        <f aca="false">IF($A33="","",SUMIFS(Quotations!$J$6:$J$205,Quotations!$B$6:$B$205,$A33,Quotations!$L$6:$L$205,"Accepted"))</f>
        <v/>
      </c>
      <c r="K33" s="27" t="str">
        <f aca="true">IF($A33="","",IF(AND(OR($G33="Sent",$G33="Approved"),$H33&lt;&gt;"",$H33&lt;TODAY()),"EXPIRED",""))</f>
        <v/>
      </c>
      <c r="L33" s="24"/>
      <c r="M33" s="24"/>
    </row>
    <row r="34" customFormat="false" ht="15" hidden="false" customHeight="false" outlineLevel="0" collapsed="false">
      <c r="A34" s="22"/>
      <c r="B34" s="23"/>
      <c r="C34" s="24"/>
      <c r="D34" s="22"/>
      <c r="E34" s="24"/>
      <c r="F34" s="22"/>
      <c r="G34" s="22"/>
      <c r="H34" s="23"/>
      <c r="I34" s="25" t="str">
        <f aca="false">IF($A34="","",COUNTIF(Quotations!$B$6:$B$205,$A34))</f>
        <v/>
      </c>
      <c r="J34" s="26" t="str">
        <f aca="false">IF($A34="","",SUMIFS(Quotations!$J$6:$J$205,Quotations!$B$6:$B$205,$A34,Quotations!$L$6:$L$205,"Accepted"))</f>
        <v/>
      </c>
      <c r="K34" s="27" t="str">
        <f aca="true">IF($A34="","",IF(AND(OR($G34="Sent",$G34="Approved"),$H34&lt;&gt;"",$H34&lt;TODAY()),"EXPIRED",""))</f>
        <v/>
      </c>
      <c r="L34" s="24"/>
      <c r="M34" s="24"/>
    </row>
    <row r="35" customFormat="false" ht="15" hidden="false" customHeight="false" outlineLevel="0" collapsed="false">
      <c r="A35" s="22"/>
      <c r="B35" s="23"/>
      <c r="C35" s="24"/>
      <c r="D35" s="22"/>
      <c r="E35" s="24"/>
      <c r="F35" s="22"/>
      <c r="G35" s="22"/>
      <c r="H35" s="23"/>
      <c r="I35" s="25" t="str">
        <f aca="false">IF($A35="","",COUNTIF(Quotations!$B$6:$B$205,$A35))</f>
        <v/>
      </c>
      <c r="J35" s="26" t="str">
        <f aca="false">IF($A35="","",SUMIFS(Quotations!$J$6:$J$205,Quotations!$B$6:$B$205,$A35,Quotations!$L$6:$L$205,"Accepted"))</f>
        <v/>
      </c>
      <c r="K35" s="27" t="str">
        <f aca="true">IF($A35="","",IF(AND(OR($G35="Sent",$G35="Approved"),$H35&lt;&gt;"",$H35&lt;TODAY()),"EXPIRED",""))</f>
        <v/>
      </c>
      <c r="L35" s="24"/>
      <c r="M35" s="24"/>
    </row>
    <row r="36" customFormat="false" ht="15" hidden="false" customHeight="false" outlineLevel="0" collapsed="false">
      <c r="A36" s="22"/>
      <c r="B36" s="23"/>
      <c r="C36" s="24"/>
      <c r="D36" s="22"/>
      <c r="E36" s="24"/>
      <c r="F36" s="22"/>
      <c r="G36" s="22"/>
      <c r="H36" s="23"/>
      <c r="I36" s="25" t="str">
        <f aca="false">IF($A36="","",COUNTIF(Quotations!$B$6:$B$205,$A36))</f>
        <v/>
      </c>
      <c r="J36" s="26" t="str">
        <f aca="false">IF($A36="","",SUMIFS(Quotations!$J$6:$J$205,Quotations!$B$6:$B$205,$A36,Quotations!$L$6:$L$205,"Accepted"))</f>
        <v/>
      </c>
      <c r="K36" s="27" t="str">
        <f aca="true">IF($A36="","",IF(AND(OR($G36="Sent",$G36="Approved"),$H36&lt;&gt;"",$H36&lt;TODAY()),"EXPIRED",""))</f>
        <v/>
      </c>
      <c r="L36" s="24"/>
      <c r="M36" s="24"/>
    </row>
    <row r="37" customFormat="false" ht="15" hidden="false" customHeight="false" outlineLevel="0" collapsed="false">
      <c r="A37" s="22"/>
      <c r="B37" s="23"/>
      <c r="C37" s="24"/>
      <c r="D37" s="22"/>
      <c r="E37" s="24"/>
      <c r="F37" s="22"/>
      <c r="G37" s="22"/>
      <c r="H37" s="23"/>
      <c r="I37" s="25" t="str">
        <f aca="false">IF($A37="","",COUNTIF(Quotations!$B$6:$B$205,$A37))</f>
        <v/>
      </c>
      <c r="J37" s="26" t="str">
        <f aca="false">IF($A37="","",SUMIFS(Quotations!$J$6:$J$205,Quotations!$B$6:$B$205,$A37,Quotations!$L$6:$L$205,"Accepted"))</f>
        <v/>
      </c>
      <c r="K37" s="27" t="str">
        <f aca="true">IF($A37="","",IF(AND(OR($G37="Sent",$G37="Approved"),$H37&lt;&gt;"",$H37&lt;TODAY()),"EXPIRED",""))</f>
        <v/>
      </c>
      <c r="L37" s="24"/>
      <c r="M37" s="24"/>
    </row>
    <row r="38" customFormat="false" ht="15" hidden="false" customHeight="false" outlineLevel="0" collapsed="false">
      <c r="A38" s="22"/>
      <c r="B38" s="23"/>
      <c r="C38" s="24"/>
      <c r="D38" s="22"/>
      <c r="E38" s="24"/>
      <c r="F38" s="22"/>
      <c r="G38" s="22"/>
      <c r="H38" s="23"/>
      <c r="I38" s="25" t="str">
        <f aca="false">IF($A38="","",COUNTIF(Quotations!$B$6:$B$205,$A38))</f>
        <v/>
      </c>
      <c r="J38" s="26" t="str">
        <f aca="false">IF($A38="","",SUMIFS(Quotations!$J$6:$J$205,Quotations!$B$6:$B$205,$A38,Quotations!$L$6:$L$205,"Accepted"))</f>
        <v/>
      </c>
      <c r="K38" s="27" t="str">
        <f aca="true">IF($A38="","",IF(AND(OR($G38="Sent",$G38="Approved"),$H38&lt;&gt;"",$H38&lt;TODAY()),"EXPIRED",""))</f>
        <v/>
      </c>
      <c r="L38" s="24"/>
      <c r="M38" s="24"/>
    </row>
    <row r="39" customFormat="false" ht="15" hidden="false" customHeight="false" outlineLevel="0" collapsed="false">
      <c r="A39" s="22"/>
      <c r="B39" s="23"/>
      <c r="C39" s="24"/>
      <c r="D39" s="22"/>
      <c r="E39" s="24"/>
      <c r="F39" s="22"/>
      <c r="G39" s="22"/>
      <c r="H39" s="23"/>
      <c r="I39" s="25" t="str">
        <f aca="false">IF($A39="","",COUNTIF(Quotations!$B$6:$B$205,$A39))</f>
        <v/>
      </c>
      <c r="J39" s="26" t="str">
        <f aca="false">IF($A39="","",SUMIFS(Quotations!$J$6:$J$205,Quotations!$B$6:$B$205,$A39,Quotations!$L$6:$L$205,"Accepted"))</f>
        <v/>
      </c>
      <c r="K39" s="27" t="str">
        <f aca="true">IF($A39="","",IF(AND(OR($G39="Sent",$G39="Approved"),$H39&lt;&gt;"",$H39&lt;TODAY()),"EXPIRED",""))</f>
        <v/>
      </c>
      <c r="L39" s="24"/>
      <c r="M39" s="24"/>
    </row>
    <row r="40" customFormat="false" ht="15" hidden="false" customHeight="false" outlineLevel="0" collapsed="false">
      <c r="A40" s="22"/>
      <c r="B40" s="23"/>
      <c r="C40" s="24"/>
      <c r="D40" s="22"/>
      <c r="E40" s="24"/>
      <c r="F40" s="22"/>
      <c r="G40" s="22"/>
      <c r="H40" s="23"/>
      <c r="I40" s="25" t="str">
        <f aca="false">IF($A40="","",COUNTIF(Quotations!$B$6:$B$205,$A40))</f>
        <v/>
      </c>
      <c r="J40" s="26" t="str">
        <f aca="false">IF($A40="","",SUMIFS(Quotations!$J$6:$J$205,Quotations!$B$6:$B$205,$A40,Quotations!$L$6:$L$205,"Accepted"))</f>
        <v/>
      </c>
      <c r="K40" s="27" t="str">
        <f aca="true">IF($A40="","",IF(AND(OR($G40="Sent",$G40="Approved"),$H40&lt;&gt;"",$H40&lt;TODAY()),"EXPIRED",""))</f>
        <v/>
      </c>
      <c r="L40" s="24"/>
      <c r="M40" s="24"/>
    </row>
    <row r="41" customFormat="false" ht="15" hidden="false" customHeight="false" outlineLevel="0" collapsed="false">
      <c r="A41" s="22"/>
      <c r="B41" s="23"/>
      <c r="C41" s="24"/>
      <c r="D41" s="22"/>
      <c r="E41" s="24"/>
      <c r="F41" s="22"/>
      <c r="G41" s="22"/>
      <c r="H41" s="23"/>
      <c r="I41" s="25" t="str">
        <f aca="false">IF($A41="","",COUNTIF(Quotations!$B$6:$B$205,$A41))</f>
        <v/>
      </c>
      <c r="J41" s="26" t="str">
        <f aca="false">IF($A41="","",SUMIFS(Quotations!$J$6:$J$205,Quotations!$B$6:$B$205,$A41,Quotations!$L$6:$L$205,"Accepted"))</f>
        <v/>
      </c>
      <c r="K41" s="27" t="str">
        <f aca="true">IF($A41="","",IF(AND(OR($G41="Sent",$G41="Approved"),$H41&lt;&gt;"",$H41&lt;TODAY()),"EXPIRED",""))</f>
        <v/>
      </c>
      <c r="L41" s="24"/>
      <c r="M41" s="24"/>
    </row>
    <row r="42" customFormat="false" ht="15" hidden="false" customHeight="false" outlineLevel="0" collapsed="false">
      <c r="A42" s="22"/>
      <c r="B42" s="23"/>
      <c r="C42" s="24"/>
      <c r="D42" s="22"/>
      <c r="E42" s="24"/>
      <c r="F42" s="22"/>
      <c r="G42" s="22"/>
      <c r="H42" s="23"/>
      <c r="I42" s="25" t="str">
        <f aca="false">IF($A42="","",COUNTIF(Quotations!$B$6:$B$205,$A42))</f>
        <v/>
      </c>
      <c r="J42" s="26" t="str">
        <f aca="false">IF($A42="","",SUMIFS(Quotations!$J$6:$J$205,Quotations!$B$6:$B$205,$A42,Quotations!$L$6:$L$205,"Accepted"))</f>
        <v/>
      </c>
      <c r="K42" s="27" t="str">
        <f aca="true">IF($A42="","",IF(AND(OR($G42="Sent",$G42="Approved"),$H42&lt;&gt;"",$H42&lt;TODAY()),"EXPIRED",""))</f>
        <v/>
      </c>
      <c r="L42" s="24"/>
      <c r="M42" s="24"/>
    </row>
    <row r="43" customFormat="false" ht="15" hidden="false" customHeight="false" outlineLevel="0" collapsed="false">
      <c r="A43" s="22"/>
      <c r="B43" s="23"/>
      <c r="C43" s="24"/>
      <c r="D43" s="22"/>
      <c r="E43" s="24"/>
      <c r="F43" s="22"/>
      <c r="G43" s="22"/>
      <c r="H43" s="23"/>
      <c r="I43" s="25" t="str">
        <f aca="false">IF($A43="","",COUNTIF(Quotations!$B$6:$B$205,$A43))</f>
        <v/>
      </c>
      <c r="J43" s="26" t="str">
        <f aca="false">IF($A43="","",SUMIFS(Quotations!$J$6:$J$205,Quotations!$B$6:$B$205,$A43,Quotations!$L$6:$L$205,"Accepted"))</f>
        <v/>
      </c>
      <c r="K43" s="27" t="str">
        <f aca="true">IF($A43="","",IF(AND(OR($G43="Sent",$G43="Approved"),$H43&lt;&gt;"",$H43&lt;TODAY()),"EXPIRED",""))</f>
        <v/>
      </c>
      <c r="L43" s="24"/>
      <c r="M43" s="24"/>
    </row>
    <row r="44" customFormat="false" ht="15" hidden="false" customHeight="false" outlineLevel="0" collapsed="false">
      <c r="A44" s="22"/>
      <c r="B44" s="23"/>
      <c r="C44" s="24"/>
      <c r="D44" s="22"/>
      <c r="E44" s="24"/>
      <c r="F44" s="22"/>
      <c r="G44" s="22"/>
      <c r="H44" s="23"/>
      <c r="I44" s="25" t="str">
        <f aca="false">IF($A44="","",COUNTIF(Quotations!$B$6:$B$205,$A44))</f>
        <v/>
      </c>
      <c r="J44" s="26" t="str">
        <f aca="false">IF($A44="","",SUMIFS(Quotations!$J$6:$J$205,Quotations!$B$6:$B$205,$A44,Quotations!$L$6:$L$205,"Accepted"))</f>
        <v/>
      </c>
      <c r="K44" s="27" t="str">
        <f aca="true">IF($A44="","",IF(AND(OR($G44="Sent",$G44="Approved"),$H44&lt;&gt;"",$H44&lt;TODAY()),"EXPIRED",""))</f>
        <v/>
      </c>
      <c r="L44" s="24"/>
      <c r="M44" s="24"/>
    </row>
    <row r="45" customFormat="false" ht="15" hidden="false" customHeight="false" outlineLevel="0" collapsed="false">
      <c r="A45" s="22"/>
      <c r="B45" s="23"/>
      <c r="C45" s="24"/>
      <c r="D45" s="22"/>
      <c r="E45" s="24"/>
      <c r="F45" s="22"/>
      <c r="G45" s="22"/>
      <c r="H45" s="23"/>
      <c r="I45" s="25" t="str">
        <f aca="false">IF($A45="","",COUNTIF(Quotations!$B$6:$B$205,$A45))</f>
        <v/>
      </c>
      <c r="J45" s="26" t="str">
        <f aca="false">IF($A45="","",SUMIFS(Quotations!$J$6:$J$205,Quotations!$B$6:$B$205,$A45,Quotations!$L$6:$L$205,"Accepted"))</f>
        <v/>
      </c>
      <c r="K45" s="27" t="str">
        <f aca="true">IF($A45="","",IF(AND(OR($G45="Sent",$G45="Approved"),$H45&lt;&gt;"",$H45&lt;TODAY()),"EXPIRED",""))</f>
        <v/>
      </c>
      <c r="L45" s="24"/>
      <c r="M45" s="24"/>
    </row>
    <row r="46" customFormat="false" ht="15" hidden="false" customHeight="false" outlineLevel="0" collapsed="false">
      <c r="A46" s="22"/>
      <c r="B46" s="23"/>
      <c r="C46" s="24"/>
      <c r="D46" s="22"/>
      <c r="E46" s="24"/>
      <c r="F46" s="22"/>
      <c r="G46" s="22"/>
      <c r="H46" s="23"/>
      <c r="I46" s="25" t="str">
        <f aca="false">IF($A46="","",COUNTIF(Quotations!$B$6:$B$205,$A46))</f>
        <v/>
      </c>
      <c r="J46" s="26" t="str">
        <f aca="false">IF($A46="","",SUMIFS(Quotations!$J$6:$J$205,Quotations!$B$6:$B$205,$A46,Quotations!$L$6:$L$205,"Accepted"))</f>
        <v/>
      </c>
      <c r="K46" s="27" t="str">
        <f aca="true">IF($A46="","",IF(AND(OR($G46="Sent",$G46="Approved"),$H46&lt;&gt;"",$H46&lt;TODAY()),"EXPIRED",""))</f>
        <v/>
      </c>
      <c r="L46" s="24"/>
      <c r="M46" s="24"/>
    </row>
    <row r="47" customFormat="false" ht="15" hidden="false" customHeight="false" outlineLevel="0" collapsed="false">
      <c r="A47" s="22"/>
      <c r="B47" s="23"/>
      <c r="C47" s="24"/>
      <c r="D47" s="22"/>
      <c r="E47" s="24"/>
      <c r="F47" s="22"/>
      <c r="G47" s="22"/>
      <c r="H47" s="23"/>
      <c r="I47" s="25" t="str">
        <f aca="false">IF($A47="","",COUNTIF(Quotations!$B$6:$B$205,$A47))</f>
        <v/>
      </c>
      <c r="J47" s="26" t="str">
        <f aca="false">IF($A47="","",SUMIFS(Quotations!$J$6:$J$205,Quotations!$B$6:$B$205,$A47,Quotations!$L$6:$L$205,"Accepted"))</f>
        <v/>
      </c>
      <c r="K47" s="27" t="str">
        <f aca="true">IF($A47="","",IF(AND(OR($G47="Sent",$G47="Approved"),$H47&lt;&gt;"",$H47&lt;TODAY()),"EXPIRED",""))</f>
        <v/>
      </c>
      <c r="L47" s="24"/>
      <c r="M47" s="24"/>
    </row>
    <row r="48" customFormat="false" ht="15" hidden="false" customHeight="false" outlineLevel="0" collapsed="false">
      <c r="A48" s="22"/>
      <c r="B48" s="23"/>
      <c r="C48" s="24"/>
      <c r="D48" s="22"/>
      <c r="E48" s="24"/>
      <c r="F48" s="22"/>
      <c r="G48" s="22"/>
      <c r="H48" s="23"/>
      <c r="I48" s="25" t="str">
        <f aca="false">IF($A48="","",COUNTIF(Quotations!$B$6:$B$205,$A48))</f>
        <v/>
      </c>
      <c r="J48" s="26" t="str">
        <f aca="false">IF($A48="","",SUMIFS(Quotations!$J$6:$J$205,Quotations!$B$6:$B$205,$A48,Quotations!$L$6:$L$205,"Accepted"))</f>
        <v/>
      </c>
      <c r="K48" s="27" t="str">
        <f aca="true">IF($A48="","",IF(AND(OR($G48="Sent",$G48="Approved"),$H48&lt;&gt;"",$H48&lt;TODAY()),"EXPIRED",""))</f>
        <v/>
      </c>
      <c r="L48" s="24"/>
      <c r="M48" s="24"/>
    </row>
    <row r="49" customFormat="false" ht="15" hidden="false" customHeight="false" outlineLevel="0" collapsed="false">
      <c r="A49" s="22"/>
      <c r="B49" s="23"/>
      <c r="C49" s="24"/>
      <c r="D49" s="22"/>
      <c r="E49" s="24"/>
      <c r="F49" s="22"/>
      <c r="G49" s="22"/>
      <c r="H49" s="23"/>
      <c r="I49" s="25" t="str">
        <f aca="false">IF($A49="","",COUNTIF(Quotations!$B$6:$B$205,$A49))</f>
        <v/>
      </c>
      <c r="J49" s="26" t="str">
        <f aca="false">IF($A49="","",SUMIFS(Quotations!$J$6:$J$205,Quotations!$B$6:$B$205,$A49,Quotations!$L$6:$L$205,"Accepted"))</f>
        <v/>
      </c>
      <c r="K49" s="27" t="str">
        <f aca="true">IF($A49="","",IF(AND(OR($G49="Sent",$G49="Approved"),$H49&lt;&gt;"",$H49&lt;TODAY()),"EXPIRED",""))</f>
        <v/>
      </c>
      <c r="L49" s="24"/>
      <c r="M49" s="24"/>
    </row>
    <row r="50" customFormat="false" ht="15" hidden="false" customHeight="false" outlineLevel="0" collapsed="false">
      <c r="A50" s="22"/>
      <c r="B50" s="23"/>
      <c r="C50" s="24"/>
      <c r="D50" s="22"/>
      <c r="E50" s="24"/>
      <c r="F50" s="22"/>
      <c r="G50" s="22"/>
      <c r="H50" s="23"/>
      <c r="I50" s="25" t="str">
        <f aca="false">IF($A50="","",COUNTIF(Quotations!$B$6:$B$205,$A50))</f>
        <v/>
      </c>
      <c r="J50" s="26" t="str">
        <f aca="false">IF($A50="","",SUMIFS(Quotations!$J$6:$J$205,Quotations!$B$6:$B$205,$A50,Quotations!$L$6:$L$205,"Accepted"))</f>
        <v/>
      </c>
      <c r="K50" s="27" t="str">
        <f aca="true">IF($A50="","",IF(AND(OR($G50="Sent",$G50="Approved"),$H50&lt;&gt;"",$H50&lt;TODAY()),"EXPIRED",""))</f>
        <v/>
      </c>
      <c r="L50" s="24"/>
      <c r="M50" s="24"/>
    </row>
    <row r="51" customFormat="false" ht="15" hidden="false" customHeight="false" outlineLevel="0" collapsed="false">
      <c r="A51" s="22"/>
      <c r="B51" s="23"/>
      <c r="C51" s="24"/>
      <c r="D51" s="22"/>
      <c r="E51" s="24"/>
      <c r="F51" s="22"/>
      <c r="G51" s="22"/>
      <c r="H51" s="23"/>
      <c r="I51" s="25" t="str">
        <f aca="false">IF($A51="","",COUNTIF(Quotations!$B$6:$B$205,$A51))</f>
        <v/>
      </c>
      <c r="J51" s="26" t="str">
        <f aca="false">IF($A51="","",SUMIFS(Quotations!$J$6:$J$205,Quotations!$B$6:$B$205,$A51,Quotations!$L$6:$L$205,"Accepted"))</f>
        <v/>
      </c>
      <c r="K51" s="27" t="str">
        <f aca="true">IF($A51="","",IF(AND(OR($G51="Sent",$G51="Approved"),$H51&lt;&gt;"",$H51&lt;TODAY()),"EXPIRED",""))</f>
        <v/>
      </c>
      <c r="L51" s="24"/>
      <c r="M51" s="24"/>
    </row>
    <row r="52" customFormat="false" ht="15" hidden="false" customHeight="false" outlineLevel="0" collapsed="false">
      <c r="A52" s="22"/>
      <c r="B52" s="23"/>
      <c r="C52" s="24"/>
      <c r="D52" s="22"/>
      <c r="E52" s="24"/>
      <c r="F52" s="22"/>
      <c r="G52" s="22"/>
      <c r="H52" s="23"/>
      <c r="I52" s="25" t="str">
        <f aca="false">IF($A52="","",COUNTIF(Quotations!$B$6:$B$205,$A52))</f>
        <v/>
      </c>
      <c r="J52" s="26" t="str">
        <f aca="false">IF($A52="","",SUMIFS(Quotations!$J$6:$J$205,Quotations!$B$6:$B$205,$A52,Quotations!$L$6:$L$205,"Accepted"))</f>
        <v/>
      </c>
      <c r="K52" s="27" t="str">
        <f aca="true">IF($A52="","",IF(AND(OR($G52="Sent",$G52="Approved"),$H52&lt;&gt;"",$H52&lt;TODAY()),"EXPIRED",""))</f>
        <v/>
      </c>
      <c r="L52" s="24"/>
      <c r="M52" s="24"/>
    </row>
    <row r="53" customFormat="false" ht="15" hidden="false" customHeight="false" outlineLevel="0" collapsed="false">
      <c r="A53" s="22"/>
      <c r="B53" s="23"/>
      <c r="C53" s="24"/>
      <c r="D53" s="22"/>
      <c r="E53" s="24"/>
      <c r="F53" s="22"/>
      <c r="G53" s="22"/>
      <c r="H53" s="23"/>
      <c r="I53" s="25" t="str">
        <f aca="false">IF($A53="","",COUNTIF(Quotations!$B$6:$B$205,$A53))</f>
        <v/>
      </c>
      <c r="J53" s="26" t="str">
        <f aca="false">IF($A53="","",SUMIFS(Quotations!$J$6:$J$205,Quotations!$B$6:$B$205,$A53,Quotations!$L$6:$L$205,"Accepted"))</f>
        <v/>
      </c>
      <c r="K53" s="27" t="str">
        <f aca="true">IF($A53="","",IF(AND(OR($G53="Sent",$G53="Approved"),$H53&lt;&gt;"",$H53&lt;TODAY()),"EXPIRED",""))</f>
        <v/>
      </c>
      <c r="L53" s="24"/>
      <c r="M53" s="24"/>
    </row>
    <row r="54" customFormat="false" ht="15" hidden="false" customHeight="false" outlineLevel="0" collapsed="false">
      <c r="A54" s="22"/>
      <c r="B54" s="23"/>
      <c r="C54" s="24"/>
      <c r="D54" s="22"/>
      <c r="E54" s="24"/>
      <c r="F54" s="22"/>
      <c r="G54" s="22"/>
      <c r="H54" s="23"/>
      <c r="I54" s="25" t="str">
        <f aca="false">IF($A54="","",COUNTIF(Quotations!$B$6:$B$205,$A54))</f>
        <v/>
      </c>
      <c r="J54" s="26" t="str">
        <f aca="false">IF($A54="","",SUMIFS(Quotations!$J$6:$J$205,Quotations!$B$6:$B$205,$A54,Quotations!$L$6:$L$205,"Accepted"))</f>
        <v/>
      </c>
      <c r="K54" s="27" t="str">
        <f aca="true">IF($A54="","",IF(AND(OR($G54="Sent",$G54="Approved"),$H54&lt;&gt;"",$H54&lt;TODAY()),"EXPIRED",""))</f>
        <v/>
      </c>
      <c r="L54" s="24"/>
      <c r="M54" s="24"/>
    </row>
    <row r="55" customFormat="false" ht="15" hidden="false" customHeight="false" outlineLevel="0" collapsed="false">
      <c r="A55" s="22"/>
      <c r="B55" s="23"/>
      <c r="C55" s="24"/>
      <c r="D55" s="22"/>
      <c r="E55" s="24"/>
      <c r="F55" s="22"/>
      <c r="G55" s="22"/>
      <c r="H55" s="23"/>
      <c r="I55" s="25" t="str">
        <f aca="false">IF($A55="","",COUNTIF(Quotations!$B$6:$B$205,$A55))</f>
        <v/>
      </c>
      <c r="J55" s="26" t="str">
        <f aca="false">IF($A55="","",SUMIFS(Quotations!$J$6:$J$205,Quotations!$B$6:$B$205,$A55,Quotations!$L$6:$L$205,"Accepted"))</f>
        <v/>
      </c>
      <c r="K55" s="27" t="str">
        <f aca="true">IF($A55="","",IF(AND(OR($G55="Sent",$G55="Approved"),$H55&lt;&gt;"",$H55&lt;TODAY()),"EXPIRED",""))</f>
        <v/>
      </c>
      <c r="L55" s="24"/>
      <c r="M55" s="24"/>
    </row>
    <row r="56" customFormat="false" ht="15" hidden="false" customHeight="false" outlineLevel="0" collapsed="false">
      <c r="A56" s="22"/>
      <c r="B56" s="23"/>
      <c r="C56" s="24"/>
      <c r="D56" s="22"/>
      <c r="E56" s="24"/>
      <c r="F56" s="22"/>
      <c r="G56" s="22"/>
      <c r="H56" s="23"/>
      <c r="I56" s="25" t="str">
        <f aca="false">IF($A56="","",COUNTIF(Quotations!$B$6:$B$205,$A56))</f>
        <v/>
      </c>
      <c r="J56" s="26" t="str">
        <f aca="false">IF($A56="","",SUMIFS(Quotations!$J$6:$J$205,Quotations!$B$6:$B$205,$A56,Quotations!$L$6:$L$205,"Accepted"))</f>
        <v/>
      </c>
      <c r="K56" s="27" t="str">
        <f aca="true">IF($A56="","",IF(AND(OR($G56="Sent",$G56="Approved"),$H56&lt;&gt;"",$H56&lt;TODAY()),"EXPIRED",""))</f>
        <v/>
      </c>
      <c r="L56" s="24"/>
      <c r="M56" s="24"/>
    </row>
    <row r="57" customFormat="false" ht="15" hidden="false" customHeight="false" outlineLevel="0" collapsed="false">
      <c r="A57" s="22"/>
      <c r="B57" s="23"/>
      <c r="C57" s="24"/>
      <c r="D57" s="22"/>
      <c r="E57" s="24"/>
      <c r="F57" s="22"/>
      <c r="G57" s="22"/>
      <c r="H57" s="23"/>
      <c r="I57" s="25" t="str">
        <f aca="false">IF($A57="","",COUNTIF(Quotations!$B$6:$B$205,$A57))</f>
        <v/>
      </c>
      <c r="J57" s="26" t="str">
        <f aca="false">IF($A57="","",SUMIFS(Quotations!$J$6:$J$205,Quotations!$B$6:$B$205,$A57,Quotations!$L$6:$L$205,"Accepted"))</f>
        <v/>
      </c>
      <c r="K57" s="27" t="str">
        <f aca="true">IF($A57="","",IF(AND(OR($G57="Sent",$G57="Approved"),$H57&lt;&gt;"",$H57&lt;TODAY()),"EXPIRED",""))</f>
        <v/>
      </c>
      <c r="L57" s="24"/>
      <c r="M57" s="24"/>
    </row>
    <row r="58" customFormat="false" ht="15" hidden="false" customHeight="false" outlineLevel="0" collapsed="false">
      <c r="A58" s="22"/>
      <c r="B58" s="23"/>
      <c r="C58" s="24"/>
      <c r="D58" s="22"/>
      <c r="E58" s="24"/>
      <c r="F58" s="22"/>
      <c r="G58" s="22"/>
      <c r="H58" s="23"/>
      <c r="I58" s="25" t="str">
        <f aca="false">IF($A58="","",COUNTIF(Quotations!$B$6:$B$205,$A58))</f>
        <v/>
      </c>
      <c r="J58" s="26" t="str">
        <f aca="false">IF($A58="","",SUMIFS(Quotations!$J$6:$J$205,Quotations!$B$6:$B$205,$A58,Quotations!$L$6:$L$205,"Accepted"))</f>
        <v/>
      </c>
      <c r="K58" s="27" t="str">
        <f aca="true">IF($A58="","",IF(AND(OR($G58="Sent",$G58="Approved"),$H58&lt;&gt;"",$H58&lt;TODAY()),"EXPIRED",""))</f>
        <v/>
      </c>
      <c r="L58" s="24"/>
      <c r="M58" s="24"/>
    </row>
    <row r="59" customFormat="false" ht="15" hidden="false" customHeight="false" outlineLevel="0" collapsed="false">
      <c r="A59" s="22"/>
      <c r="B59" s="23"/>
      <c r="C59" s="24"/>
      <c r="D59" s="22"/>
      <c r="E59" s="24"/>
      <c r="F59" s="22"/>
      <c r="G59" s="22"/>
      <c r="H59" s="23"/>
      <c r="I59" s="25" t="str">
        <f aca="false">IF($A59="","",COUNTIF(Quotations!$B$6:$B$205,$A59))</f>
        <v/>
      </c>
      <c r="J59" s="26" t="str">
        <f aca="false">IF($A59="","",SUMIFS(Quotations!$J$6:$J$205,Quotations!$B$6:$B$205,$A59,Quotations!$L$6:$L$205,"Accepted"))</f>
        <v/>
      </c>
      <c r="K59" s="27" t="str">
        <f aca="true">IF($A59="","",IF(AND(OR($G59="Sent",$G59="Approved"),$H59&lt;&gt;"",$H59&lt;TODAY()),"EXPIRED",""))</f>
        <v/>
      </c>
      <c r="L59" s="24"/>
      <c r="M59" s="24"/>
    </row>
    <row r="60" customFormat="false" ht="15" hidden="false" customHeight="false" outlineLevel="0" collapsed="false">
      <c r="A60" s="22"/>
      <c r="B60" s="23"/>
      <c r="C60" s="24"/>
      <c r="D60" s="22"/>
      <c r="E60" s="24"/>
      <c r="F60" s="22"/>
      <c r="G60" s="22"/>
      <c r="H60" s="23"/>
      <c r="I60" s="25" t="str">
        <f aca="false">IF($A60="","",COUNTIF(Quotations!$B$6:$B$205,$A60))</f>
        <v/>
      </c>
      <c r="J60" s="26" t="str">
        <f aca="false">IF($A60="","",SUMIFS(Quotations!$J$6:$J$205,Quotations!$B$6:$B$205,$A60,Quotations!$L$6:$L$205,"Accepted"))</f>
        <v/>
      </c>
      <c r="K60" s="27" t="str">
        <f aca="true">IF($A60="","",IF(AND(OR($G60="Sent",$G60="Approved"),$H60&lt;&gt;"",$H60&lt;TODAY()),"EXPIRED",""))</f>
        <v/>
      </c>
      <c r="L60" s="24"/>
      <c r="M60" s="24"/>
    </row>
    <row r="61" customFormat="false" ht="15" hidden="false" customHeight="false" outlineLevel="0" collapsed="false">
      <c r="A61" s="22"/>
      <c r="B61" s="23"/>
      <c r="C61" s="24"/>
      <c r="D61" s="22"/>
      <c r="E61" s="24"/>
      <c r="F61" s="22"/>
      <c r="G61" s="22"/>
      <c r="H61" s="23"/>
      <c r="I61" s="25" t="str">
        <f aca="false">IF($A61="","",COUNTIF(Quotations!$B$6:$B$205,$A61))</f>
        <v/>
      </c>
      <c r="J61" s="26" t="str">
        <f aca="false">IF($A61="","",SUMIFS(Quotations!$J$6:$J$205,Quotations!$B$6:$B$205,$A61,Quotations!$L$6:$L$205,"Accepted"))</f>
        <v/>
      </c>
      <c r="K61" s="27" t="str">
        <f aca="true">IF($A61="","",IF(AND(OR($G61="Sent",$G61="Approved"),$H61&lt;&gt;"",$H61&lt;TODAY()),"EXPIRED",""))</f>
        <v/>
      </c>
      <c r="L61" s="24"/>
      <c r="M61" s="24"/>
    </row>
    <row r="62" customFormat="false" ht="15" hidden="false" customHeight="false" outlineLevel="0" collapsed="false">
      <c r="A62" s="22"/>
      <c r="B62" s="23"/>
      <c r="C62" s="24"/>
      <c r="D62" s="22"/>
      <c r="E62" s="24"/>
      <c r="F62" s="22"/>
      <c r="G62" s="22"/>
      <c r="H62" s="23"/>
      <c r="I62" s="25" t="str">
        <f aca="false">IF($A62="","",COUNTIF(Quotations!$B$6:$B$205,$A62))</f>
        <v/>
      </c>
      <c r="J62" s="26" t="str">
        <f aca="false">IF($A62="","",SUMIFS(Quotations!$J$6:$J$205,Quotations!$B$6:$B$205,$A62,Quotations!$L$6:$L$205,"Accepted"))</f>
        <v/>
      </c>
      <c r="K62" s="27" t="str">
        <f aca="true">IF($A62="","",IF(AND(OR($G62="Sent",$G62="Approved"),$H62&lt;&gt;"",$H62&lt;TODAY()),"EXPIRED",""))</f>
        <v/>
      </c>
      <c r="L62" s="24"/>
      <c r="M62" s="24"/>
    </row>
    <row r="63" customFormat="false" ht="15" hidden="false" customHeight="false" outlineLevel="0" collapsed="false">
      <c r="A63" s="22"/>
      <c r="B63" s="23"/>
      <c r="C63" s="24"/>
      <c r="D63" s="22"/>
      <c r="E63" s="24"/>
      <c r="F63" s="22"/>
      <c r="G63" s="22"/>
      <c r="H63" s="23"/>
      <c r="I63" s="25" t="str">
        <f aca="false">IF($A63="","",COUNTIF(Quotations!$B$6:$B$205,$A63))</f>
        <v/>
      </c>
      <c r="J63" s="26" t="str">
        <f aca="false">IF($A63="","",SUMIFS(Quotations!$J$6:$J$205,Quotations!$B$6:$B$205,$A63,Quotations!$L$6:$L$205,"Accepted"))</f>
        <v/>
      </c>
      <c r="K63" s="27" t="str">
        <f aca="true">IF($A63="","",IF(AND(OR($G63="Sent",$G63="Approved"),$H63&lt;&gt;"",$H63&lt;TODAY()),"EXPIRED",""))</f>
        <v/>
      </c>
      <c r="L63" s="24"/>
      <c r="M63" s="24"/>
    </row>
    <row r="64" customFormat="false" ht="15" hidden="false" customHeight="false" outlineLevel="0" collapsed="false">
      <c r="A64" s="22"/>
      <c r="B64" s="23"/>
      <c r="C64" s="24"/>
      <c r="D64" s="22"/>
      <c r="E64" s="24"/>
      <c r="F64" s="22"/>
      <c r="G64" s="22"/>
      <c r="H64" s="23"/>
      <c r="I64" s="25" t="str">
        <f aca="false">IF($A64="","",COUNTIF(Quotations!$B$6:$B$205,$A64))</f>
        <v/>
      </c>
      <c r="J64" s="26" t="str">
        <f aca="false">IF($A64="","",SUMIFS(Quotations!$J$6:$J$205,Quotations!$B$6:$B$205,$A64,Quotations!$L$6:$L$205,"Accepted"))</f>
        <v/>
      </c>
      <c r="K64" s="27" t="str">
        <f aca="true">IF($A64="","",IF(AND(OR($G64="Sent",$G64="Approved"),$H64&lt;&gt;"",$H64&lt;TODAY()),"EXPIRED",""))</f>
        <v/>
      </c>
      <c r="L64" s="24"/>
      <c r="M64" s="24"/>
    </row>
    <row r="65" customFormat="false" ht="15" hidden="false" customHeight="false" outlineLevel="0" collapsed="false">
      <c r="A65" s="22"/>
      <c r="B65" s="23"/>
      <c r="C65" s="24"/>
      <c r="D65" s="22"/>
      <c r="E65" s="24"/>
      <c r="F65" s="22"/>
      <c r="G65" s="22"/>
      <c r="H65" s="23"/>
      <c r="I65" s="25" t="str">
        <f aca="false">IF($A65="","",COUNTIF(Quotations!$B$6:$B$205,$A65))</f>
        <v/>
      </c>
      <c r="J65" s="26" t="str">
        <f aca="false">IF($A65="","",SUMIFS(Quotations!$J$6:$J$205,Quotations!$B$6:$B$205,$A65,Quotations!$L$6:$L$205,"Accepted"))</f>
        <v/>
      </c>
      <c r="K65" s="27" t="str">
        <f aca="true">IF($A65="","",IF(AND(OR($G65="Sent",$G65="Approved"),$H65&lt;&gt;"",$H65&lt;TODAY()),"EXPIRED",""))</f>
        <v/>
      </c>
      <c r="L65" s="24"/>
      <c r="M65" s="24"/>
    </row>
    <row r="66" customFormat="false" ht="15" hidden="false" customHeight="false" outlineLevel="0" collapsed="false">
      <c r="A66" s="22"/>
      <c r="B66" s="23"/>
      <c r="C66" s="24"/>
      <c r="D66" s="22"/>
      <c r="E66" s="24"/>
      <c r="F66" s="22"/>
      <c r="G66" s="22"/>
      <c r="H66" s="23"/>
      <c r="I66" s="25" t="str">
        <f aca="false">IF($A66="","",COUNTIF(Quotations!$B$6:$B$205,$A66))</f>
        <v/>
      </c>
      <c r="J66" s="26" t="str">
        <f aca="false">IF($A66="","",SUMIFS(Quotations!$J$6:$J$205,Quotations!$B$6:$B$205,$A66,Quotations!$L$6:$L$205,"Accepted"))</f>
        <v/>
      </c>
      <c r="K66" s="27" t="str">
        <f aca="true">IF($A66="","",IF(AND(OR($G66="Sent",$G66="Approved"),$H66&lt;&gt;"",$H66&lt;TODAY()),"EXPIRED",""))</f>
        <v/>
      </c>
      <c r="L66" s="24"/>
      <c r="M66" s="24"/>
    </row>
    <row r="67" customFormat="false" ht="15" hidden="false" customHeight="false" outlineLevel="0" collapsed="false">
      <c r="A67" s="22"/>
      <c r="B67" s="23"/>
      <c r="C67" s="24"/>
      <c r="D67" s="22"/>
      <c r="E67" s="24"/>
      <c r="F67" s="22"/>
      <c r="G67" s="22"/>
      <c r="H67" s="23"/>
      <c r="I67" s="25" t="str">
        <f aca="false">IF($A67="","",COUNTIF(Quotations!$B$6:$B$205,$A67))</f>
        <v/>
      </c>
      <c r="J67" s="26" t="str">
        <f aca="false">IF($A67="","",SUMIFS(Quotations!$J$6:$J$205,Quotations!$B$6:$B$205,$A67,Quotations!$L$6:$L$205,"Accepted"))</f>
        <v/>
      </c>
      <c r="K67" s="27" t="str">
        <f aca="true">IF($A67="","",IF(AND(OR($G67="Sent",$G67="Approved"),$H67&lt;&gt;"",$H67&lt;TODAY()),"EXPIRED",""))</f>
        <v/>
      </c>
      <c r="L67" s="24"/>
      <c r="M67" s="24"/>
    </row>
    <row r="68" customFormat="false" ht="15" hidden="false" customHeight="false" outlineLevel="0" collapsed="false">
      <c r="A68" s="22"/>
      <c r="B68" s="23"/>
      <c r="C68" s="24"/>
      <c r="D68" s="22"/>
      <c r="E68" s="24"/>
      <c r="F68" s="22"/>
      <c r="G68" s="22"/>
      <c r="H68" s="23"/>
      <c r="I68" s="25" t="str">
        <f aca="false">IF($A68="","",COUNTIF(Quotations!$B$6:$B$205,$A68))</f>
        <v/>
      </c>
      <c r="J68" s="26" t="str">
        <f aca="false">IF($A68="","",SUMIFS(Quotations!$J$6:$J$205,Quotations!$B$6:$B$205,$A68,Quotations!$L$6:$L$205,"Accepted"))</f>
        <v/>
      </c>
      <c r="K68" s="27" t="str">
        <f aca="true">IF($A68="","",IF(AND(OR($G68="Sent",$G68="Approved"),$H68&lt;&gt;"",$H68&lt;TODAY()),"EXPIRED",""))</f>
        <v/>
      </c>
      <c r="L68" s="24"/>
      <c r="M68" s="24"/>
    </row>
    <row r="69" customFormat="false" ht="15" hidden="false" customHeight="false" outlineLevel="0" collapsed="false">
      <c r="A69" s="22"/>
      <c r="B69" s="23"/>
      <c r="C69" s="24"/>
      <c r="D69" s="22"/>
      <c r="E69" s="24"/>
      <c r="F69" s="22"/>
      <c r="G69" s="22"/>
      <c r="H69" s="23"/>
      <c r="I69" s="25" t="str">
        <f aca="false">IF($A69="","",COUNTIF(Quotations!$B$6:$B$205,$A69))</f>
        <v/>
      </c>
      <c r="J69" s="26" t="str">
        <f aca="false">IF($A69="","",SUMIFS(Quotations!$J$6:$J$205,Quotations!$B$6:$B$205,$A69,Quotations!$L$6:$L$205,"Accepted"))</f>
        <v/>
      </c>
      <c r="K69" s="27" t="str">
        <f aca="true">IF($A69="","",IF(AND(OR($G69="Sent",$G69="Approved"),$H69&lt;&gt;"",$H69&lt;TODAY()),"EXPIRED",""))</f>
        <v/>
      </c>
      <c r="L69" s="24"/>
      <c r="M69" s="24"/>
    </row>
    <row r="70" customFormat="false" ht="15" hidden="false" customHeight="false" outlineLevel="0" collapsed="false">
      <c r="A70" s="22"/>
      <c r="B70" s="23"/>
      <c r="C70" s="24"/>
      <c r="D70" s="22"/>
      <c r="E70" s="24"/>
      <c r="F70" s="22"/>
      <c r="G70" s="22"/>
      <c r="H70" s="23"/>
      <c r="I70" s="25" t="str">
        <f aca="false">IF($A70="","",COUNTIF(Quotations!$B$6:$B$205,$A70))</f>
        <v/>
      </c>
      <c r="J70" s="26" t="str">
        <f aca="false">IF($A70="","",SUMIFS(Quotations!$J$6:$J$205,Quotations!$B$6:$B$205,$A70,Quotations!$L$6:$L$205,"Accepted"))</f>
        <v/>
      </c>
      <c r="K70" s="27" t="str">
        <f aca="true">IF($A70="","",IF(AND(OR($G70="Sent",$G70="Approved"),$H70&lt;&gt;"",$H70&lt;TODAY()),"EXPIRED",""))</f>
        <v/>
      </c>
      <c r="L70" s="24"/>
      <c r="M70" s="24"/>
    </row>
    <row r="71" customFormat="false" ht="15" hidden="false" customHeight="false" outlineLevel="0" collapsed="false">
      <c r="A71" s="22"/>
      <c r="B71" s="23"/>
      <c r="C71" s="24"/>
      <c r="D71" s="22"/>
      <c r="E71" s="24"/>
      <c r="F71" s="22"/>
      <c r="G71" s="22"/>
      <c r="H71" s="23"/>
      <c r="I71" s="25" t="str">
        <f aca="false">IF($A71="","",COUNTIF(Quotations!$B$6:$B$205,$A71))</f>
        <v/>
      </c>
      <c r="J71" s="26" t="str">
        <f aca="false">IF($A71="","",SUMIFS(Quotations!$J$6:$J$205,Quotations!$B$6:$B$205,$A71,Quotations!$L$6:$L$205,"Accepted"))</f>
        <v/>
      </c>
      <c r="K71" s="27" t="str">
        <f aca="true">IF($A71="","",IF(AND(OR($G71="Sent",$G71="Approved"),$H71&lt;&gt;"",$H71&lt;TODAY()),"EXPIRED",""))</f>
        <v/>
      </c>
      <c r="L71" s="24"/>
      <c r="M71" s="24"/>
    </row>
    <row r="72" customFormat="false" ht="15" hidden="false" customHeight="false" outlineLevel="0" collapsed="false">
      <c r="A72" s="22"/>
      <c r="B72" s="23"/>
      <c r="C72" s="24"/>
      <c r="D72" s="22"/>
      <c r="E72" s="24"/>
      <c r="F72" s="22"/>
      <c r="G72" s="22"/>
      <c r="H72" s="23"/>
      <c r="I72" s="25" t="str">
        <f aca="false">IF($A72="","",COUNTIF(Quotations!$B$6:$B$205,$A72))</f>
        <v/>
      </c>
      <c r="J72" s="26" t="str">
        <f aca="false">IF($A72="","",SUMIFS(Quotations!$J$6:$J$205,Quotations!$B$6:$B$205,$A72,Quotations!$L$6:$L$205,"Accepted"))</f>
        <v/>
      </c>
      <c r="K72" s="27" t="str">
        <f aca="true">IF($A72="","",IF(AND(OR($G72="Sent",$G72="Approved"),$H72&lt;&gt;"",$H72&lt;TODAY()),"EXPIRED",""))</f>
        <v/>
      </c>
      <c r="L72" s="24"/>
      <c r="M72" s="24"/>
    </row>
    <row r="73" customFormat="false" ht="15" hidden="false" customHeight="false" outlineLevel="0" collapsed="false">
      <c r="A73" s="22"/>
      <c r="B73" s="23"/>
      <c r="C73" s="24"/>
      <c r="D73" s="22"/>
      <c r="E73" s="24"/>
      <c r="F73" s="22"/>
      <c r="G73" s="22"/>
      <c r="H73" s="23"/>
      <c r="I73" s="25" t="str">
        <f aca="false">IF($A73="","",COUNTIF(Quotations!$B$6:$B$205,$A73))</f>
        <v/>
      </c>
      <c r="J73" s="26" t="str">
        <f aca="false">IF($A73="","",SUMIFS(Quotations!$J$6:$J$205,Quotations!$B$6:$B$205,$A73,Quotations!$L$6:$L$205,"Accepted"))</f>
        <v/>
      </c>
      <c r="K73" s="27" t="str">
        <f aca="true">IF($A73="","",IF(AND(OR($G73="Sent",$G73="Approved"),$H73&lt;&gt;"",$H73&lt;TODAY()),"EXPIRED",""))</f>
        <v/>
      </c>
      <c r="L73" s="24"/>
      <c r="M73" s="24"/>
    </row>
    <row r="74" customFormat="false" ht="15" hidden="false" customHeight="false" outlineLevel="0" collapsed="false">
      <c r="A74" s="22"/>
      <c r="B74" s="23"/>
      <c r="C74" s="24"/>
      <c r="D74" s="22"/>
      <c r="E74" s="24"/>
      <c r="F74" s="22"/>
      <c r="G74" s="22"/>
      <c r="H74" s="23"/>
      <c r="I74" s="25" t="str">
        <f aca="false">IF($A74="","",COUNTIF(Quotations!$B$6:$B$205,$A74))</f>
        <v/>
      </c>
      <c r="J74" s="26" t="str">
        <f aca="false">IF($A74="","",SUMIFS(Quotations!$J$6:$J$205,Quotations!$B$6:$B$205,$A74,Quotations!$L$6:$L$205,"Accepted"))</f>
        <v/>
      </c>
      <c r="K74" s="27" t="str">
        <f aca="true">IF($A74="","",IF(AND(OR($G74="Sent",$G74="Approved"),$H74&lt;&gt;"",$H74&lt;TODAY()),"EXPIRED",""))</f>
        <v/>
      </c>
      <c r="L74" s="24"/>
      <c r="M74" s="24"/>
    </row>
    <row r="75" customFormat="false" ht="15" hidden="false" customHeight="false" outlineLevel="0" collapsed="false">
      <c r="A75" s="22"/>
      <c r="B75" s="23"/>
      <c r="C75" s="24"/>
      <c r="D75" s="22"/>
      <c r="E75" s="24"/>
      <c r="F75" s="22"/>
      <c r="G75" s="22"/>
      <c r="H75" s="23"/>
      <c r="I75" s="25" t="str">
        <f aca="false">IF($A75="","",COUNTIF(Quotations!$B$6:$B$205,$A75))</f>
        <v/>
      </c>
      <c r="J75" s="26" t="str">
        <f aca="false">IF($A75="","",SUMIFS(Quotations!$J$6:$J$205,Quotations!$B$6:$B$205,$A75,Quotations!$L$6:$L$205,"Accepted"))</f>
        <v/>
      </c>
      <c r="K75" s="27" t="str">
        <f aca="true">IF($A75="","",IF(AND(OR($G75="Sent",$G75="Approved"),$H75&lt;&gt;"",$H75&lt;TODAY()),"EXPIRED",""))</f>
        <v/>
      </c>
      <c r="L75" s="24"/>
      <c r="M75" s="24"/>
    </row>
    <row r="76" customFormat="false" ht="15" hidden="false" customHeight="false" outlineLevel="0" collapsed="false">
      <c r="A76" s="22"/>
      <c r="B76" s="23"/>
      <c r="C76" s="24"/>
      <c r="D76" s="22"/>
      <c r="E76" s="24"/>
      <c r="F76" s="22"/>
      <c r="G76" s="22"/>
      <c r="H76" s="23"/>
      <c r="I76" s="25" t="str">
        <f aca="false">IF($A76="","",COUNTIF(Quotations!$B$6:$B$205,$A76))</f>
        <v/>
      </c>
      <c r="J76" s="26" t="str">
        <f aca="false">IF($A76="","",SUMIFS(Quotations!$J$6:$J$205,Quotations!$B$6:$B$205,$A76,Quotations!$L$6:$L$205,"Accepted"))</f>
        <v/>
      </c>
      <c r="K76" s="27" t="str">
        <f aca="true">IF($A76="","",IF(AND(OR($G76="Sent",$G76="Approved"),$H76&lt;&gt;"",$H76&lt;TODAY()),"EXPIRED",""))</f>
        <v/>
      </c>
      <c r="L76" s="24"/>
      <c r="M76" s="24"/>
    </row>
    <row r="77" customFormat="false" ht="15" hidden="false" customHeight="false" outlineLevel="0" collapsed="false">
      <c r="A77" s="22"/>
      <c r="B77" s="23"/>
      <c r="C77" s="24"/>
      <c r="D77" s="22"/>
      <c r="E77" s="24"/>
      <c r="F77" s="22"/>
      <c r="G77" s="22"/>
      <c r="H77" s="23"/>
      <c r="I77" s="25" t="str">
        <f aca="false">IF($A77="","",COUNTIF(Quotations!$B$6:$B$205,$A77))</f>
        <v/>
      </c>
      <c r="J77" s="26" t="str">
        <f aca="false">IF($A77="","",SUMIFS(Quotations!$J$6:$J$205,Quotations!$B$6:$B$205,$A77,Quotations!$L$6:$L$205,"Accepted"))</f>
        <v/>
      </c>
      <c r="K77" s="27" t="str">
        <f aca="true">IF($A77="","",IF(AND(OR($G77="Sent",$G77="Approved"),$H77&lt;&gt;"",$H77&lt;TODAY()),"EXPIRED",""))</f>
        <v/>
      </c>
      <c r="L77" s="24"/>
      <c r="M77" s="24"/>
    </row>
    <row r="78" customFormat="false" ht="15" hidden="false" customHeight="false" outlineLevel="0" collapsed="false">
      <c r="A78" s="22"/>
      <c r="B78" s="23"/>
      <c r="C78" s="24"/>
      <c r="D78" s="22"/>
      <c r="E78" s="24"/>
      <c r="F78" s="22"/>
      <c r="G78" s="22"/>
      <c r="H78" s="23"/>
      <c r="I78" s="25" t="str">
        <f aca="false">IF($A78="","",COUNTIF(Quotations!$B$6:$B$205,$A78))</f>
        <v/>
      </c>
      <c r="J78" s="26" t="str">
        <f aca="false">IF($A78="","",SUMIFS(Quotations!$J$6:$J$205,Quotations!$B$6:$B$205,$A78,Quotations!$L$6:$L$205,"Accepted"))</f>
        <v/>
      </c>
      <c r="K78" s="27" t="str">
        <f aca="true">IF($A78="","",IF(AND(OR($G78="Sent",$G78="Approved"),$H78&lt;&gt;"",$H78&lt;TODAY()),"EXPIRED",""))</f>
        <v/>
      </c>
      <c r="L78" s="24"/>
      <c r="M78" s="24"/>
    </row>
    <row r="79" customFormat="false" ht="15" hidden="false" customHeight="false" outlineLevel="0" collapsed="false">
      <c r="A79" s="22"/>
      <c r="B79" s="23"/>
      <c r="C79" s="24"/>
      <c r="D79" s="22"/>
      <c r="E79" s="24"/>
      <c r="F79" s="22"/>
      <c r="G79" s="22"/>
      <c r="H79" s="23"/>
      <c r="I79" s="25" t="str">
        <f aca="false">IF($A79="","",COUNTIF(Quotations!$B$6:$B$205,$A79))</f>
        <v/>
      </c>
      <c r="J79" s="26" t="str">
        <f aca="false">IF($A79="","",SUMIFS(Quotations!$J$6:$J$205,Quotations!$B$6:$B$205,$A79,Quotations!$L$6:$L$205,"Accepted"))</f>
        <v/>
      </c>
      <c r="K79" s="27" t="str">
        <f aca="true">IF($A79="","",IF(AND(OR($G79="Sent",$G79="Approved"),$H79&lt;&gt;"",$H79&lt;TODAY()),"EXPIRED",""))</f>
        <v/>
      </c>
      <c r="L79" s="24"/>
      <c r="M79" s="24"/>
    </row>
    <row r="80" customFormat="false" ht="15" hidden="false" customHeight="false" outlineLevel="0" collapsed="false">
      <c r="A80" s="22"/>
      <c r="B80" s="23"/>
      <c r="C80" s="24"/>
      <c r="D80" s="22"/>
      <c r="E80" s="24"/>
      <c r="F80" s="22"/>
      <c r="G80" s="22"/>
      <c r="H80" s="23"/>
      <c r="I80" s="25" t="str">
        <f aca="false">IF($A80="","",COUNTIF(Quotations!$B$6:$B$205,$A80))</f>
        <v/>
      </c>
      <c r="J80" s="26" t="str">
        <f aca="false">IF($A80="","",SUMIFS(Quotations!$J$6:$J$205,Quotations!$B$6:$B$205,$A80,Quotations!$L$6:$L$205,"Accepted"))</f>
        <v/>
      </c>
      <c r="K80" s="27" t="str">
        <f aca="true">IF($A80="","",IF(AND(OR($G80="Sent",$G80="Approved"),$H80&lt;&gt;"",$H80&lt;TODAY()),"EXPIRED",""))</f>
        <v/>
      </c>
      <c r="L80" s="24"/>
      <c r="M80" s="24"/>
    </row>
    <row r="81" customFormat="false" ht="15" hidden="false" customHeight="false" outlineLevel="0" collapsed="false">
      <c r="A81" s="22"/>
      <c r="B81" s="23"/>
      <c r="C81" s="24"/>
      <c r="D81" s="22"/>
      <c r="E81" s="24"/>
      <c r="F81" s="22"/>
      <c r="G81" s="22"/>
      <c r="H81" s="23"/>
      <c r="I81" s="25" t="str">
        <f aca="false">IF($A81="","",COUNTIF(Quotations!$B$6:$B$205,$A81))</f>
        <v/>
      </c>
      <c r="J81" s="26" t="str">
        <f aca="false">IF($A81="","",SUMIFS(Quotations!$J$6:$J$205,Quotations!$B$6:$B$205,$A81,Quotations!$L$6:$L$205,"Accepted"))</f>
        <v/>
      </c>
      <c r="K81" s="27" t="str">
        <f aca="true">IF($A81="","",IF(AND(OR($G81="Sent",$G81="Approved"),$H81&lt;&gt;"",$H81&lt;TODAY()),"EXPIRED",""))</f>
        <v/>
      </c>
      <c r="L81" s="24"/>
      <c r="M81" s="24"/>
    </row>
    <row r="82" customFormat="false" ht="15" hidden="false" customHeight="false" outlineLevel="0" collapsed="false">
      <c r="A82" s="22"/>
      <c r="B82" s="23"/>
      <c r="C82" s="24"/>
      <c r="D82" s="22"/>
      <c r="E82" s="24"/>
      <c r="F82" s="22"/>
      <c r="G82" s="22"/>
      <c r="H82" s="23"/>
      <c r="I82" s="25" t="str">
        <f aca="false">IF($A82="","",COUNTIF(Quotations!$B$6:$B$205,$A82))</f>
        <v/>
      </c>
      <c r="J82" s="26" t="str">
        <f aca="false">IF($A82="","",SUMIFS(Quotations!$J$6:$J$205,Quotations!$B$6:$B$205,$A82,Quotations!$L$6:$L$205,"Accepted"))</f>
        <v/>
      </c>
      <c r="K82" s="27" t="str">
        <f aca="true">IF($A82="","",IF(AND(OR($G82="Sent",$G82="Approved"),$H82&lt;&gt;"",$H82&lt;TODAY()),"EXPIRED",""))</f>
        <v/>
      </c>
      <c r="L82" s="24"/>
      <c r="M82" s="24"/>
    </row>
    <row r="83" customFormat="false" ht="15" hidden="false" customHeight="false" outlineLevel="0" collapsed="false">
      <c r="A83" s="22"/>
      <c r="B83" s="23"/>
      <c r="C83" s="24"/>
      <c r="D83" s="22"/>
      <c r="E83" s="24"/>
      <c r="F83" s="22"/>
      <c r="G83" s="22"/>
      <c r="H83" s="23"/>
      <c r="I83" s="25" t="str">
        <f aca="false">IF($A83="","",COUNTIF(Quotations!$B$6:$B$205,$A83))</f>
        <v/>
      </c>
      <c r="J83" s="26" t="str">
        <f aca="false">IF($A83="","",SUMIFS(Quotations!$J$6:$J$205,Quotations!$B$6:$B$205,$A83,Quotations!$L$6:$L$205,"Accepted"))</f>
        <v/>
      </c>
      <c r="K83" s="27" t="str">
        <f aca="true">IF($A83="","",IF(AND(OR($G83="Sent",$G83="Approved"),$H83&lt;&gt;"",$H83&lt;TODAY()),"EXPIRED",""))</f>
        <v/>
      </c>
      <c r="L83" s="24"/>
      <c r="M83" s="24"/>
    </row>
    <row r="84" customFormat="false" ht="15" hidden="false" customHeight="false" outlineLevel="0" collapsed="false">
      <c r="A84" s="22"/>
      <c r="B84" s="23"/>
      <c r="C84" s="24"/>
      <c r="D84" s="22"/>
      <c r="E84" s="24"/>
      <c r="F84" s="22"/>
      <c r="G84" s="22"/>
      <c r="H84" s="23"/>
      <c r="I84" s="25" t="str">
        <f aca="false">IF($A84="","",COUNTIF(Quotations!$B$6:$B$205,$A84))</f>
        <v/>
      </c>
      <c r="J84" s="26" t="str">
        <f aca="false">IF($A84="","",SUMIFS(Quotations!$J$6:$J$205,Quotations!$B$6:$B$205,$A84,Quotations!$L$6:$L$205,"Accepted"))</f>
        <v/>
      </c>
      <c r="K84" s="27" t="str">
        <f aca="true">IF($A84="","",IF(AND(OR($G84="Sent",$G84="Approved"),$H84&lt;&gt;"",$H84&lt;TODAY()),"EXPIRED",""))</f>
        <v/>
      </c>
      <c r="L84" s="24"/>
      <c r="M84" s="24"/>
    </row>
    <row r="85" customFormat="false" ht="15" hidden="false" customHeight="false" outlineLevel="0" collapsed="false">
      <c r="A85" s="22"/>
      <c r="B85" s="23"/>
      <c r="C85" s="24"/>
      <c r="D85" s="22"/>
      <c r="E85" s="24"/>
      <c r="F85" s="22"/>
      <c r="G85" s="22"/>
      <c r="H85" s="23"/>
      <c r="I85" s="25" t="str">
        <f aca="false">IF($A85="","",COUNTIF(Quotations!$B$6:$B$205,$A85))</f>
        <v/>
      </c>
      <c r="J85" s="26" t="str">
        <f aca="false">IF($A85="","",SUMIFS(Quotations!$J$6:$J$205,Quotations!$B$6:$B$205,$A85,Quotations!$L$6:$L$205,"Accepted"))</f>
        <v/>
      </c>
      <c r="K85" s="27" t="str">
        <f aca="true">IF($A85="","",IF(AND(OR($G85="Sent",$G85="Approved"),$H85&lt;&gt;"",$H85&lt;TODAY()),"EXPIRED",""))</f>
        <v/>
      </c>
      <c r="L85" s="24"/>
      <c r="M85" s="24"/>
    </row>
    <row r="86" customFormat="false" ht="15" hidden="false" customHeight="false" outlineLevel="0" collapsed="false">
      <c r="A86" s="22"/>
      <c r="B86" s="23"/>
      <c r="C86" s="24"/>
      <c r="D86" s="22"/>
      <c r="E86" s="24"/>
      <c r="F86" s="22"/>
      <c r="G86" s="22"/>
      <c r="H86" s="23"/>
      <c r="I86" s="25" t="str">
        <f aca="false">IF($A86="","",COUNTIF(Quotations!$B$6:$B$205,$A86))</f>
        <v/>
      </c>
      <c r="J86" s="26" t="str">
        <f aca="false">IF($A86="","",SUMIFS(Quotations!$J$6:$J$205,Quotations!$B$6:$B$205,$A86,Quotations!$L$6:$L$205,"Accepted"))</f>
        <v/>
      </c>
      <c r="K86" s="27" t="str">
        <f aca="true">IF($A86="","",IF(AND(OR($G86="Sent",$G86="Approved"),$H86&lt;&gt;"",$H86&lt;TODAY()),"EXPIRED",""))</f>
        <v/>
      </c>
      <c r="L86" s="24"/>
      <c r="M86" s="24"/>
    </row>
    <row r="87" customFormat="false" ht="15" hidden="false" customHeight="false" outlineLevel="0" collapsed="false">
      <c r="A87" s="22"/>
      <c r="B87" s="23"/>
      <c r="C87" s="24"/>
      <c r="D87" s="22"/>
      <c r="E87" s="24"/>
      <c r="F87" s="22"/>
      <c r="G87" s="22"/>
      <c r="H87" s="23"/>
      <c r="I87" s="25" t="str">
        <f aca="false">IF($A87="","",COUNTIF(Quotations!$B$6:$B$205,$A87))</f>
        <v/>
      </c>
      <c r="J87" s="26" t="str">
        <f aca="false">IF($A87="","",SUMIFS(Quotations!$J$6:$J$205,Quotations!$B$6:$B$205,$A87,Quotations!$L$6:$L$205,"Accepted"))</f>
        <v/>
      </c>
      <c r="K87" s="27" t="str">
        <f aca="true">IF($A87="","",IF(AND(OR($G87="Sent",$G87="Approved"),$H87&lt;&gt;"",$H87&lt;TODAY()),"EXPIRED",""))</f>
        <v/>
      </c>
      <c r="L87" s="24"/>
      <c r="M87" s="24"/>
    </row>
    <row r="88" customFormat="false" ht="15" hidden="false" customHeight="false" outlineLevel="0" collapsed="false">
      <c r="A88" s="22"/>
      <c r="B88" s="23"/>
      <c r="C88" s="24"/>
      <c r="D88" s="22"/>
      <c r="E88" s="24"/>
      <c r="F88" s="22"/>
      <c r="G88" s="22"/>
      <c r="H88" s="23"/>
      <c r="I88" s="25" t="str">
        <f aca="false">IF($A88="","",COUNTIF(Quotations!$B$6:$B$205,$A88))</f>
        <v/>
      </c>
      <c r="J88" s="26" t="str">
        <f aca="false">IF($A88="","",SUMIFS(Quotations!$J$6:$J$205,Quotations!$B$6:$B$205,$A88,Quotations!$L$6:$L$205,"Accepted"))</f>
        <v/>
      </c>
      <c r="K88" s="27" t="str">
        <f aca="true">IF($A88="","",IF(AND(OR($G88="Sent",$G88="Approved"),$H88&lt;&gt;"",$H88&lt;TODAY()),"EXPIRED",""))</f>
        <v/>
      </c>
      <c r="L88" s="24"/>
      <c r="M88" s="24"/>
    </row>
    <row r="89" customFormat="false" ht="15" hidden="false" customHeight="false" outlineLevel="0" collapsed="false">
      <c r="A89" s="22"/>
      <c r="B89" s="23"/>
      <c r="C89" s="24"/>
      <c r="D89" s="22"/>
      <c r="E89" s="24"/>
      <c r="F89" s="22"/>
      <c r="G89" s="22"/>
      <c r="H89" s="23"/>
      <c r="I89" s="25" t="str">
        <f aca="false">IF($A89="","",COUNTIF(Quotations!$B$6:$B$205,$A89))</f>
        <v/>
      </c>
      <c r="J89" s="26" t="str">
        <f aca="false">IF($A89="","",SUMIFS(Quotations!$J$6:$J$205,Quotations!$B$6:$B$205,$A89,Quotations!$L$6:$L$205,"Accepted"))</f>
        <v/>
      </c>
      <c r="K89" s="27" t="str">
        <f aca="true">IF($A89="","",IF(AND(OR($G89="Sent",$G89="Approved"),$H89&lt;&gt;"",$H89&lt;TODAY()),"EXPIRED",""))</f>
        <v/>
      </c>
      <c r="L89" s="24"/>
      <c r="M89" s="24"/>
    </row>
    <row r="90" customFormat="false" ht="15" hidden="false" customHeight="false" outlineLevel="0" collapsed="false">
      <c r="A90" s="22"/>
      <c r="B90" s="23"/>
      <c r="C90" s="24"/>
      <c r="D90" s="22"/>
      <c r="E90" s="24"/>
      <c r="F90" s="22"/>
      <c r="G90" s="22"/>
      <c r="H90" s="23"/>
      <c r="I90" s="25" t="str">
        <f aca="false">IF($A90="","",COUNTIF(Quotations!$B$6:$B$205,$A90))</f>
        <v/>
      </c>
      <c r="J90" s="26" t="str">
        <f aca="false">IF($A90="","",SUMIFS(Quotations!$J$6:$J$205,Quotations!$B$6:$B$205,$A90,Quotations!$L$6:$L$205,"Accepted"))</f>
        <v/>
      </c>
      <c r="K90" s="27" t="str">
        <f aca="true">IF($A90="","",IF(AND(OR($G90="Sent",$G90="Approved"),$H90&lt;&gt;"",$H90&lt;TODAY()),"EXPIRED",""))</f>
        <v/>
      </c>
      <c r="L90" s="24"/>
      <c r="M90" s="24"/>
    </row>
    <row r="91" customFormat="false" ht="15" hidden="false" customHeight="false" outlineLevel="0" collapsed="false">
      <c r="A91" s="22"/>
      <c r="B91" s="23"/>
      <c r="C91" s="24"/>
      <c r="D91" s="22"/>
      <c r="E91" s="24"/>
      <c r="F91" s="22"/>
      <c r="G91" s="22"/>
      <c r="H91" s="23"/>
      <c r="I91" s="25" t="str">
        <f aca="false">IF($A91="","",COUNTIF(Quotations!$B$6:$B$205,$A91))</f>
        <v/>
      </c>
      <c r="J91" s="26" t="str">
        <f aca="false">IF($A91="","",SUMIFS(Quotations!$J$6:$J$205,Quotations!$B$6:$B$205,$A91,Quotations!$L$6:$L$205,"Accepted"))</f>
        <v/>
      </c>
      <c r="K91" s="27" t="str">
        <f aca="true">IF($A91="","",IF(AND(OR($G91="Sent",$G91="Approved"),$H91&lt;&gt;"",$H91&lt;TODAY()),"EXPIRED",""))</f>
        <v/>
      </c>
      <c r="L91" s="24"/>
      <c r="M91" s="24"/>
    </row>
    <row r="92" customFormat="false" ht="15" hidden="false" customHeight="false" outlineLevel="0" collapsed="false">
      <c r="A92" s="22"/>
      <c r="B92" s="23"/>
      <c r="C92" s="24"/>
      <c r="D92" s="22"/>
      <c r="E92" s="24"/>
      <c r="F92" s="22"/>
      <c r="G92" s="22"/>
      <c r="H92" s="23"/>
      <c r="I92" s="25" t="str">
        <f aca="false">IF($A92="","",COUNTIF(Quotations!$B$6:$B$205,$A92))</f>
        <v/>
      </c>
      <c r="J92" s="26" t="str">
        <f aca="false">IF($A92="","",SUMIFS(Quotations!$J$6:$J$205,Quotations!$B$6:$B$205,$A92,Quotations!$L$6:$L$205,"Accepted"))</f>
        <v/>
      </c>
      <c r="K92" s="27" t="str">
        <f aca="true">IF($A92="","",IF(AND(OR($G92="Sent",$G92="Approved"),$H92&lt;&gt;"",$H92&lt;TODAY()),"EXPIRED",""))</f>
        <v/>
      </c>
      <c r="L92" s="24"/>
      <c r="M92" s="24"/>
    </row>
    <row r="93" customFormat="false" ht="15" hidden="false" customHeight="false" outlineLevel="0" collapsed="false">
      <c r="A93" s="22"/>
      <c r="B93" s="23"/>
      <c r="C93" s="24"/>
      <c r="D93" s="22"/>
      <c r="E93" s="24"/>
      <c r="F93" s="22"/>
      <c r="G93" s="22"/>
      <c r="H93" s="23"/>
      <c r="I93" s="25" t="str">
        <f aca="false">IF($A93="","",COUNTIF(Quotations!$B$6:$B$205,$A93))</f>
        <v/>
      </c>
      <c r="J93" s="26" t="str">
        <f aca="false">IF($A93="","",SUMIFS(Quotations!$J$6:$J$205,Quotations!$B$6:$B$205,$A93,Quotations!$L$6:$L$205,"Accepted"))</f>
        <v/>
      </c>
      <c r="K93" s="27" t="str">
        <f aca="true">IF($A93="","",IF(AND(OR($G93="Sent",$G93="Approved"),$H93&lt;&gt;"",$H93&lt;TODAY()),"EXPIRED",""))</f>
        <v/>
      </c>
      <c r="L93" s="24"/>
      <c r="M93" s="24"/>
    </row>
    <row r="94" customFormat="false" ht="15" hidden="false" customHeight="false" outlineLevel="0" collapsed="false">
      <c r="A94" s="22"/>
      <c r="B94" s="23"/>
      <c r="C94" s="24"/>
      <c r="D94" s="22"/>
      <c r="E94" s="24"/>
      <c r="F94" s="22"/>
      <c r="G94" s="22"/>
      <c r="H94" s="23"/>
      <c r="I94" s="25" t="str">
        <f aca="false">IF($A94="","",COUNTIF(Quotations!$B$6:$B$205,$A94))</f>
        <v/>
      </c>
      <c r="J94" s="26" t="str">
        <f aca="false">IF($A94="","",SUMIFS(Quotations!$J$6:$J$205,Quotations!$B$6:$B$205,$A94,Quotations!$L$6:$L$205,"Accepted"))</f>
        <v/>
      </c>
      <c r="K94" s="27" t="str">
        <f aca="true">IF($A94="","",IF(AND(OR($G94="Sent",$G94="Approved"),$H94&lt;&gt;"",$H94&lt;TODAY()),"EXPIRED",""))</f>
        <v/>
      </c>
      <c r="L94" s="24"/>
      <c r="M94" s="24"/>
    </row>
    <row r="95" customFormat="false" ht="15" hidden="false" customHeight="false" outlineLevel="0" collapsed="false">
      <c r="A95" s="22"/>
      <c r="B95" s="23"/>
      <c r="C95" s="24"/>
      <c r="D95" s="22"/>
      <c r="E95" s="24"/>
      <c r="F95" s="22"/>
      <c r="G95" s="22"/>
      <c r="H95" s="23"/>
      <c r="I95" s="25" t="str">
        <f aca="false">IF($A95="","",COUNTIF(Quotations!$B$6:$B$205,$A95))</f>
        <v/>
      </c>
      <c r="J95" s="26" t="str">
        <f aca="false">IF($A95="","",SUMIFS(Quotations!$J$6:$J$205,Quotations!$B$6:$B$205,$A95,Quotations!$L$6:$L$205,"Accepted"))</f>
        <v/>
      </c>
      <c r="K95" s="27" t="str">
        <f aca="true">IF($A95="","",IF(AND(OR($G95="Sent",$G95="Approved"),$H95&lt;&gt;"",$H95&lt;TODAY()),"EXPIRED",""))</f>
        <v/>
      </c>
      <c r="L95" s="24"/>
      <c r="M95" s="24"/>
    </row>
    <row r="96" customFormat="false" ht="15" hidden="false" customHeight="false" outlineLevel="0" collapsed="false">
      <c r="A96" s="22"/>
      <c r="B96" s="23"/>
      <c r="C96" s="24"/>
      <c r="D96" s="22"/>
      <c r="E96" s="24"/>
      <c r="F96" s="22"/>
      <c r="G96" s="22"/>
      <c r="H96" s="23"/>
      <c r="I96" s="25" t="str">
        <f aca="false">IF($A96="","",COUNTIF(Quotations!$B$6:$B$205,$A96))</f>
        <v/>
      </c>
      <c r="J96" s="26" t="str">
        <f aca="false">IF($A96="","",SUMIFS(Quotations!$J$6:$J$205,Quotations!$B$6:$B$205,$A96,Quotations!$L$6:$L$205,"Accepted"))</f>
        <v/>
      </c>
      <c r="K96" s="27" t="str">
        <f aca="true">IF($A96="","",IF(AND(OR($G96="Sent",$G96="Approved"),$H96&lt;&gt;"",$H96&lt;TODAY()),"EXPIRED",""))</f>
        <v/>
      </c>
      <c r="L96" s="24"/>
      <c r="M96" s="24"/>
    </row>
    <row r="97" customFormat="false" ht="15" hidden="false" customHeight="false" outlineLevel="0" collapsed="false">
      <c r="A97" s="22"/>
      <c r="B97" s="23"/>
      <c r="C97" s="24"/>
      <c r="D97" s="22"/>
      <c r="E97" s="24"/>
      <c r="F97" s="22"/>
      <c r="G97" s="22"/>
      <c r="H97" s="23"/>
      <c r="I97" s="25" t="str">
        <f aca="false">IF($A97="","",COUNTIF(Quotations!$B$6:$B$205,$A97))</f>
        <v/>
      </c>
      <c r="J97" s="26" t="str">
        <f aca="false">IF($A97="","",SUMIFS(Quotations!$J$6:$J$205,Quotations!$B$6:$B$205,$A97,Quotations!$L$6:$L$205,"Accepted"))</f>
        <v/>
      </c>
      <c r="K97" s="27" t="str">
        <f aca="true">IF($A97="","",IF(AND(OR($G97="Sent",$G97="Approved"),$H97&lt;&gt;"",$H97&lt;TODAY()),"EXPIRED",""))</f>
        <v/>
      </c>
      <c r="L97" s="24"/>
      <c r="M97" s="24"/>
    </row>
    <row r="98" customFormat="false" ht="15" hidden="false" customHeight="false" outlineLevel="0" collapsed="false">
      <c r="A98" s="22"/>
      <c r="B98" s="23"/>
      <c r="C98" s="24"/>
      <c r="D98" s="22"/>
      <c r="E98" s="24"/>
      <c r="F98" s="22"/>
      <c r="G98" s="22"/>
      <c r="H98" s="23"/>
      <c r="I98" s="25" t="str">
        <f aca="false">IF($A98="","",COUNTIF(Quotations!$B$6:$B$205,$A98))</f>
        <v/>
      </c>
      <c r="J98" s="26" t="str">
        <f aca="false">IF($A98="","",SUMIFS(Quotations!$J$6:$J$205,Quotations!$B$6:$B$205,$A98,Quotations!$L$6:$L$205,"Accepted"))</f>
        <v/>
      </c>
      <c r="K98" s="27" t="str">
        <f aca="true">IF($A98="","",IF(AND(OR($G98="Sent",$G98="Approved"),$H98&lt;&gt;"",$H98&lt;TODAY()),"EXPIRED",""))</f>
        <v/>
      </c>
      <c r="L98" s="24"/>
      <c r="M98" s="24"/>
    </row>
    <row r="99" customFormat="false" ht="15" hidden="false" customHeight="false" outlineLevel="0" collapsed="false">
      <c r="A99" s="22"/>
      <c r="B99" s="23"/>
      <c r="C99" s="24"/>
      <c r="D99" s="22"/>
      <c r="E99" s="24"/>
      <c r="F99" s="22"/>
      <c r="G99" s="22"/>
      <c r="H99" s="23"/>
      <c r="I99" s="25" t="str">
        <f aca="false">IF($A99="","",COUNTIF(Quotations!$B$6:$B$205,$A99))</f>
        <v/>
      </c>
      <c r="J99" s="26" t="str">
        <f aca="false">IF($A99="","",SUMIFS(Quotations!$J$6:$J$205,Quotations!$B$6:$B$205,$A99,Quotations!$L$6:$L$205,"Accepted"))</f>
        <v/>
      </c>
      <c r="K99" s="27" t="str">
        <f aca="true">IF($A99="","",IF(AND(OR($G99="Sent",$G99="Approved"),$H99&lt;&gt;"",$H99&lt;TODAY()),"EXPIRED",""))</f>
        <v/>
      </c>
      <c r="L99" s="24"/>
      <c r="M99" s="24"/>
    </row>
    <row r="100" customFormat="false" ht="15" hidden="false" customHeight="false" outlineLevel="0" collapsed="false">
      <c r="A100" s="22"/>
      <c r="B100" s="23"/>
      <c r="C100" s="24"/>
      <c r="D100" s="22"/>
      <c r="E100" s="24"/>
      <c r="F100" s="22"/>
      <c r="G100" s="22"/>
      <c r="H100" s="23"/>
      <c r="I100" s="25" t="str">
        <f aca="false">IF($A100="","",COUNTIF(Quotations!$B$6:$B$205,$A100))</f>
        <v/>
      </c>
      <c r="J100" s="26" t="str">
        <f aca="false">IF($A100="","",SUMIFS(Quotations!$J$6:$J$205,Quotations!$B$6:$B$205,$A100,Quotations!$L$6:$L$205,"Accepted"))</f>
        <v/>
      </c>
      <c r="K100" s="27" t="str">
        <f aca="true">IF($A100="","",IF(AND(OR($G100="Sent",$G100="Approved"),$H100&lt;&gt;"",$H100&lt;TODAY()),"EXPIRED",""))</f>
        <v/>
      </c>
      <c r="L100" s="24"/>
      <c r="M100" s="24"/>
    </row>
    <row r="101" customFormat="false" ht="15" hidden="false" customHeight="false" outlineLevel="0" collapsed="false">
      <c r="A101" s="22"/>
      <c r="B101" s="23"/>
      <c r="C101" s="24"/>
      <c r="D101" s="22"/>
      <c r="E101" s="24"/>
      <c r="F101" s="22"/>
      <c r="G101" s="22"/>
      <c r="H101" s="23"/>
      <c r="I101" s="25" t="str">
        <f aca="false">IF($A101="","",COUNTIF(Quotations!$B$6:$B$205,$A101))</f>
        <v/>
      </c>
      <c r="J101" s="26" t="str">
        <f aca="false">IF($A101="","",SUMIFS(Quotations!$J$6:$J$205,Quotations!$B$6:$B$205,$A101,Quotations!$L$6:$L$205,"Accepted"))</f>
        <v/>
      </c>
      <c r="K101" s="27" t="str">
        <f aca="true">IF($A101="","",IF(AND(OR($G101="Sent",$G101="Approved"),$H101&lt;&gt;"",$H101&lt;TODAY()),"EXPIRED",""))</f>
        <v/>
      </c>
      <c r="L101" s="24"/>
      <c r="M101" s="24"/>
    </row>
    <row r="102" customFormat="false" ht="15" hidden="false" customHeight="false" outlineLevel="0" collapsed="false">
      <c r="A102" s="22"/>
      <c r="B102" s="23"/>
      <c r="C102" s="24"/>
      <c r="D102" s="22"/>
      <c r="E102" s="24"/>
      <c r="F102" s="22"/>
      <c r="G102" s="22"/>
      <c r="H102" s="23"/>
      <c r="I102" s="25" t="str">
        <f aca="false">IF($A102="","",COUNTIF(Quotations!$B$6:$B$205,$A102))</f>
        <v/>
      </c>
      <c r="J102" s="26" t="str">
        <f aca="false">IF($A102="","",SUMIFS(Quotations!$J$6:$J$205,Quotations!$B$6:$B$205,$A102,Quotations!$L$6:$L$205,"Accepted"))</f>
        <v/>
      </c>
      <c r="K102" s="27" t="str">
        <f aca="true">IF($A102="","",IF(AND(OR($G102="Sent",$G102="Approved"),$H102&lt;&gt;"",$H102&lt;TODAY()),"EXPIRED",""))</f>
        <v/>
      </c>
      <c r="L102" s="24"/>
      <c r="M102" s="24"/>
    </row>
    <row r="103" customFormat="false" ht="15" hidden="false" customHeight="false" outlineLevel="0" collapsed="false">
      <c r="A103" s="22"/>
      <c r="B103" s="23"/>
      <c r="C103" s="24"/>
      <c r="D103" s="22"/>
      <c r="E103" s="24"/>
      <c r="F103" s="22"/>
      <c r="G103" s="22"/>
      <c r="H103" s="23"/>
      <c r="I103" s="25" t="str">
        <f aca="false">IF($A103="","",COUNTIF(Quotations!$B$6:$B$205,$A103))</f>
        <v/>
      </c>
      <c r="J103" s="26" t="str">
        <f aca="false">IF($A103="","",SUMIFS(Quotations!$J$6:$J$205,Quotations!$B$6:$B$205,$A103,Quotations!$L$6:$L$205,"Accepted"))</f>
        <v/>
      </c>
      <c r="K103" s="27" t="str">
        <f aca="true">IF($A103="","",IF(AND(OR($G103="Sent",$G103="Approved"),$H103&lt;&gt;"",$H103&lt;TODAY()),"EXPIRED",""))</f>
        <v/>
      </c>
      <c r="L103" s="24"/>
      <c r="M103" s="24"/>
    </row>
    <row r="104" customFormat="false" ht="15" hidden="false" customHeight="false" outlineLevel="0" collapsed="false">
      <c r="A104" s="22"/>
      <c r="B104" s="23"/>
      <c r="C104" s="24"/>
      <c r="D104" s="22"/>
      <c r="E104" s="24"/>
      <c r="F104" s="22"/>
      <c r="G104" s="22"/>
      <c r="H104" s="23"/>
      <c r="I104" s="25" t="str">
        <f aca="false">IF($A104="","",COUNTIF(Quotations!$B$6:$B$205,$A104))</f>
        <v/>
      </c>
      <c r="J104" s="26" t="str">
        <f aca="false">IF($A104="","",SUMIFS(Quotations!$J$6:$J$205,Quotations!$B$6:$B$205,$A104,Quotations!$L$6:$L$205,"Accepted"))</f>
        <v/>
      </c>
      <c r="K104" s="27" t="str">
        <f aca="true">IF($A104="","",IF(AND(OR($G104="Sent",$G104="Approved"),$H104&lt;&gt;"",$H104&lt;TODAY()),"EXPIRED",""))</f>
        <v/>
      </c>
      <c r="L104" s="24"/>
      <c r="M104" s="24"/>
    </row>
    <row r="105" customFormat="false" ht="15" hidden="false" customHeight="false" outlineLevel="0" collapsed="false">
      <c r="A105" s="22"/>
      <c r="B105" s="23"/>
      <c r="C105" s="24"/>
      <c r="D105" s="22"/>
      <c r="E105" s="24"/>
      <c r="F105" s="22"/>
      <c r="G105" s="22"/>
      <c r="H105" s="23"/>
      <c r="I105" s="25" t="str">
        <f aca="false">IF($A105="","",COUNTIF(Quotations!$B$6:$B$205,$A105))</f>
        <v/>
      </c>
      <c r="J105" s="26" t="str">
        <f aca="false">IF($A105="","",SUMIFS(Quotations!$J$6:$J$205,Quotations!$B$6:$B$205,$A105,Quotations!$L$6:$L$205,"Accepted"))</f>
        <v/>
      </c>
      <c r="K105" s="27" t="str">
        <f aca="true">IF($A105="","",IF(AND(OR($G105="Sent",$G105="Approved"),$H105&lt;&gt;"",$H105&lt;TODAY()),"EXPIRED",""))</f>
        <v/>
      </c>
      <c r="L105" s="24"/>
      <c r="M105" s="24"/>
    </row>
    <row r="106" customFormat="false" ht="15" hidden="false" customHeight="false" outlineLevel="0" collapsed="false">
      <c r="A106" s="22"/>
      <c r="B106" s="23"/>
      <c r="C106" s="24"/>
      <c r="D106" s="22"/>
      <c r="E106" s="24"/>
      <c r="F106" s="22"/>
      <c r="G106" s="22"/>
      <c r="H106" s="23"/>
      <c r="I106" s="25" t="str">
        <f aca="false">IF($A106="","",COUNTIF(Quotations!$B$6:$B$205,$A106))</f>
        <v/>
      </c>
      <c r="J106" s="26" t="str">
        <f aca="false">IF($A106="","",SUMIFS(Quotations!$J$6:$J$205,Quotations!$B$6:$B$205,$A106,Quotations!$L$6:$L$205,"Accepted"))</f>
        <v/>
      </c>
      <c r="K106" s="27" t="str">
        <f aca="true">IF($A106="","",IF(AND(OR($G106="Sent",$G106="Approved"),$H106&lt;&gt;"",$H106&lt;TODAY()),"EXPIRED",""))</f>
        <v/>
      </c>
      <c r="L106" s="24"/>
      <c r="M106" s="24"/>
    </row>
    <row r="107" customFormat="false" ht="15" hidden="false" customHeight="false" outlineLevel="0" collapsed="false">
      <c r="A107" s="22"/>
      <c r="B107" s="23"/>
      <c r="C107" s="24"/>
      <c r="D107" s="22"/>
      <c r="E107" s="24"/>
      <c r="F107" s="22"/>
      <c r="G107" s="22"/>
      <c r="H107" s="23"/>
      <c r="I107" s="25" t="str">
        <f aca="false">IF($A107="","",COUNTIF(Quotations!$B$6:$B$205,$A107))</f>
        <v/>
      </c>
      <c r="J107" s="26" t="str">
        <f aca="false">IF($A107="","",SUMIFS(Quotations!$J$6:$J$205,Quotations!$B$6:$B$205,$A107,Quotations!$L$6:$L$205,"Accepted"))</f>
        <v/>
      </c>
      <c r="K107" s="27" t="str">
        <f aca="true">IF($A107="","",IF(AND(OR($G107="Sent",$G107="Approved"),$H107&lt;&gt;"",$H107&lt;TODAY()),"EXPIRED",""))</f>
        <v/>
      </c>
      <c r="L107" s="24"/>
      <c r="M107" s="24"/>
    </row>
    <row r="108" customFormat="false" ht="15" hidden="false" customHeight="false" outlineLevel="0" collapsed="false">
      <c r="A108" s="22"/>
      <c r="B108" s="23"/>
      <c r="C108" s="24"/>
      <c r="D108" s="22"/>
      <c r="E108" s="24"/>
      <c r="F108" s="22"/>
      <c r="G108" s="22"/>
      <c r="H108" s="23"/>
      <c r="I108" s="25" t="str">
        <f aca="false">IF($A108="","",COUNTIF(Quotations!$B$6:$B$205,$A108))</f>
        <v/>
      </c>
      <c r="J108" s="26" t="str">
        <f aca="false">IF($A108="","",SUMIFS(Quotations!$J$6:$J$205,Quotations!$B$6:$B$205,$A108,Quotations!$L$6:$L$205,"Accepted"))</f>
        <v/>
      </c>
      <c r="K108" s="27" t="str">
        <f aca="true">IF($A108="","",IF(AND(OR($G108="Sent",$G108="Approved"),$H108&lt;&gt;"",$H108&lt;TODAY()),"EXPIRED",""))</f>
        <v/>
      </c>
      <c r="L108" s="24"/>
      <c r="M108" s="24"/>
    </row>
    <row r="109" customFormat="false" ht="15" hidden="false" customHeight="false" outlineLevel="0" collapsed="false">
      <c r="A109" s="22"/>
      <c r="B109" s="23"/>
      <c r="C109" s="24"/>
      <c r="D109" s="22"/>
      <c r="E109" s="24"/>
      <c r="F109" s="22"/>
      <c r="G109" s="22"/>
      <c r="H109" s="23"/>
      <c r="I109" s="25" t="str">
        <f aca="false">IF($A109="","",COUNTIF(Quotations!$B$6:$B$205,$A109))</f>
        <v/>
      </c>
      <c r="J109" s="26" t="str">
        <f aca="false">IF($A109="","",SUMIFS(Quotations!$J$6:$J$205,Quotations!$B$6:$B$205,$A109,Quotations!$L$6:$L$205,"Accepted"))</f>
        <v/>
      </c>
      <c r="K109" s="27" t="str">
        <f aca="true">IF($A109="","",IF(AND(OR($G109="Sent",$G109="Approved"),$H109&lt;&gt;"",$H109&lt;TODAY()),"EXPIRED",""))</f>
        <v/>
      </c>
      <c r="L109" s="24"/>
      <c r="M109" s="24"/>
    </row>
    <row r="110" customFormat="false" ht="15" hidden="false" customHeight="false" outlineLevel="0" collapsed="false">
      <c r="A110" s="22"/>
      <c r="B110" s="23"/>
      <c r="C110" s="24"/>
      <c r="D110" s="22"/>
      <c r="E110" s="24"/>
      <c r="F110" s="22"/>
      <c r="G110" s="22"/>
      <c r="H110" s="23"/>
      <c r="I110" s="25" t="str">
        <f aca="false">IF($A110="","",COUNTIF(Quotations!$B$6:$B$205,$A110))</f>
        <v/>
      </c>
      <c r="J110" s="26" t="str">
        <f aca="false">IF($A110="","",SUMIFS(Quotations!$J$6:$J$205,Quotations!$B$6:$B$205,$A110,Quotations!$L$6:$L$205,"Accepted"))</f>
        <v/>
      </c>
      <c r="K110" s="27" t="str">
        <f aca="true">IF($A110="","",IF(AND(OR($G110="Sent",$G110="Approved"),$H110&lt;&gt;"",$H110&lt;TODAY()),"EXPIRED",""))</f>
        <v/>
      </c>
      <c r="L110" s="24"/>
      <c r="M110" s="24"/>
    </row>
    <row r="111" customFormat="false" ht="15" hidden="false" customHeight="false" outlineLevel="0" collapsed="false">
      <c r="A111" s="22"/>
      <c r="B111" s="23"/>
      <c r="C111" s="24"/>
      <c r="D111" s="22"/>
      <c r="E111" s="24"/>
      <c r="F111" s="22"/>
      <c r="G111" s="22"/>
      <c r="H111" s="23"/>
      <c r="I111" s="25" t="str">
        <f aca="false">IF($A111="","",COUNTIF(Quotations!$B$6:$B$205,$A111))</f>
        <v/>
      </c>
      <c r="J111" s="26" t="str">
        <f aca="false">IF($A111="","",SUMIFS(Quotations!$J$6:$J$205,Quotations!$B$6:$B$205,$A111,Quotations!$L$6:$L$205,"Accepted"))</f>
        <v/>
      </c>
      <c r="K111" s="27" t="str">
        <f aca="true">IF($A111="","",IF(AND(OR($G111="Sent",$G111="Approved"),$H111&lt;&gt;"",$H111&lt;TODAY()),"EXPIRED",""))</f>
        <v/>
      </c>
      <c r="L111" s="24"/>
      <c r="M111" s="24"/>
    </row>
    <row r="112" customFormat="false" ht="15" hidden="false" customHeight="false" outlineLevel="0" collapsed="false">
      <c r="A112" s="22"/>
      <c r="B112" s="23"/>
      <c r="C112" s="24"/>
      <c r="D112" s="22"/>
      <c r="E112" s="24"/>
      <c r="F112" s="22"/>
      <c r="G112" s="22"/>
      <c r="H112" s="23"/>
      <c r="I112" s="25" t="str">
        <f aca="false">IF($A112="","",COUNTIF(Quotations!$B$6:$B$205,$A112))</f>
        <v/>
      </c>
      <c r="J112" s="26" t="str">
        <f aca="false">IF($A112="","",SUMIFS(Quotations!$J$6:$J$205,Quotations!$B$6:$B$205,$A112,Quotations!$L$6:$L$205,"Accepted"))</f>
        <v/>
      </c>
      <c r="K112" s="27" t="str">
        <f aca="true">IF($A112="","",IF(AND(OR($G112="Sent",$G112="Approved"),$H112&lt;&gt;"",$H112&lt;TODAY()),"EXPIRED",""))</f>
        <v/>
      </c>
      <c r="L112" s="24"/>
      <c r="M112" s="24"/>
    </row>
    <row r="113" customFormat="false" ht="15" hidden="false" customHeight="false" outlineLevel="0" collapsed="false">
      <c r="A113" s="22"/>
      <c r="B113" s="23"/>
      <c r="C113" s="24"/>
      <c r="D113" s="22"/>
      <c r="E113" s="24"/>
      <c r="F113" s="22"/>
      <c r="G113" s="22"/>
      <c r="H113" s="23"/>
      <c r="I113" s="25" t="str">
        <f aca="false">IF($A113="","",COUNTIF(Quotations!$B$6:$B$205,$A113))</f>
        <v/>
      </c>
      <c r="J113" s="26" t="str">
        <f aca="false">IF($A113="","",SUMIFS(Quotations!$J$6:$J$205,Quotations!$B$6:$B$205,$A113,Quotations!$L$6:$L$205,"Accepted"))</f>
        <v/>
      </c>
      <c r="K113" s="27" t="str">
        <f aca="true">IF($A113="","",IF(AND(OR($G113="Sent",$G113="Approved"),$H113&lt;&gt;"",$H113&lt;TODAY()),"EXPIRED",""))</f>
        <v/>
      </c>
      <c r="L113" s="24"/>
      <c r="M113" s="24"/>
    </row>
    <row r="114" customFormat="false" ht="15" hidden="false" customHeight="false" outlineLevel="0" collapsed="false">
      <c r="A114" s="22"/>
      <c r="B114" s="23"/>
      <c r="C114" s="24"/>
      <c r="D114" s="22"/>
      <c r="E114" s="24"/>
      <c r="F114" s="22"/>
      <c r="G114" s="22"/>
      <c r="H114" s="23"/>
      <c r="I114" s="25" t="str">
        <f aca="false">IF($A114="","",COUNTIF(Quotations!$B$6:$B$205,$A114))</f>
        <v/>
      </c>
      <c r="J114" s="26" t="str">
        <f aca="false">IF($A114="","",SUMIFS(Quotations!$J$6:$J$205,Quotations!$B$6:$B$205,$A114,Quotations!$L$6:$L$205,"Accepted"))</f>
        <v/>
      </c>
      <c r="K114" s="27" t="str">
        <f aca="true">IF($A114="","",IF(AND(OR($G114="Sent",$G114="Approved"),$H114&lt;&gt;"",$H114&lt;TODAY()),"EXPIRED",""))</f>
        <v/>
      </c>
      <c r="L114" s="24"/>
      <c r="M114" s="24"/>
    </row>
    <row r="115" customFormat="false" ht="15" hidden="false" customHeight="false" outlineLevel="0" collapsed="false">
      <c r="A115" s="22"/>
      <c r="B115" s="23"/>
      <c r="C115" s="24"/>
      <c r="D115" s="22"/>
      <c r="E115" s="24"/>
      <c r="F115" s="22"/>
      <c r="G115" s="22"/>
      <c r="H115" s="23"/>
      <c r="I115" s="25" t="str">
        <f aca="false">IF($A115="","",COUNTIF(Quotations!$B$6:$B$205,$A115))</f>
        <v/>
      </c>
      <c r="J115" s="26" t="str">
        <f aca="false">IF($A115="","",SUMIFS(Quotations!$J$6:$J$205,Quotations!$B$6:$B$205,$A115,Quotations!$L$6:$L$205,"Accepted"))</f>
        <v/>
      </c>
      <c r="K115" s="27" t="str">
        <f aca="true">IF($A115="","",IF(AND(OR($G115="Sent",$G115="Approved"),$H115&lt;&gt;"",$H115&lt;TODAY()),"EXPIRED",""))</f>
        <v/>
      </c>
      <c r="L115" s="24"/>
      <c r="M115" s="24"/>
    </row>
    <row r="116" customFormat="false" ht="15" hidden="false" customHeight="false" outlineLevel="0" collapsed="false">
      <c r="A116" s="22"/>
      <c r="B116" s="23"/>
      <c r="C116" s="24"/>
      <c r="D116" s="22"/>
      <c r="E116" s="24"/>
      <c r="F116" s="22"/>
      <c r="G116" s="22"/>
      <c r="H116" s="23"/>
      <c r="I116" s="25" t="str">
        <f aca="false">IF($A116="","",COUNTIF(Quotations!$B$6:$B$205,$A116))</f>
        <v/>
      </c>
      <c r="J116" s="26" t="str">
        <f aca="false">IF($A116="","",SUMIFS(Quotations!$J$6:$J$205,Quotations!$B$6:$B$205,$A116,Quotations!$L$6:$L$205,"Accepted"))</f>
        <v/>
      </c>
      <c r="K116" s="27" t="str">
        <f aca="true">IF($A116="","",IF(AND(OR($G116="Sent",$G116="Approved"),$H116&lt;&gt;"",$H116&lt;TODAY()),"EXPIRED",""))</f>
        <v/>
      </c>
      <c r="L116" s="24"/>
      <c r="M116" s="24"/>
    </row>
    <row r="117" customFormat="false" ht="15" hidden="false" customHeight="false" outlineLevel="0" collapsed="false">
      <c r="A117" s="22"/>
      <c r="B117" s="23"/>
      <c r="C117" s="24"/>
      <c r="D117" s="22"/>
      <c r="E117" s="24"/>
      <c r="F117" s="22"/>
      <c r="G117" s="22"/>
      <c r="H117" s="23"/>
      <c r="I117" s="25" t="str">
        <f aca="false">IF($A117="","",COUNTIF(Quotations!$B$6:$B$205,$A117))</f>
        <v/>
      </c>
      <c r="J117" s="26" t="str">
        <f aca="false">IF($A117="","",SUMIFS(Quotations!$J$6:$J$205,Quotations!$B$6:$B$205,$A117,Quotations!$L$6:$L$205,"Accepted"))</f>
        <v/>
      </c>
      <c r="K117" s="27" t="str">
        <f aca="true">IF($A117="","",IF(AND(OR($G117="Sent",$G117="Approved"),$H117&lt;&gt;"",$H117&lt;TODAY()),"EXPIRED",""))</f>
        <v/>
      </c>
      <c r="L117" s="24"/>
      <c r="M117" s="24"/>
    </row>
    <row r="118" customFormat="false" ht="15" hidden="false" customHeight="false" outlineLevel="0" collapsed="false">
      <c r="A118" s="22"/>
      <c r="B118" s="23"/>
      <c r="C118" s="24"/>
      <c r="D118" s="22"/>
      <c r="E118" s="24"/>
      <c r="F118" s="22"/>
      <c r="G118" s="22"/>
      <c r="H118" s="23"/>
      <c r="I118" s="25" t="str">
        <f aca="false">IF($A118="","",COUNTIF(Quotations!$B$6:$B$205,$A118))</f>
        <v/>
      </c>
      <c r="J118" s="26" t="str">
        <f aca="false">IF($A118="","",SUMIFS(Quotations!$J$6:$J$205,Quotations!$B$6:$B$205,$A118,Quotations!$L$6:$L$205,"Accepted"))</f>
        <v/>
      </c>
      <c r="K118" s="27" t="str">
        <f aca="true">IF($A118="","",IF(AND(OR($G118="Sent",$G118="Approved"),$H118&lt;&gt;"",$H118&lt;TODAY()),"EXPIRED",""))</f>
        <v/>
      </c>
      <c r="L118" s="24"/>
      <c r="M118" s="24"/>
    </row>
    <row r="119" customFormat="false" ht="15" hidden="false" customHeight="false" outlineLevel="0" collapsed="false">
      <c r="A119" s="22"/>
      <c r="B119" s="23"/>
      <c r="C119" s="24"/>
      <c r="D119" s="22"/>
      <c r="E119" s="24"/>
      <c r="F119" s="22"/>
      <c r="G119" s="22"/>
      <c r="H119" s="23"/>
      <c r="I119" s="25" t="str">
        <f aca="false">IF($A119="","",COUNTIF(Quotations!$B$6:$B$205,$A119))</f>
        <v/>
      </c>
      <c r="J119" s="26" t="str">
        <f aca="false">IF($A119="","",SUMIFS(Quotations!$J$6:$J$205,Quotations!$B$6:$B$205,$A119,Quotations!$L$6:$L$205,"Accepted"))</f>
        <v/>
      </c>
      <c r="K119" s="27" t="str">
        <f aca="true">IF($A119="","",IF(AND(OR($G119="Sent",$G119="Approved"),$H119&lt;&gt;"",$H119&lt;TODAY()),"EXPIRED",""))</f>
        <v/>
      </c>
      <c r="L119" s="24"/>
      <c r="M119" s="24"/>
    </row>
    <row r="120" customFormat="false" ht="15" hidden="false" customHeight="false" outlineLevel="0" collapsed="false">
      <c r="A120" s="22"/>
      <c r="B120" s="23"/>
      <c r="C120" s="24"/>
      <c r="D120" s="22"/>
      <c r="E120" s="24"/>
      <c r="F120" s="22"/>
      <c r="G120" s="22"/>
      <c r="H120" s="23"/>
      <c r="I120" s="25" t="str">
        <f aca="false">IF($A120="","",COUNTIF(Quotations!$B$6:$B$205,$A120))</f>
        <v/>
      </c>
      <c r="J120" s="26" t="str">
        <f aca="false">IF($A120="","",SUMIFS(Quotations!$J$6:$J$205,Quotations!$B$6:$B$205,$A120,Quotations!$L$6:$L$205,"Accepted"))</f>
        <v/>
      </c>
      <c r="K120" s="27" t="str">
        <f aca="true">IF($A120="","",IF(AND(OR($G120="Sent",$G120="Approved"),$H120&lt;&gt;"",$H120&lt;TODAY()),"EXPIRED",""))</f>
        <v/>
      </c>
      <c r="L120" s="24"/>
      <c r="M120" s="24"/>
    </row>
    <row r="121" customFormat="false" ht="15" hidden="false" customHeight="false" outlineLevel="0" collapsed="false">
      <c r="A121" s="22"/>
      <c r="B121" s="23"/>
      <c r="C121" s="24"/>
      <c r="D121" s="22"/>
      <c r="E121" s="24"/>
      <c r="F121" s="22"/>
      <c r="G121" s="22"/>
      <c r="H121" s="23"/>
      <c r="I121" s="25" t="str">
        <f aca="false">IF($A121="","",COUNTIF(Quotations!$B$6:$B$205,$A121))</f>
        <v/>
      </c>
      <c r="J121" s="26" t="str">
        <f aca="false">IF($A121="","",SUMIFS(Quotations!$J$6:$J$205,Quotations!$B$6:$B$205,$A121,Quotations!$L$6:$L$205,"Accepted"))</f>
        <v/>
      </c>
      <c r="K121" s="27" t="str">
        <f aca="true">IF($A121="","",IF(AND(OR($G121="Sent",$G121="Approved"),$H121&lt;&gt;"",$H121&lt;TODAY()),"EXPIRED",""))</f>
        <v/>
      </c>
      <c r="L121" s="24"/>
      <c r="M121" s="24"/>
    </row>
    <row r="122" customFormat="false" ht="15" hidden="false" customHeight="false" outlineLevel="0" collapsed="false">
      <c r="A122" s="22"/>
      <c r="B122" s="23"/>
      <c r="C122" s="24"/>
      <c r="D122" s="22"/>
      <c r="E122" s="24"/>
      <c r="F122" s="22"/>
      <c r="G122" s="22"/>
      <c r="H122" s="23"/>
      <c r="I122" s="25" t="str">
        <f aca="false">IF($A122="","",COUNTIF(Quotations!$B$6:$B$205,$A122))</f>
        <v/>
      </c>
      <c r="J122" s="26" t="str">
        <f aca="false">IF($A122="","",SUMIFS(Quotations!$J$6:$J$205,Quotations!$B$6:$B$205,$A122,Quotations!$L$6:$L$205,"Accepted"))</f>
        <v/>
      </c>
      <c r="K122" s="27" t="str">
        <f aca="true">IF($A122="","",IF(AND(OR($G122="Sent",$G122="Approved"),$H122&lt;&gt;"",$H122&lt;TODAY()),"EXPIRED",""))</f>
        <v/>
      </c>
      <c r="L122" s="24"/>
      <c r="M122" s="24"/>
    </row>
    <row r="123" customFormat="false" ht="15" hidden="false" customHeight="false" outlineLevel="0" collapsed="false">
      <c r="A123" s="22"/>
      <c r="B123" s="23"/>
      <c r="C123" s="24"/>
      <c r="D123" s="22"/>
      <c r="E123" s="24"/>
      <c r="F123" s="22"/>
      <c r="G123" s="22"/>
      <c r="H123" s="23"/>
      <c r="I123" s="25" t="str">
        <f aca="false">IF($A123="","",COUNTIF(Quotations!$B$6:$B$205,$A123))</f>
        <v/>
      </c>
      <c r="J123" s="26" t="str">
        <f aca="false">IF($A123="","",SUMIFS(Quotations!$J$6:$J$205,Quotations!$B$6:$B$205,$A123,Quotations!$L$6:$L$205,"Accepted"))</f>
        <v/>
      </c>
      <c r="K123" s="27" t="str">
        <f aca="true">IF($A123="","",IF(AND(OR($G123="Sent",$G123="Approved"),$H123&lt;&gt;"",$H123&lt;TODAY()),"EXPIRED",""))</f>
        <v/>
      </c>
      <c r="L123" s="24"/>
      <c r="M123" s="24"/>
    </row>
    <row r="124" customFormat="false" ht="15" hidden="false" customHeight="false" outlineLevel="0" collapsed="false">
      <c r="A124" s="22"/>
      <c r="B124" s="23"/>
      <c r="C124" s="24"/>
      <c r="D124" s="22"/>
      <c r="E124" s="24"/>
      <c r="F124" s="22"/>
      <c r="G124" s="22"/>
      <c r="H124" s="23"/>
      <c r="I124" s="25" t="str">
        <f aca="false">IF($A124="","",COUNTIF(Quotations!$B$6:$B$205,$A124))</f>
        <v/>
      </c>
      <c r="J124" s="26" t="str">
        <f aca="false">IF($A124="","",SUMIFS(Quotations!$J$6:$J$205,Quotations!$B$6:$B$205,$A124,Quotations!$L$6:$L$205,"Accepted"))</f>
        <v/>
      </c>
      <c r="K124" s="27" t="str">
        <f aca="true">IF($A124="","",IF(AND(OR($G124="Sent",$G124="Approved"),$H124&lt;&gt;"",$H124&lt;TODAY()),"EXPIRED",""))</f>
        <v/>
      </c>
      <c r="L124" s="24"/>
      <c r="M124" s="24"/>
    </row>
    <row r="125" customFormat="false" ht="15" hidden="false" customHeight="false" outlineLevel="0" collapsed="false">
      <c r="A125" s="22"/>
      <c r="B125" s="23"/>
      <c r="C125" s="24"/>
      <c r="D125" s="22"/>
      <c r="E125" s="24"/>
      <c r="F125" s="22"/>
      <c r="G125" s="22"/>
      <c r="H125" s="23"/>
      <c r="I125" s="25" t="str">
        <f aca="false">IF($A125="","",COUNTIF(Quotations!$B$6:$B$205,$A125))</f>
        <v/>
      </c>
      <c r="J125" s="26" t="str">
        <f aca="false">IF($A125="","",SUMIFS(Quotations!$J$6:$J$205,Quotations!$B$6:$B$205,$A125,Quotations!$L$6:$L$205,"Accepted"))</f>
        <v/>
      </c>
      <c r="K125" s="27" t="str">
        <f aca="true">IF($A125="","",IF(AND(OR($G125="Sent",$G125="Approved"),$H125&lt;&gt;"",$H125&lt;TODAY()),"EXPIRED",""))</f>
        <v/>
      </c>
      <c r="L125" s="24"/>
      <c r="M125" s="24"/>
    </row>
    <row r="126" customFormat="false" ht="15" hidden="false" customHeight="false" outlineLevel="0" collapsed="false">
      <c r="A126" s="22"/>
      <c r="B126" s="23"/>
      <c r="C126" s="24"/>
      <c r="D126" s="22"/>
      <c r="E126" s="24"/>
      <c r="F126" s="22"/>
      <c r="G126" s="22"/>
      <c r="H126" s="23"/>
      <c r="I126" s="25" t="str">
        <f aca="false">IF($A126="","",COUNTIF(Quotations!$B$6:$B$205,$A126))</f>
        <v/>
      </c>
      <c r="J126" s="26" t="str">
        <f aca="false">IF($A126="","",SUMIFS(Quotations!$J$6:$J$205,Quotations!$B$6:$B$205,$A126,Quotations!$L$6:$L$205,"Accepted"))</f>
        <v/>
      </c>
      <c r="K126" s="27" t="str">
        <f aca="true">IF($A126="","",IF(AND(OR($G126="Sent",$G126="Approved"),$H126&lt;&gt;"",$H126&lt;TODAY()),"EXPIRED",""))</f>
        <v/>
      </c>
      <c r="L126" s="24"/>
      <c r="M126" s="24"/>
    </row>
    <row r="127" customFormat="false" ht="15" hidden="false" customHeight="false" outlineLevel="0" collapsed="false">
      <c r="A127" s="22"/>
      <c r="B127" s="23"/>
      <c r="C127" s="24"/>
      <c r="D127" s="22"/>
      <c r="E127" s="24"/>
      <c r="F127" s="22"/>
      <c r="G127" s="22"/>
      <c r="H127" s="23"/>
      <c r="I127" s="25" t="str">
        <f aca="false">IF($A127="","",COUNTIF(Quotations!$B$6:$B$205,$A127))</f>
        <v/>
      </c>
      <c r="J127" s="26" t="str">
        <f aca="false">IF($A127="","",SUMIFS(Quotations!$J$6:$J$205,Quotations!$B$6:$B$205,$A127,Quotations!$L$6:$L$205,"Accepted"))</f>
        <v/>
      </c>
      <c r="K127" s="27" t="str">
        <f aca="true">IF($A127="","",IF(AND(OR($G127="Sent",$G127="Approved"),$H127&lt;&gt;"",$H127&lt;TODAY()),"EXPIRED",""))</f>
        <v/>
      </c>
      <c r="L127" s="24"/>
      <c r="M127" s="24"/>
    </row>
    <row r="128" customFormat="false" ht="15" hidden="false" customHeight="false" outlineLevel="0" collapsed="false">
      <c r="A128" s="22"/>
      <c r="B128" s="23"/>
      <c r="C128" s="24"/>
      <c r="D128" s="22"/>
      <c r="E128" s="24"/>
      <c r="F128" s="22"/>
      <c r="G128" s="22"/>
      <c r="H128" s="23"/>
      <c r="I128" s="25" t="str">
        <f aca="false">IF($A128="","",COUNTIF(Quotations!$B$6:$B$205,$A128))</f>
        <v/>
      </c>
      <c r="J128" s="26" t="str">
        <f aca="false">IF($A128="","",SUMIFS(Quotations!$J$6:$J$205,Quotations!$B$6:$B$205,$A128,Quotations!$L$6:$L$205,"Accepted"))</f>
        <v/>
      </c>
      <c r="K128" s="27" t="str">
        <f aca="true">IF($A128="","",IF(AND(OR($G128="Sent",$G128="Approved"),$H128&lt;&gt;"",$H128&lt;TODAY()),"EXPIRED",""))</f>
        <v/>
      </c>
      <c r="L128" s="24"/>
      <c r="M128" s="24"/>
    </row>
    <row r="129" customFormat="false" ht="15" hidden="false" customHeight="false" outlineLevel="0" collapsed="false">
      <c r="A129" s="22"/>
      <c r="B129" s="23"/>
      <c r="C129" s="24"/>
      <c r="D129" s="22"/>
      <c r="E129" s="24"/>
      <c r="F129" s="22"/>
      <c r="G129" s="22"/>
      <c r="H129" s="23"/>
      <c r="I129" s="25" t="str">
        <f aca="false">IF($A129="","",COUNTIF(Quotations!$B$6:$B$205,$A129))</f>
        <v/>
      </c>
      <c r="J129" s="26" t="str">
        <f aca="false">IF($A129="","",SUMIFS(Quotations!$J$6:$J$205,Quotations!$B$6:$B$205,$A129,Quotations!$L$6:$L$205,"Accepted"))</f>
        <v/>
      </c>
      <c r="K129" s="27" t="str">
        <f aca="true">IF($A129="","",IF(AND(OR($G129="Sent",$G129="Approved"),$H129&lt;&gt;"",$H129&lt;TODAY()),"EXPIRED",""))</f>
        <v/>
      </c>
      <c r="L129" s="24"/>
      <c r="M129" s="24"/>
    </row>
    <row r="130" customFormat="false" ht="15" hidden="false" customHeight="false" outlineLevel="0" collapsed="false">
      <c r="A130" s="22"/>
      <c r="B130" s="23"/>
      <c r="C130" s="24"/>
      <c r="D130" s="22"/>
      <c r="E130" s="24"/>
      <c r="F130" s="22"/>
      <c r="G130" s="22"/>
      <c r="H130" s="23"/>
      <c r="I130" s="25" t="str">
        <f aca="false">IF($A130="","",COUNTIF(Quotations!$B$6:$B$205,$A130))</f>
        <v/>
      </c>
      <c r="J130" s="26" t="str">
        <f aca="false">IF($A130="","",SUMIFS(Quotations!$J$6:$J$205,Quotations!$B$6:$B$205,$A130,Quotations!$L$6:$L$205,"Accepted"))</f>
        <v/>
      </c>
      <c r="K130" s="27" t="str">
        <f aca="true">IF($A130="","",IF(AND(OR($G130="Sent",$G130="Approved"),$H130&lt;&gt;"",$H130&lt;TODAY()),"EXPIRED",""))</f>
        <v/>
      </c>
      <c r="L130" s="24"/>
      <c r="M130" s="24"/>
    </row>
    <row r="131" customFormat="false" ht="15" hidden="false" customHeight="false" outlineLevel="0" collapsed="false">
      <c r="A131" s="22"/>
      <c r="B131" s="23"/>
      <c r="C131" s="24"/>
      <c r="D131" s="22"/>
      <c r="E131" s="24"/>
      <c r="F131" s="22"/>
      <c r="G131" s="22"/>
      <c r="H131" s="23"/>
      <c r="I131" s="25" t="str">
        <f aca="false">IF($A131="","",COUNTIF(Quotations!$B$6:$B$205,$A131))</f>
        <v/>
      </c>
      <c r="J131" s="26" t="str">
        <f aca="false">IF($A131="","",SUMIFS(Quotations!$J$6:$J$205,Quotations!$B$6:$B$205,$A131,Quotations!$L$6:$L$205,"Accepted"))</f>
        <v/>
      </c>
      <c r="K131" s="27" t="str">
        <f aca="true">IF($A131="","",IF(AND(OR($G131="Sent",$G131="Approved"),$H131&lt;&gt;"",$H131&lt;TODAY()),"EXPIRED",""))</f>
        <v/>
      </c>
      <c r="L131" s="24"/>
      <c r="M131" s="24"/>
    </row>
    <row r="132" customFormat="false" ht="15" hidden="false" customHeight="false" outlineLevel="0" collapsed="false">
      <c r="A132" s="22"/>
      <c r="B132" s="23"/>
      <c r="C132" s="24"/>
      <c r="D132" s="22"/>
      <c r="E132" s="24"/>
      <c r="F132" s="22"/>
      <c r="G132" s="22"/>
      <c r="H132" s="23"/>
      <c r="I132" s="25" t="str">
        <f aca="false">IF($A132="","",COUNTIF(Quotations!$B$6:$B$205,$A132))</f>
        <v/>
      </c>
      <c r="J132" s="26" t="str">
        <f aca="false">IF($A132="","",SUMIFS(Quotations!$J$6:$J$205,Quotations!$B$6:$B$205,$A132,Quotations!$L$6:$L$205,"Accepted"))</f>
        <v/>
      </c>
      <c r="K132" s="27" t="str">
        <f aca="true">IF($A132="","",IF(AND(OR($G132="Sent",$G132="Approved"),$H132&lt;&gt;"",$H132&lt;TODAY()),"EXPIRED",""))</f>
        <v/>
      </c>
      <c r="L132" s="24"/>
      <c r="M132" s="24"/>
    </row>
    <row r="133" customFormat="false" ht="15" hidden="false" customHeight="false" outlineLevel="0" collapsed="false">
      <c r="A133" s="22"/>
      <c r="B133" s="23"/>
      <c r="C133" s="24"/>
      <c r="D133" s="22"/>
      <c r="E133" s="24"/>
      <c r="F133" s="22"/>
      <c r="G133" s="22"/>
      <c r="H133" s="23"/>
      <c r="I133" s="25" t="str">
        <f aca="false">IF($A133="","",COUNTIF(Quotations!$B$6:$B$205,$A133))</f>
        <v/>
      </c>
      <c r="J133" s="26" t="str">
        <f aca="false">IF($A133="","",SUMIFS(Quotations!$J$6:$J$205,Quotations!$B$6:$B$205,$A133,Quotations!$L$6:$L$205,"Accepted"))</f>
        <v/>
      </c>
      <c r="K133" s="27" t="str">
        <f aca="true">IF($A133="","",IF(AND(OR($G133="Sent",$G133="Approved"),$H133&lt;&gt;"",$H133&lt;TODAY()),"EXPIRED",""))</f>
        <v/>
      </c>
      <c r="L133" s="24"/>
      <c r="M133" s="24"/>
    </row>
    <row r="134" customFormat="false" ht="15" hidden="false" customHeight="false" outlineLevel="0" collapsed="false">
      <c r="A134" s="22"/>
      <c r="B134" s="23"/>
      <c r="C134" s="24"/>
      <c r="D134" s="22"/>
      <c r="E134" s="24"/>
      <c r="F134" s="22"/>
      <c r="G134" s="22"/>
      <c r="H134" s="23"/>
      <c r="I134" s="25" t="str">
        <f aca="false">IF($A134="","",COUNTIF(Quotations!$B$6:$B$205,$A134))</f>
        <v/>
      </c>
      <c r="J134" s="26" t="str">
        <f aca="false">IF($A134="","",SUMIFS(Quotations!$J$6:$J$205,Quotations!$B$6:$B$205,$A134,Quotations!$L$6:$L$205,"Accepted"))</f>
        <v/>
      </c>
      <c r="K134" s="27" t="str">
        <f aca="true">IF($A134="","",IF(AND(OR($G134="Sent",$G134="Approved"),$H134&lt;&gt;"",$H134&lt;TODAY()),"EXPIRED",""))</f>
        <v/>
      </c>
      <c r="L134" s="24"/>
      <c r="M134" s="24"/>
    </row>
    <row r="135" customFormat="false" ht="15" hidden="false" customHeight="false" outlineLevel="0" collapsed="false">
      <c r="A135" s="22"/>
      <c r="B135" s="23"/>
      <c r="C135" s="24"/>
      <c r="D135" s="22"/>
      <c r="E135" s="24"/>
      <c r="F135" s="22"/>
      <c r="G135" s="22"/>
      <c r="H135" s="23"/>
      <c r="I135" s="25" t="str">
        <f aca="false">IF($A135="","",COUNTIF(Quotations!$B$6:$B$205,$A135))</f>
        <v/>
      </c>
      <c r="J135" s="26" t="str">
        <f aca="false">IF($A135="","",SUMIFS(Quotations!$J$6:$J$205,Quotations!$B$6:$B$205,$A135,Quotations!$L$6:$L$205,"Accepted"))</f>
        <v/>
      </c>
      <c r="K135" s="27" t="str">
        <f aca="true">IF($A135="","",IF(AND(OR($G135="Sent",$G135="Approved"),$H135&lt;&gt;"",$H135&lt;TODAY()),"EXPIRED",""))</f>
        <v/>
      </c>
      <c r="L135" s="24"/>
      <c r="M135" s="24"/>
    </row>
    <row r="136" customFormat="false" ht="15" hidden="false" customHeight="false" outlineLevel="0" collapsed="false">
      <c r="A136" s="22"/>
      <c r="B136" s="23"/>
      <c r="C136" s="24"/>
      <c r="D136" s="22"/>
      <c r="E136" s="24"/>
      <c r="F136" s="22"/>
      <c r="G136" s="22"/>
      <c r="H136" s="23"/>
      <c r="I136" s="25" t="str">
        <f aca="false">IF($A136="","",COUNTIF(Quotations!$B$6:$B$205,$A136))</f>
        <v/>
      </c>
      <c r="J136" s="26" t="str">
        <f aca="false">IF($A136="","",SUMIFS(Quotations!$J$6:$J$205,Quotations!$B$6:$B$205,$A136,Quotations!$L$6:$L$205,"Accepted"))</f>
        <v/>
      </c>
      <c r="K136" s="27" t="str">
        <f aca="true">IF($A136="","",IF(AND(OR($G136="Sent",$G136="Approved"),$H136&lt;&gt;"",$H136&lt;TODAY()),"EXPIRED",""))</f>
        <v/>
      </c>
      <c r="L136" s="24"/>
      <c r="M136" s="24"/>
    </row>
    <row r="137" customFormat="false" ht="15" hidden="false" customHeight="false" outlineLevel="0" collapsed="false">
      <c r="A137" s="22"/>
      <c r="B137" s="23"/>
      <c r="C137" s="24"/>
      <c r="D137" s="22"/>
      <c r="E137" s="24"/>
      <c r="F137" s="22"/>
      <c r="G137" s="22"/>
      <c r="H137" s="23"/>
      <c r="I137" s="25" t="str">
        <f aca="false">IF($A137="","",COUNTIF(Quotations!$B$6:$B$205,$A137))</f>
        <v/>
      </c>
      <c r="J137" s="26" t="str">
        <f aca="false">IF($A137="","",SUMIFS(Quotations!$J$6:$J$205,Quotations!$B$6:$B$205,$A137,Quotations!$L$6:$L$205,"Accepted"))</f>
        <v/>
      </c>
      <c r="K137" s="27" t="str">
        <f aca="true">IF($A137="","",IF(AND(OR($G137="Sent",$G137="Approved"),$H137&lt;&gt;"",$H137&lt;TODAY()),"EXPIRED",""))</f>
        <v/>
      </c>
      <c r="L137" s="24"/>
      <c r="M137" s="24"/>
    </row>
    <row r="138" customFormat="false" ht="15" hidden="false" customHeight="false" outlineLevel="0" collapsed="false">
      <c r="A138" s="22"/>
      <c r="B138" s="23"/>
      <c r="C138" s="24"/>
      <c r="D138" s="22"/>
      <c r="E138" s="24"/>
      <c r="F138" s="22"/>
      <c r="G138" s="22"/>
      <c r="H138" s="23"/>
      <c r="I138" s="25" t="str">
        <f aca="false">IF($A138="","",COUNTIF(Quotations!$B$6:$B$205,$A138))</f>
        <v/>
      </c>
      <c r="J138" s="26" t="str">
        <f aca="false">IF($A138="","",SUMIFS(Quotations!$J$6:$J$205,Quotations!$B$6:$B$205,$A138,Quotations!$L$6:$L$205,"Accepted"))</f>
        <v/>
      </c>
      <c r="K138" s="27" t="str">
        <f aca="true">IF($A138="","",IF(AND(OR($G138="Sent",$G138="Approved"),$H138&lt;&gt;"",$H138&lt;TODAY()),"EXPIRED",""))</f>
        <v/>
      </c>
      <c r="L138" s="24"/>
      <c r="M138" s="24"/>
    </row>
    <row r="139" customFormat="false" ht="15" hidden="false" customHeight="false" outlineLevel="0" collapsed="false">
      <c r="A139" s="22"/>
      <c r="B139" s="23"/>
      <c r="C139" s="24"/>
      <c r="D139" s="22"/>
      <c r="E139" s="24"/>
      <c r="F139" s="22"/>
      <c r="G139" s="22"/>
      <c r="H139" s="23"/>
      <c r="I139" s="25" t="str">
        <f aca="false">IF($A139="","",COUNTIF(Quotations!$B$6:$B$205,$A139))</f>
        <v/>
      </c>
      <c r="J139" s="26" t="str">
        <f aca="false">IF($A139="","",SUMIFS(Quotations!$J$6:$J$205,Quotations!$B$6:$B$205,$A139,Quotations!$L$6:$L$205,"Accepted"))</f>
        <v/>
      </c>
      <c r="K139" s="27" t="str">
        <f aca="true">IF($A139="","",IF(AND(OR($G139="Sent",$G139="Approved"),$H139&lt;&gt;"",$H139&lt;TODAY()),"EXPIRED",""))</f>
        <v/>
      </c>
      <c r="L139" s="24"/>
      <c r="M139" s="24"/>
    </row>
    <row r="140" customFormat="false" ht="15" hidden="false" customHeight="false" outlineLevel="0" collapsed="false">
      <c r="A140" s="22"/>
      <c r="B140" s="23"/>
      <c r="C140" s="24"/>
      <c r="D140" s="22"/>
      <c r="E140" s="24"/>
      <c r="F140" s="22"/>
      <c r="G140" s="22"/>
      <c r="H140" s="23"/>
      <c r="I140" s="25" t="str">
        <f aca="false">IF($A140="","",COUNTIF(Quotations!$B$6:$B$205,$A140))</f>
        <v/>
      </c>
      <c r="J140" s="26" t="str">
        <f aca="false">IF($A140="","",SUMIFS(Quotations!$J$6:$J$205,Quotations!$B$6:$B$205,$A140,Quotations!$L$6:$L$205,"Accepted"))</f>
        <v/>
      </c>
      <c r="K140" s="27" t="str">
        <f aca="true">IF($A140="","",IF(AND(OR($G140="Sent",$G140="Approved"),$H140&lt;&gt;"",$H140&lt;TODAY()),"EXPIRED",""))</f>
        <v/>
      </c>
      <c r="L140" s="24"/>
      <c r="M140" s="24"/>
    </row>
    <row r="141" customFormat="false" ht="15" hidden="false" customHeight="false" outlineLevel="0" collapsed="false">
      <c r="A141" s="22"/>
      <c r="B141" s="23"/>
      <c r="C141" s="24"/>
      <c r="D141" s="22"/>
      <c r="E141" s="24"/>
      <c r="F141" s="22"/>
      <c r="G141" s="22"/>
      <c r="H141" s="23"/>
      <c r="I141" s="25" t="str">
        <f aca="false">IF($A141="","",COUNTIF(Quotations!$B$6:$B$205,$A141))</f>
        <v/>
      </c>
      <c r="J141" s="26" t="str">
        <f aca="false">IF($A141="","",SUMIFS(Quotations!$J$6:$J$205,Quotations!$B$6:$B$205,$A141,Quotations!$L$6:$L$205,"Accepted"))</f>
        <v/>
      </c>
      <c r="K141" s="27" t="str">
        <f aca="true">IF($A141="","",IF(AND(OR($G141="Sent",$G141="Approved"),$H141&lt;&gt;"",$H141&lt;TODAY()),"EXPIRED",""))</f>
        <v/>
      </c>
      <c r="L141" s="24"/>
      <c r="M141" s="24"/>
    </row>
    <row r="142" customFormat="false" ht="15" hidden="false" customHeight="false" outlineLevel="0" collapsed="false">
      <c r="A142" s="22"/>
      <c r="B142" s="23"/>
      <c r="C142" s="24"/>
      <c r="D142" s="22"/>
      <c r="E142" s="24"/>
      <c r="F142" s="22"/>
      <c r="G142" s="22"/>
      <c r="H142" s="23"/>
      <c r="I142" s="25" t="str">
        <f aca="false">IF($A142="","",COUNTIF(Quotations!$B$6:$B$205,$A142))</f>
        <v/>
      </c>
      <c r="J142" s="26" t="str">
        <f aca="false">IF($A142="","",SUMIFS(Quotations!$J$6:$J$205,Quotations!$B$6:$B$205,$A142,Quotations!$L$6:$L$205,"Accepted"))</f>
        <v/>
      </c>
      <c r="K142" s="27" t="str">
        <f aca="true">IF($A142="","",IF(AND(OR($G142="Sent",$G142="Approved"),$H142&lt;&gt;"",$H142&lt;TODAY()),"EXPIRED",""))</f>
        <v/>
      </c>
      <c r="L142" s="24"/>
      <c r="M142" s="24"/>
    </row>
    <row r="143" customFormat="false" ht="15" hidden="false" customHeight="false" outlineLevel="0" collapsed="false">
      <c r="A143" s="22"/>
      <c r="B143" s="23"/>
      <c r="C143" s="24"/>
      <c r="D143" s="22"/>
      <c r="E143" s="24"/>
      <c r="F143" s="22"/>
      <c r="G143" s="22"/>
      <c r="H143" s="23"/>
      <c r="I143" s="25" t="str">
        <f aca="false">IF($A143="","",COUNTIF(Quotations!$B$6:$B$205,$A143))</f>
        <v/>
      </c>
      <c r="J143" s="26" t="str">
        <f aca="false">IF($A143="","",SUMIFS(Quotations!$J$6:$J$205,Quotations!$B$6:$B$205,$A143,Quotations!$L$6:$L$205,"Accepted"))</f>
        <v/>
      </c>
      <c r="K143" s="27" t="str">
        <f aca="true">IF($A143="","",IF(AND(OR($G143="Sent",$G143="Approved"),$H143&lt;&gt;"",$H143&lt;TODAY()),"EXPIRED",""))</f>
        <v/>
      </c>
      <c r="L143" s="24"/>
      <c r="M143" s="24"/>
    </row>
    <row r="144" customFormat="false" ht="15" hidden="false" customHeight="false" outlineLevel="0" collapsed="false">
      <c r="A144" s="22"/>
      <c r="B144" s="23"/>
      <c r="C144" s="24"/>
      <c r="D144" s="22"/>
      <c r="E144" s="24"/>
      <c r="F144" s="22"/>
      <c r="G144" s="22"/>
      <c r="H144" s="23"/>
      <c r="I144" s="25" t="str">
        <f aca="false">IF($A144="","",COUNTIF(Quotations!$B$6:$B$205,$A144))</f>
        <v/>
      </c>
      <c r="J144" s="26" t="str">
        <f aca="false">IF($A144="","",SUMIFS(Quotations!$J$6:$J$205,Quotations!$B$6:$B$205,$A144,Quotations!$L$6:$L$205,"Accepted"))</f>
        <v/>
      </c>
      <c r="K144" s="27" t="str">
        <f aca="true">IF($A144="","",IF(AND(OR($G144="Sent",$G144="Approved"),$H144&lt;&gt;"",$H144&lt;TODAY()),"EXPIRED",""))</f>
        <v/>
      </c>
      <c r="L144" s="24"/>
      <c r="M144" s="24"/>
    </row>
    <row r="145" customFormat="false" ht="15" hidden="false" customHeight="false" outlineLevel="0" collapsed="false">
      <c r="A145" s="22"/>
      <c r="B145" s="23"/>
      <c r="C145" s="24"/>
      <c r="D145" s="22"/>
      <c r="E145" s="24"/>
      <c r="F145" s="22"/>
      <c r="G145" s="22"/>
      <c r="H145" s="23"/>
      <c r="I145" s="25" t="str">
        <f aca="false">IF($A145="","",COUNTIF(Quotations!$B$6:$B$205,$A145))</f>
        <v/>
      </c>
      <c r="J145" s="26" t="str">
        <f aca="false">IF($A145="","",SUMIFS(Quotations!$J$6:$J$205,Quotations!$B$6:$B$205,$A145,Quotations!$L$6:$L$205,"Accepted"))</f>
        <v/>
      </c>
      <c r="K145" s="27" t="str">
        <f aca="true">IF($A145="","",IF(AND(OR($G145="Sent",$G145="Approved"),$H145&lt;&gt;"",$H145&lt;TODAY()),"EXPIRED",""))</f>
        <v/>
      </c>
      <c r="L145" s="24"/>
      <c r="M145" s="24"/>
    </row>
    <row r="146" customFormat="false" ht="15" hidden="false" customHeight="false" outlineLevel="0" collapsed="false">
      <c r="A146" s="22"/>
      <c r="B146" s="23"/>
      <c r="C146" s="24"/>
      <c r="D146" s="22"/>
      <c r="E146" s="24"/>
      <c r="F146" s="22"/>
      <c r="G146" s="22"/>
      <c r="H146" s="23"/>
      <c r="I146" s="25" t="str">
        <f aca="false">IF($A146="","",COUNTIF(Quotations!$B$6:$B$205,$A146))</f>
        <v/>
      </c>
      <c r="J146" s="26" t="str">
        <f aca="false">IF($A146="","",SUMIFS(Quotations!$J$6:$J$205,Quotations!$B$6:$B$205,$A146,Quotations!$L$6:$L$205,"Accepted"))</f>
        <v/>
      </c>
      <c r="K146" s="27" t="str">
        <f aca="true">IF($A146="","",IF(AND(OR($G146="Sent",$G146="Approved"),$H146&lt;&gt;"",$H146&lt;TODAY()),"EXPIRED",""))</f>
        <v/>
      </c>
      <c r="L146" s="24"/>
      <c r="M146" s="24"/>
    </row>
    <row r="147" customFormat="false" ht="15" hidden="false" customHeight="false" outlineLevel="0" collapsed="false">
      <c r="A147" s="22"/>
      <c r="B147" s="23"/>
      <c r="C147" s="24"/>
      <c r="D147" s="22"/>
      <c r="E147" s="24"/>
      <c r="F147" s="22"/>
      <c r="G147" s="22"/>
      <c r="H147" s="23"/>
      <c r="I147" s="25" t="str">
        <f aca="false">IF($A147="","",COUNTIF(Quotations!$B$6:$B$205,$A147))</f>
        <v/>
      </c>
      <c r="J147" s="26" t="str">
        <f aca="false">IF($A147="","",SUMIFS(Quotations!$J$6:$J$205,Quotations!$B$6:$B$205,$A147,Quotations!$L$6:$L$205,"Accepted"))</f>
        <v/>
      </c>
      <c r="K147" s="27" t="str">
        <f aca="true">IF($A147="","",IF(AND(OR($G147="Sent",$G147="Approved"),$H147&lt;&gt;"",$H147&lt;TODAY()),"EXPIRED",""))</f>
        <v/>
      </c>
      <c r="L147" s="24"/>
      <c r="M147" s="24"/>
    </row>
    <row r="148" customFormat="false" ht="15" hidden="false" customHeight="false" outlineLevel="0" collapsed="false">
      <c r="A148" s="22"/>
      <c r="B148" s="23"/>
      <c r="C148" s="24"/>
      <c r="D148" s="22"/>
      <c r="E148" s="24"/>
      <c r="F148" s="22"/>
      <c r="G148" s="22"/>
      <c r="H148" s="23"/>
      <c r="I148" s="25" t="str">
        <f aca="false">IF($A148="","",COUNTIF(Quotations!$B$6:$B$205,$A148))</f>
        <v/>
      </c>
      <c r="J148" s="26" t="str">
        <f aca="false">IF($A148="","",SUMIFS(Quotations!$J$6:$J$205,Quotations!$B$6:$B$205,$A148,Quotations!$L$6:$L$205,"Accepted"))</f>
        <v/>
      </c>
      <c r="K148" s="27" t="str">
        <f aca="true">IF($A148="","",IF(AND(OR($G148="Sent",$G148="Approved"),$H148&lt;&gt;"",$H148&lt;TODAY()),"EXPIRED",""))</f>
        <v/>
      </c>
      <c r="L148" s="24"/>
      <c r="M148" s="24"/>
    </row>
    <row r="149" customFormat="false" ht="15" hidden="false" customHeight="false" outlineLevel="0" collapsed="false">
      <c r="A149" s="22"/>
      <c r="B149" s="23"/>
      <c r="C149" s="24"/>
      <c r="D149" s="22"/>
      <c r="E149" s="24"/>
      <c r="F149" s="22"/>
      <c r="G149" s="22"/>
      <c r="H149" s="23"/>
      <c r="I149" s="25" t="str">
        <f aca="false">IF($A149="","",COUNTIF(Quotations!$B$6:$B$205,$A149))</f>
        <v/>
      </c>
      <c r="J149" s="26" t="str">
        <f aca="false">IF($A149="","",SUMIFS(Quotations!$J$6:$J$205,Quotations!$B$6:$B$205,$A149,Quotations!$L$6:$L$205,"Accepted"))</f>
        <v/>
      </c>
      <c r="K149" s="27" t="str">
        <f aca="true">IF($A149="","",IF(AND(OR($G149="Sent",$G149="Approved"),$H149&lt;&gt;"",$H149&lt;TODAY()),"EXPIRED",""))</f>
        <v/>
      </c>
      <c r="L149" s="24"/>
      <c r="M149" s="24"/>
    </row>
    <row r="150" customFormat="false" ht="15" hidden="false" customHeight="false" outlineLevel="0" collapsed="false">
      <c r="A150" s="22"/>
      <c r="B150" s="23"/>
      <c r="C150" s="24"/>
      <c r="D150" s="22"/>
      <c r="E150" s="24"/>
      <c r="F150" s="22"/>
      <c r="G150" s="22"/>
      <c r="H150" s="23"/>
      <c r="I150" s="25" t="str">
        <f aca="false">IF($A150="","",COUNTIF(Quotations!$B$6:$B$205,$A150))</f>
        <v/>
      </c>
      <c r="J150" s="26" t="str">
        <f aca="false">IF($A150="","",SUMIFS(Quotations!$J$6:$J$205,Quotations!$B$6:$B$205,$A150,Quotations!$L$6:$L$205,"Accepted"))</f>
        <v/>
      </c>
      <c r="K150" s="27" t="str">
        <f aca="true">IF($A150="","",IF(AND(OR($G150="Sent",$G150="Approved"),$H150&lt;&gt;"",$H150&lt;TODAY()),"EXPIRED",""))</f>
        <v/>
      </c>
      <c r="L150" s="24"/>
      <c r="M150" s="24"/>
    </row>
    <row r="151" customFormat="false" ht="15" hidden="false" customHeight="false" outlineLevel="0" collapsed="false">
      <c r="A151" s="22"/>
      <c r="B151" s="23"/>
      <c r="C151" s="24"/>
      <c r="D151" s="22"/>
      <c r="E151" s="24"/>
      <c r="F151" s="22"/>
      <c r="G151" s="22"/>
      <c r="H151" s="23"/>
      <c r="I151" s="25" t="str">
        <f aca="false">IF($A151="","",COUNTIF(Quotations!$B$6:$B$205,$A151))</f>
        <v/>
      </c>
      <c r="J151" s="26" t="str">
        <f aca="false">IF($A151="","",SUMIFS(Quotations!$J$6:$J$205,Quotations!$B$6:$B$205,$A151,Quotations!$L$6:$L$205,"Accepted"))</f>
        <v/>
      </c>
      <c r="K151" s="27" t="str">
        <f aca="true">IF($A151="","",IF(AND(OR($G151="Sent",$G151="Approved"),$H151&lt;&gt;"",$H151&lt;TODAY()),"EXPIRED",""))</f>
        <v/>
      </c>
      <c r="L151" s="24"/>
      <c r="M151" s="24"/>
    </row>
    <row r="152" customFormat="false" ht="15" hidden="false" customHeight="false" outlineLevel="0" collapsed="false">
      <c r="A152" s="22"/>
      <c r="B152" s="23"/>
      <c r="C152" s="24"/>
      <c r="D152" s="22"/>
      <c r="E152" s="24"/>
      <c r="F152" s="22"/>
      <c r="G152" s="22"/>
      <c r="H152" s="23"/>
      <c r="I152" s="25" t="str">
        <f aca="false">IF($A152="","",COUNTIF(Quotations!$B$6:$B$205,$A152))</f>
        <v/>
      </c>
      <c r="J152" s="26" t="str">
        <f aca="false">IF($A152="","",SUMIFS(Quotations!$J$6:$J$205,Quotations!$B$6:$B$205,$A152,Quotations!$L$6:$L$205,"Accepted"))</f>
        <v/>
      </c>
      <c r="K152" s="27" t="str">
        <f aca="true">IF($A152="","",IF(AND(OR($G152="Sent",$G152="Approved"),$H152&lt;&gt;"",$H152&lt;TODAY()),"EXPIRED",""))</f>
        <v/>
      </c>
      <c r="L152" s="24"/>
      <c r="M152" s="24"/>
    </row>
    <row r="153" customFormat="false" ht="15" hidden="false" customHeight="false" outlineLevel="0" collapsed="false">
      <c r="A153" s="22"/>
      <c r="B153" s="23"/>
      <c r="C153" s="24"/>
      <c r="D153" s="22"/>
      <c r="E153" s="24"/>
      <c r="F153" s="22"/>
      <c r="G153" s="22"/>
      <c r="H153" s="23"/>
      <c r="I153" s="25" t="str">
        <f aca="false">IF($A153="","",COUNTIF(Quotations!$B$6:$B$205,$A153))</f>
        <v/>
      </c>
      <c r="J153" s="26" t="str">
        <f aca="false">IF($A153="","",SUMIFS(Quotations!$J$6:$J$205,Quotations!$B$6:$B$205,$A153,Quotations!$L$6:$L$205,"Accepted"))</f>
        <v/>
      </c>
      <c r="K153" s="27" t="str">
        <f aca="true">IF($A153="","",IF(AND(OR($G153="Sent",$G153="Approved"),$H153&lt;&gt;"",$H153&lt;TODAY()),"EXPIRED",""))</f>
        <v/>
      </c>
      <c r="L153" s="24"/>
      <c r="M153" s="24"/>
    </row>
    <row r="154" customFormat="false" ht="15" hidden="false" customHeight="false" outlineLevel="0" collapsed="false">
      <c r="A154" s="22"/>
      <c r="B154" s="23"/>
      <c r="C154" s="24"/>
      <c r="D154" s="22"/>
      <c r="E154" s="24"/>
      <c r="F154" s="22"/>
      <c r="G154" s="22"/>
      <c r="H154" s="23"/>
      <c r="I154" s="25" t="str">
        <f aca="false">IF($A154="","",COUNTIF(Quotations!$B$6:$B$205,$A154))</f>
        <v/>
      </c>
      <c r="J154" s="26" t="str">
        <f aca="false">IF($A154="","",SUMIFS(Quotations!$J$6:$J$205,Quotations!$B$6:$B$205,$A154,Quotations!$L$6:$L$205,"Accepted"))</f>
        <v/>
      </c>
      <c r="K154" s="27" t="str">
        <f aca="true">IF($A154="","",IF(AND(OR($G154="Sent",$G154="Approved"),$H154&lt;&gt;"",$H154&lt;TODAY()),"EXPIRED",""))</f>
        <v/>
      </c>
      <c r="L154" s="24"/>
      <c r="M154" s="24"/>
    </row>
    <row r="155" customFormat="false" ht="15" hidden="false" customHeight="false" outlineLevel="0" collapsed="false">
      <c r="A155" s="22"/>
      <c r="B155" s="23"/>
      <c r="C155" s="24"/>
      <c r="D155" s="22"/>
      <c r="E155" s="24"/>
      <c r="F155" s="22"/>
      <c r="G155" s="22"/>
      <c r="H155" s="23"/>
      <c r="I155" s="25" t="str">
        <f aca="false">IF($A155="","",COUNTIF(Quotations!$B$6:$B$205,$A155))</f>
        <v/>
      </c>
      <c r="J155" s="26" t="str">
        <f aca="false">IF($A155="","",SUMIFS(Quotations!$J$6:$J$205,Quotations!$B$6:$B$205,$A155,Quotations!$L$6:$L$205,"Accepted"))</f>
        <v/>
      </c>
      <c r="K155" s="27" t="str">
        <f aca="true">IF($A155="","",IF(AND(OR($G155="Sent",$G155="Approved"),$H155&lt;&gt;"",$H155&lt;TODAY()),"EXPIRED",""))</f>
        <v/>
      </c>
      <c r="L155" s="24"/>
      <c r="M155" s="24"/>
    </row>
    <row r="156" customFormat="false" ht="15" hidden="false" customHeight="false" outlineLevel="0" collapsed="false">
      <c r="A156" s="22"/>
      <c r="B156" s="23"/>
      <c r="C156" s="24"/>
      <c r="D156" s="22"/>
      <c r="E156" s="24"/>
      <c r="F156" s="22"/>
      <c r="G156" s="22"/>
      <c r="H156" s="23"/>
      <c r="I156" s="25" t="str">
        <f aca="false">IF($A156="","",COUNTIF(Quotations!$B$6:$B$205,$A156))</f>
        <v/>
      </c>
      <c r="J156" s="26" t="str">
        <f aca="false">IF($A156="","",SUMIFS(Quotations!$J$6:$J$205,Quotations!$B$6:$B$205,$A156,Quotations!$L$6:$L$205,"Accepted"))</f>
        <v/>
      </c>
      <c r="K156" s="27" t="str">
        <f aca="true">IF($A156="","",IF(AND(OR($G156="Sent",$G156="Approved"),$H156&lt;&gt;"",$H156&lt;TODAY()),"EXPIRED",""))</f>
        <v/>
      </c>
      <c r="L156" s="24"/>
      <c r="M156" s="24"/>
    </row>
    <row r="157" customFormat="false" ht="15" hidden="false" customHeight="false" outlineLevel="0" collapsed="false">
      <c r="A157" s="22"/>
      <c r="B157" s="23"/>
      <c r="C157" s="24"/>
      <c r="D157" s="22"/>
      <c r="E157" s="24"/>
      <c r="F157" s="22"/>
      <c r="G157" s="22"/>
      <c r="H157" s="23"/>
      <c r="I157" s="25" t="str">
        <f aca="false">IF($A157="","",COUNTIF(Quotations!$B$6:$B$205,$A157))</f>
        <v/>
      </c>
      <c r="J157" s="26" t="str">
        <f aca="false">IF($A157="","",SUMIFS(Quotations!$J$6:$J$205,Quotations!$B$6:$B$205,$A157,Quotations!$L$6:$L$205,"Accepted"))</f>
        <v/>
      </c>
      <c r="K157" s="27" t="str">
        <f aca="true">IF($A157="","",IF(AND(OR($G157="Sent",$G157="Approved"),$H157&lt;&gt;"",$H157&lt;TODAY()),"EXPIRED",""))</f>
        <v/>
      </c>
      <c r="L157" s="24"/>
      <c r="M157" s="24"/>
    </row>
    <row r="158" customFormat="false" ht="15" hidden="false" customHeight="false" outlineLevel="0" collapsed="false">
      <c r="A158" s="22"/>
      <c r="B158" s="23"/>
      <c r="C158" s="24"/>
      <c r="D158" s="22"/>
      <c r="E158" s="24"/>
      <c r="F158" s="22"/>
      <c r="G158" s="22"/>
      <c r="H158" s="23"/>
      <c r="I158" s="25" t="str">
        <f aca="false">IF($A158="","",COUNTIF(Quotations!$B$6:$B$205,$A158))</f>
        <v/>
      </c>
      <c r="J158" s="26" t="str">
        <f aca="false">IF($A158="","",SUMIFS(Quotations!$J$6:$J$205,Quotations!$B$6:$B$205,$A158,Quotations!$L$6:$L$205,"Accepted"))</f>
        <v/>
      </c>
      <c r="K158" s="27" t="str">
        <f aca="true">IF($A158="","",IF(AND(OR($G158="Sent",$G158="Approved"),$H158&lt;&gt;"",$H158&lt;TODAY()),"EXPIRED",""))</f>
        <v/>
      </c>
      <c r="L158" s="24"/>
      <c r="M158" s="24"/>
    </row>
    <row r="159" customFormat="false" ht="15" hidden="false" customHeight="false" outlineLevel="0" collapsed="false">
      <c r="A159" s="22"/>
      <c r="B159" s="23"/>
      <c r="C159" s="24"/>
      <c r="D159" s="22"/>
      <c r="E159" s="24"/>
      <c r="F159" s="22"/>
      <c r="G159" s="22"/>
      <c r="H159" s="23"/>
      <c r="I159" s="25" t="str">
        <f aca="false">IF($A159="","",COUNTIF(Quotations!$B$6:$B$205,$A159))</f>
        <v/>
      </c>
      <c r="J159" s="26" t="str">
        <f aca="false">IF($A159="","",SUMIFS(Quotations!$J$6:$J$205,Quotations!$B$6:$B$205,$A159,Quotations!$L$6:$L$205,"Accepted"))</f>
        <v/>
      </c>
      <c r="K159" s="27" t="str">
        <f aca="true">IF($A159="","",IF(AND(OR($G159="Sent",$G159="Approved"),$H159&lt;&gt;"",$H159&lt;TODAY()),"EXPIRED",""))</f>
        <v/>
      </c>
      <c r="L159" s="24"/>
      <c r="M159" s="24"/>
    </row>
    <row r="160" customFormat="false" ht="15" hidden="false" customHeight="false" outlineLevel="0" collapsed="false">
      <c r="A160" s="22"/>
      <c r="B160" s="23"/>
      <c r="C160" s="24"/>
      <c r="D160" s="22"/>
      <c r="E160" s="24"/>
      <c r="F160" s="22"/>
      <c r="G160" s="22"/>
      <c r="H160" s="23"/>
      <c r="I160" s="25" t="str">
        <f aca="false">IF($A160="","",COUNTIF(Quotations!$B$6:$B$205,$A160))</f>
        <v/>
      </c>
      <c r="J160" s="26" t="str">
        <f aca="false">IF($A160="","",SUMIFS(Quotations!$J$6:$J$205,Quotations!$B$6:$B$205,$A160,Quotations!$L$6:$L$205,"Accepted"))</f>
        <v/>
      </c>
      <c r="K160" s="27" t="str">
        <f aca="true">IF($A160="","",IF(AND(OR($G160="Sent",$G160="Approved"),$H160&lt;&gt;"",$H160&lt;TODAY()),"EXPIRED",""))</f>
        <v/>
      </c>
      <c r="L160" s="24"/>
      <c r="M160" s="24"/>
    </row>
    <row r="161" customFormat="false" ht="15" hidden="false" customHeight="false" outlineLevel="0" collapsed="false">
      <c r="A161" s="22"/>
      <c r="B161" s="23"/>
      <c r="C161" s="24"/>
      <c r="D161" s="22"/>
      <c r="E161" s="24"/>
      <c r="F161" s="22"/>
      <c r="G161" s="22"/>
      <c r="H161" s="23"/>
      <c r="I161" s="25" t="str">
        <f aca="false">IF($A161="","",COUNTIF(Quotations!$B$6:$B$205,$A161))</f>
        <v/>
      </c>
      <c r="J161" s="26" t="str">
        <f aca="false">IF($A161="","",SUMIFS(Quotations!$J$6:$J$205,Quotations!$B$6:$B$205,$A161,Quotations!$L$6:$L$205,"Accepted"))</f>
        <v/>
      </c>
      <c r="K161" s="27" t="str">
        <f aca="true">IF($A161="","",IF(AND(OR($G161="Sent",$G161="Approved"),$H161&lt;&gt;"",$H161&lt;TODAY()),"EXPIRED",""))</f>
        <v/>
      </c>
      <c r="L161" s="24"/>
      <c r="M161" s="24"/>
    </row>
    <row r="162" customFormat="false" ht="15" hidden="false" customHeight="false" outlineLevel="0" collapsed="false">
      <c r="A162" s="22"/>
      <c r="B162" s="23"/>
      <c r="C162" s="24"/>
      <c r="D162" s="22"/>
      <c r="E162" s="24"/>
      <c r="F162" s="22"/>
      <c r="G162" s="22"/>
      <c r="H162" s="23"/>
      <c r="I162" s="25" t="str">
        <f aca="false">IF($A162="","",COUNTIF(Quotations!$B$6:$B$205,$A162))</f>
        <v/>
      </c>
      <c r="J162" s="26" t="str">
        <f aca="false">IF($A162="","",SUMIFS(Quotations!$J$6:$J$205,Quotations!$B$6:$B$205,$A162,Quotations!$L$6:$L$205,"Accepted"))</f>
        <v/>
      </c>
      <c r="K162" s="27" t="str">
        <f aca="true">IF($A162="","",IF(AND(OR($G162="Sent",$G162="Approved"),$H162&lt;&gt;"",$H162&lt;TODAY()),"EXPIRED",""))</f>
        <v/>
      </c>
      <c r="L162" s="24"/>
      <c r="M162" s="24"/>
    </row>
    <row r="163" customFormat="false" ht="15" hidden="false" customHeight="false" outlineLevel="0" collapsed="false">
      <c r="A163" s="22"/>
      <c r="B163" s="23"/>
      <c r="C163" s="24"/>
      <c r="D163" s="22"/>
      <c r="E163" s="24"/>
      <c r="F163" s="22"/>
      <c r="G163" s="22"/>
      <c r="H163" s="23"/>
      <c r="I163" s="25" t="str">
        <f aca="false">IF($A163="","",COUNTIF(Quotations!$B$6:$B$205,$A163))</f>
        <v/>
      </c>
      <c r="J163" s="26" t="str">
        <f aca="false">IF($A163="","",SUMIFS(Quotations!$J$6:$J$205,Quotations!$B$6:$B$205,$A163,Quotations!$L$6:$L$205,"Accepted"))</f>
        <v/>
      </c>
      <c r="K163" s="27" t="str">
        <f aca="true">IF($A163="","",IF(AND(OR($G163="Sent",$G163="Approved"),$H163&lt;&gt;"",$H163&lt;TODAY()),"EXPIRED",""))</f>
        <v/>
      </c>
      <c r="L163" s="24"/>
      <c r="M163" s="24"/>
    </row>
    <row r="164" customFormat="false" ht="15" hidden="false" customHeight="false" outlineLevel="0" collapsed="false">
      <c r="A164" s="22"/>
      <c r="B164" s="23"/>
      <c r="C164" s="24"/>
      <c r="D164" s="22"/>
      <c r="E164" s="24"/>
      <c r="F164" s="22"/>
      <c r="G164" s="22"/>
      <c r="H164" s="23"/>
      <c r="I164" s="25" t="str">
        <f aca="false">IF($A164="","",COUNTIF(Quotations!$B$6:$B$205,$A164))</f>
        <v/>
      </c>
      <c r="J164" s="26" t="str">
        <f aca="false">IF($A164="","",SUMIFS(Quotations!$J$6:$J$205,Quotations!$B$6:$B$205,$A164,Quotations!$L$6:$L$205,"Accepted"))</f>
        <v/>
      </c>
      <c r="K164" s="27" t="str">
        <f aca="true">IF($A164="","",IF(AND(OR($G164="Sent",$G164="Approved"),$H164&lt;&gt;"",$H164&lt;TODAY()),"EXPIRED",""))</f>
        <v/>
      </c>
      <c r="L164" s="24"/>
      <c r="M164" s="24"/>
    </row>
    <row r="165" customFormat="false" ht="15" hidden="false" customHeight="false" outlineLevel="0" collapsed="false">
      <c r="A165" s="22"/>
      <c r="B165" s="23"/>
      <c r="C165" s="24"/>
      <c r="D165" s="22"/>
      <c r="E165" s="24"/>
      <c r="F165" s="22"/>
      <c r="G165" s="22"/>
      <c r="H165" s="23"/>
      <c r="I165" s="25" t="str">
        <f aca="false">IF($A165="","",COUNTIF(Quotations!$B$6:$B$205,$A165))</f>
        <v/>
      </c>
      <c r="J165" s="26" t="str">
        <f aca="false">IF($A165="","",SUMIFS(Quotations!$J$6:$J$205,Quotations!$B$6:$B$205,$A165,Quotations!$L$6:$L$205,"Accepted"))</f>
        <v/>
      </c>
      <c r="K165" s="27" t="str">
        <f aca="true">IF($A165="","",IF(AND(OR($G165="Sent",$G165="Approved"),$H165&lt;&gt;"",$H165&lt;TODAY()),"EXPIRED",""))</f>
        <v/>
      </c>
      <c r="L165" s="24"/>
      <c r="M165" s="24"/>
    </row>
    <row r="166" customFormat="false" ht="15" hidden="false" customHeight="false" outlineLevel="0" collapsed="false">
      <c r="A166" s="22"/>
      <c r="B166" s="23"/>
      <c r="C166" s="24"/>
      <c r="D166" s="22"/>
      <c r="E166" s="24"/>
      <c r="F166" s="22"/>
      <c r="G166" s="22"/>
      <c r="H166" s="23"/>
      <c r="I166" s="25" t="str">
        <f aca="false">IF($A166="","",COUNTIF(Quotations!$B$6:$B$205,$A166))</f>
        <v/>
      </c>
      <c r="J166" s="26" t="str">
        <f aca="false">IF($A166="","",SUMIFS(Quotations!$J$6:$J$205,Quotations!$B$6:$B$205,$A166,Quotations!$L$6:$L$205,"Accepted"))</f>
        <v/>
      </c>
      <c r="K166" s="27" t="str">
        <f aca="true">IF($A166="","",IF(AND(OR($G166="Sent",$G166="Approved"),$H166&lt;&gt;"",$H166&lt;TODAY()),"EXPIRED",""))</f>
        <v/>
      </c>
      <c r="L166" s="24"/>
      <c r="M166" s="24"/>
    </row>
    <row r="167" customFormat="false" ht="15" hidden="false" customHeight="false" outlineLevel="0" collapsed="false">
      <c r="A167" s="22"/>
      <c r="B167" s="23"/>
      <c r="C167" s="24"/>
      <c r="D167" s="22"/>
      <c r="E167" s="24"/>
      <c r="F167" s="22"/>
      <c r="G167" s="22"/>
      <c r="H167" s="23"/>
      <c r="I167" s="25" t="str">
        <f aca="false">IF($A167="","",COUNTIF(Quotations!$B$6:$B$205,$A167))</f>
        <v/>
      </c>
      <c r="J167" s="26" t="str">
        <f aca="false">IF($A167="","",SUMIFS(Quotations!$J$6:$J$205,Quotations!$B$6:$B$205,$A167,Quotations!$L$6:$L$205,"Accepted"))</f>
        <v/>
      </c>
      <c r="K167" s="27" t="str">
        <f aca="true">IF($A167="","",IF(AND(OR($G167="Sent",$G167="Approved"),$H167&lt;&gt;"",$H167&lt;TODAY()),"EXPIRED",""))</f>
        <v/>
      </c>
      <c r="L167" s="24"/>
      <c r="M167" s="24"/>
    </row>
    <row r="168" customFormat="false" ht="15" hidden="false" customHeight="false" outlineLevel="0" collapsed="false">
      <c r="A168" s="22"/>
      <c r="B168" s="23"/>
      <c r="C168" s="24"/>
      <c r="D168" s="22"/>
      <c r="E168" s="24"/>
      <c r="F168" s="22"/>
      <c r="G168" s="22"/>
      <c r="H168" s="23"/>
      <c r="I168" s="25" t="str">
        <f aca="false">IF($A168="","",COUNTIF(Quotations!$B$6:$B$205,$A168))</f>
        <v/>
      </c>
      <c r="J168" s="26" t="str">
        <f aca="false">IF($A168="","",SUMIFS(Quotations!$J$6:$J$205,Quotations!$B$6:$B$205,$A168,Quotations!$L$6:$L$205,"Accepted"))</f>
        <v/>
      </c>
      <c r="K168" s="27" t="str">
        <f aca="true">IF($A168="","",IF(AND(OR($G168="Sent",$G168="Approved"),$H168&lt;&gt;"",$H168&lt;TODAY()),"EXPIRED",""))</f>
        <v/>
      </c>
      <c r="L168" s="24"/>
      <c r="M168" s="24"/>
    </row>
    <row r="169" customFormat="false" ht="15" hidden="false" customHeight="false" outlineLevel="0" collapsed="false">
      <c r="A169" s="22"/>
      <c r="B169" s="23"/>
      <c r="C169" s="24"/>
      <c r="D169" s="22"/>
      <c r="E169" s="24"/>
      <c r="F169" s="22"/>
      <c r="G169" s="22"/>
      <c r="H169" s="23"/>
      <c r="I169" s="25" t="str">
        <f aca="false">IF($A169="","",COUNTIF(Quotations!$B$6:$B$205,$A169))</f>
        <v/>
      </c>
      <c r="J169" s="26" t="str">
        <f aca="false">IF($A169="","",SUMIFS(Quotations!$J$6:$J$205,Quotations!$B$6:$B$205,$A169,Quotations!$L$6:$L$205,"Accepted"))</f>
        <v/>
      </c>
      <c r="K169" s="27" t="str">
        <f aca="true">IF($A169="","",IF(AND(OR($G169="Sent",$G169="Approved"),$H169&lt;&gt;"",$H169&lt;TODAY()),"EXPIRED",""))</f>
        <v/>
      </c>
      <c r="L169" s="24"/>
      <c r="M169" s="24"/>
    </row>
    <row r="170" customFormat="false" ht="15" hidden="false" customHeight="false" outlineLevel="0" collapsed="false">
      <c r="A170" s="22"/>
      <c r="B170" s="23"/>
      <c r="C170" s="24"/>
      <c r="D170" s="22"/>
      <c r="E170" s="24"/>
      <c r="F170" s="22"/>
      <c r="G170" s="22"/>
      <c r="H170" s="23"/>
      <c r="I170" s="25" t="str">
        <f aca="false">IF($A170="","",COUNTIF(Quotations!$B$6:$B$205,$A170))</f>
        <v/>
      </c>
      <c r="J170" s="26" t="str">
        <f aca="false">IF($A170="","",SUMIFS(Quotations!$J$6:$J$205,Quotations!$B$6:$B$205,$A170,Quotations!$L$6:$L$205,"Accepted"))</f>
        <v/>
      </c>
      <c r="K170" s="27" t="str">
        <f aca="true">IF($A170="","",IF(AND(OR($G170="Sent",$G170="Approved"),$H170&lt;&gt;"",$H170&lt;TODAY()),"EXPIRED",""))</f>
        <v/>
      </c>
      <c r="L170" s="24"/>
      <c r="M170" s="24"/>
    </row>
    <row r="171" customFormat="false" ht="15" hidden="false" customHeight="false" outlineLevel="0" collapsed="false">
      <c r="A171" s="22"/>
      <c r="B171" s="23"/>
      <c r="C171" s="24"/>
      <c r="D171" s="22"/>
      <c r="E171" s="24"/>
      <c r="F171" s="22"/>
      <c r="G171" s="22"/>
      <c r="H171" s="23"/>
      <c r="I171" s="25" t="str">
        <f aca="false">IF($A171="","",COUNTIF(Quotations!$B$6:$B$205,$A171))</f>
        <v/>
      </c>
      <c r="J171" s="26" t="str">
        <f aca="false">IF($A171="","",SUMIFS(Quotations!$J$6:$J$205,Quotations!$B$6:$B$205,$A171,Quotations!$L$6:$L$205,"Accepted"))</f>
        <v/>
      </c>
      <c r="K171" s="27" t="str">
        <f aca="true">IF($A171="","",IF(AND(OR($G171="Sent",$G171="Approved"),$H171&lt;&gt;"",$H171&lt;TODAY()),"EXPIRED",""))</f>
        <v/>
      </c>
      <c r="L171" s="24"/>
      <c r="M171" s="24"/>
    </row>
    <row r="172" customFormat="false" ht="15" hidden="false" customHeight="false" outlineLevel="0" collapsed="false">
      <c r="A172" s="22"/>
      <c r="B172" s="23"/>
      <c r="C172" s="24"/>
      <c r="D172" s="22"/>
      <c r="E172" s="24"/>
      <c r="F172" s="22"/>
      <c r="G172" s="22"/>
      <c r="H172" s="23"/>
      <c r="I172" s="25" t="str">
        <f aca="false">IF($A172="","",COUNTIF(Quotations!$B$6:$B$205,$A172))</f>
        <v/>
      </c>
      <c r="J172" s="26" t="str">
        <f aca="false">IF($A172="","",SUMIFS(Quotations!$J$6:$J$205,Quotations!$B$6:$B$205,$A172,Quotations!$L$6:$L$205,"Accepted"))</f>
        <v/>
      </c>
      <c r="K172" s="27" t="str">
        <f aca="true">IF($A172="","",IF(AND(OR($G172="Sent",$G172="Approved"),$H172&lt;&gt;"",$H172&lt;TODAY()),"EXPIRED",""))</f>
        <v/>
      </c>
      <c r="L172" s="24"/>
      <c r="M172" s="24"/>
    </row>
    <row r="173" customFormat="false" ht="15" hidden="false" customHeight="false" outlineLevel="0" collapsed="false">
      <c r="A173" s="22"/>
      <c r="B173" s="23"/>
      <c r="C173" s="24"/>
      <c r="D173" s="22"/>
      <c r="E173" s="24"/>
      <c r="F173" s="22"/>
      <c r="G173" s="22"/>
      <c r="H173" s="23"/>
      <c r="I173" s="25" t="str">
        <f aca="false">IF($A173="","",COUNTIF(Quotations!$B$6:$B$205,$A173))</f>
        <v/>
      </c>
      <c r="J173" s="26" t="str">
        <f aca="false">IF($A173="","",SUMIFS(Quotations!$J$6:$J$205,Quotations!$B$6:$B$205,$A173,Quotations!$L$6:$L$205,"Accepted"))</f>
        <v/>
      </c>
      <c r="K173" s="27" t="str">
        <f aca="true">IF($A173="","",IF(AND(OR($G173="Sent",$G173="Approved"),$H173&lt;&gt;"",$H173&lt;TODAY()),"EXPIRED",""))</f>
        <v/>
      </c>
      <c r="L173" s="24"/>
      <c r="M173" s="24"/>
    </row>
    <row r="174" customFormat="false" ht="15" hidden="false" customHeight="false" outlineLevel="0" collapsed="false">
      <c r="A174" s="22"/>
      <c r="B174" s="23"/>
      <c r="C174" s="24"/>
      <c r="D174" s="22"/>
      <c r="E174" s="24"/>
      <c r="F174" s="22"/>
      <c r="G174" s="22"/>
      <c r="H174" s="23"/>
      <c r="I174" s="25" t="str">
        <f aca="false">IF($A174="","",COUNTIF(Quotations!$B$6:$B$205,$A174))</f>
        <v/>
      </c>
      <c r="J174" s="26" t="str">
        <f aca="false">IF($A174="","",SUMIFS(Quotations!$J$6:$J$205,Quotations!$B$6:$B$205,$A174,Quotations!$L$6:$L$205,"Accepted"))</f>
        <v/>
      </c>
      <c r="K174" s="27" t="str">
        <f aca="true">IF($A174="","",IF(AND(OR($G174="Sent",$G174="Approved"),$H174&lt;&gt;"",$H174&lt;TODAY()),"EXPIRED",""))</f>
        <v/>
      </c>
      <c r="L174" s="24"/>
      <c r="M174" s="24"/>
    </row>
    <row r="175" customFormat="false" ht="15" hidden="false" customHeight="false" outlineLevel="0" collapsed="false">
      <c r="A175" s="22"/>
      <c r="B175" s="23"/>
      <c r="C175" s="24"/>
      <c r="D175" s="22"/>
      <c r="E175" s="24"/>
      <c r="F175" s="22"/>
      <c r="G175" s="22"/>
      <c r="H175" s="23"/>
      <c r="I175" s="25" t="str">
        <f aca="false">IF($A175="","",COUNTIF(Quotations!$B$6:$B$205,$A175))</f>
        <v/>
      </c>
      <c r="J175" s="26" t="str">
        <f aca="false">IF($A175="","",SUMIFS(Quotations!$J$6:$J$205,Quotations!$B$6:$B$205,$A175,Quotations!$L$6:$L$205,"Accepted"))</f>
        <v/>
      </c>
      <c r="K175" s="27" t="str">
        <f aca="true">IF($A175="","",IF(AND(OR($G175="Sent",$G175="Approved"),$H175&lt;&gt;"",$H175&lt;TODAY()),"EXPIRED",""))</f>
        <v/>
      </c>
      <c r="L175" s="24"/>
      <c r="M175" s="24"/>
    </row>
    <row r="176" customFormat="false" ht="15" hidden="false" customHeight="false" outlineLevel="0" collapsed="false">
      <c r="A176" s="22"/>
      <c r="B176" s="23"/>
      <c r="C176" s="24"/>
      <c r="D176" s="22"/>
      <c r="E176" s="24"/>
      <c r="F176" s="22"/>
      <c r="G176" s="22"/>
      <c r="H176" s="23"/>
      <c r="I176" s="25" t="str">
        <f aca="false">IF($A176="","",COUNTIF(Quotations!$B$6:$B$205,$A176))</f>
        <v/>
      </c>
      <c r="J176" s="26" t="str">
        <f aca="false">IF($A176="","",SUMIFS(Quotations!$J$6:$J$205,Quotations!$B$6:$B$205,$A176,Quotations!$L$6:$L$205,"Accepted"))</f>
        <v/>
      </c>
      <c r="K176" s="27" t="str">
        <f aca="true">IF($A176="","",IF(AND(OR($G176="Sent",$G176="Approved"),$H176&lt;&gt;"",$H176&lt;TODAY()),"EXPIRED",""))</f>
        <v/>
      </c>
      <c r="L176" s="24"/>
      <c r="M176" s="24"/>
    </row>
    <row r="177" customFormat="false" ht="15" hidden="false" customHeight="false" outlineLevel="0" collapsed="false">
      <c r="A177" s="22"/>
      <c r="B177" s="23"/>
      <c r="C177" s="24"/>
      <c r="D177" s="22"/>
      <c r="E177" s="24"/>
      <c r="F177" s="22"/>
      <c r="G177" s="22"/>
      <c r="H177" s="23"/>
      <c r="I177" s="25" t="str">
        <f aca="false">IF($A177="","",COUNTIF(Quotations!$B$6:$B$205,$A177))</f>
        <v/>
      </c>
      <c r="J177" s="26" t="str">
        <f aca="false">IF($A177="","",SUMIFS(Quotations!$J$6:$J$205,Quotations!$B$6:$B$205,$A177,Quotations!$L$6:$L$205,"Accepted"))</f>
        <v/>
      </c>
      <c r="K177" s="27" t="str">
        <f aca="true">IF($A177="","",IF(AND(OR($G177="Sent",$G177="Approved"),$H177&lt;&gt;"",$H177&lt;TODAY()),"EXPIRED",""))</f>
        <v/>
      </c>
      <c r="L177" s="24"/>
      <c r="M177" s="24"/>
    </row>
    <row r="178" customFormat="false" ht="15" hidden="false" customHeight="false" outlineLevel="0" collapsed="false">
      <c r="A178" s="22"/>
      <c r="B178" s="23"/>
      <c r="C178" s="24"/>
      <c r="D178" s="22"/>
      <c r="E178" s="24"/>
      <c r="F178" s="22"/>
      <c r="G178" s="22"/>
      <c r="H178" s="23"/>
      <c r="I178" s="25" t="str">
        <f aca="false">IF($A178="","",COUNTIF(Quotations!$B$6:$B$205,$A178))</f>
        <v/>
      </c>
      <c r="J178" s="26" t="str">
        <f aca="false">IF($A178="","",SUMIFS(Quotations!$J$6:$J$205,Quotations!$B$6:$B$205,$A178,Quotations!$L$6:$L$205,"Accepted"))</f>
        <v/>
      </c>
      <c r="K178" s="27" t="str">
        <f aca="true">IF($A178="","",IF(AND(OR($G178="Sent",$G178="Approved"),$H178&lt;&gt;"",$H178&lt;TODAY()),"EXPIRED",""))</f>
        <v/>
      </c>
      <c r="L178" s="24"/>
      <c r="M178" s="24"/>
    </row>
    <row r="179" customFormat="false" ht="15" hidden="false" customHeight="false" outlineLevel="0" collapsed="false">
      <c r="A179" s="22"/>
      <c r="B179" s="23"/>
      <c r="C179" s="24"/>
      <c r="D179" s="22"/>
      <c r="E179" s="24"/>
      <c r="F179" s="22"/>
      <c r="G179" s="22"/>
      <c r="H179" s="23"/>
      <c r="I179" s="25" t="str">
        <f aca="false">IF($A179="","",COUNTIF(Quotations!$B$6:$B$205,$A179))</f>
        <v/>
      </c>
      <c r="J179" s="26" t="str">
        <f aca="false">IF($A179="","",SUMIFS(Quotations!$J$6:$J$205,Quotations!$B$6:$B$205,$A179,Quotations!$L$6:$L$205,"Accepted"))</f>
        <v/>
      </c>
      <c r="K179" s="27" t="str">
        <f aca="true">IF($A179="","",IF(AND(OR($G179="Sent",$G179="Approved"),$H179&lt;&gt;"",$H179&lt;TODAY()),"EXPIRED",""))</f>
        <v/>
      </c>
      <c r="L179" s="24"/>
      <c r="M179" s="24"/>
    </row>
    <row r="180" customFormat="false" ht="15" hidden="false" customHeight="false" outlineLevel="0" collapsed="false">
      <c r="A180" s="22"/>
      <c r="B180" s="23"/>
      <c r="C180" s="24"/>
      <c r="D180" s="22"/>
      <c r="E180" s="24"/>
      <c r="F180" s="22"/>
      <c r="G180" s="22"/>
      <c r="H180" s="23"/>
      <c r="I180" s="25" t="str">
        <f aca="false">IF($A180="","",COUNTIF(Quotations!$B$6:$B$205,$A180))</f>
        <v/>
      </c>
      <c r="J180" s="26" t="str">
        <f aca="false">IF($A180="","",SUMIFS(Quotations!$J$6:$J$205,Quotations!$B$6:$B$205,$A180,Quotations!$L$6:$L$205,"Accepted"))</f>
        <v/>
      </c>
      <c r="K180" s="27" t="str">
        <f aca="true">IF($A180="","",IF(AND(OR($G180="Sent",$G180="Approved"),$H180&lt;&gt;"",$H180&lt;TODAY()),"EXPIRED",""))</f>
        <v/>
      </c>
      <c r="L180" s="24"/>
      <c r="M180" s="24"/>
    </row>
    <row r="181" customFormat="false" ht="15" hidden="false" customHeight="false" outlineLevel="0" collapsed="false">
      <c r="A181" s="22"/>
      <c r="B181" s="23"/>
      <c r="C181" s="24"/>
      <c r="D181" s="22"/>
      <c r="E181" s="24"/>
      <c r="F181" s="22"/>
      <c r="G181" s="22"/>
      <c r="H181" s="23"/>
      <c r="I181" s="25" t="str">
        <f aca="false">IF($A181="","",COUNTIF(Quotations!$B$6:$B$205,$A181))</f>
        <v/>
      </c>
      <c r="J181" s="26" t="str">
        <f aca="false">IF($A181="","",SUMIFS(Quotations!$J$6:$J$205,Quotations!$B$6:$B$205,$A181,Quotations!$L$6:$L$205,"Accepted"))</f>
        <v/>
      </c>
      <c r="K181" s="27" t="str">
        <f aca="true">IF($A181="","",IF(AND(OR($G181="Sent",$G181="Approved"),$H181&lt;&gt;"",$H181&lt;TODAY()),"EXPIRED",""))</f>
        <v/>
      </c>
      <c r="L181" s="24"/>
      <c r="M181" s="24"/>
    </row>
    <row r="182" customFormat="false" ht="15" hidden="false" customHeight="false" outlineLevel="0" collapsed="false">
      <c r="A182" s="22"/>
      <c r="B182" s="23"/>
      <c r="C182" s="24"/>
      <c r="D182" s="22"/>
      <c r="E182" s="24"/>
      <c r="F182" s="22"/>
      <c r="G182" s="22"/>
      <c r="H182" s="23"/>
      <c r="I182" s="25" t="str">
        <f aca="false">IF($A182="","",COUNTIF(Quotations!$B$6:$B$205,$A182))</f>
        <v/>
      </c>
      <c r="J182" s="26" t="str">
        <f aca="false">IF($A182="","",SUMIFS(Quotations!$J$6:$J$205,Quotations!$B$6:$B$205,$A182,Quotations!$L$6:$L$205,"Accepted"))</f>
        <v/>
      </c>
      <c r="K182" s="27" t="str">
        <f aca="true">IF($A182="","",IF(AND(OR($G182="Sent",$G182="Approved"),$H182&lt;&gt;"",$H182&lt;TODAY()),"EXPIRED",""))</f>
        <v/>
      </c>
      <c r="L182" s="24"/>
      <c r="M182" s="24"/>
    </row>
    <row r="183" customFormat="false" ht="15" hidden="false" customHeight="false" outlineLevel="0" collapsed="false">
      <c r="A183" s="22"/>
      <c r="B183" s="23"/>
      <c r="C183" s="24"/>
      <c r="D183" s="22"/>
      <c r="E183" s="24"/>
      <c r="F183" s="22"/>
      <c r="G183" s="22"/>
      <c r="H183" s="23"/>
      <c r="I183" s="25" t="str">
        <f aca="false">IF($A183="","",COUNTIF(Quotations!$B$6:$B$205,$A183))</f>
        <v/>
      </c>
      <c r="J183" s="26" t="str">
        <f aca="false">IF($A183="","",SUMIFS(Quotations!$J$6:$J$205,Quotations!$B$6:$B$205,$A183,Quotations!$L$6:$L$205,"Accepted"))</f>
        <v/>
      </c>
      <c r="K183" s="27" t="str">
        <f aca="true">IF($A183="","",IF(AND(OR($G183="Sent",$G183="Approved"),$H183&lt;&gt;"",$H183&lt;TODAY()),"EXPIRED",""))</f>
        <v/>
      </c>
      <c r="L183" s="24"/>
      <c r="M183" s="24"/>
    </row>
    <row r="184" customFormat="false" ht="15" hidden="false" customHeight="false" outlineLevel="0" collapsed="false">
      <c r="A184" s="22"/>
      <c r="B184" s="23"/>
      <c r="C184" s="24"/>
      <c r="D184" s="22"/>
      <c r="E184" s="24"/>
      <c r="F184" s="22"/>
      <c r="G184" s="22"/>
      <c r="H184" s="23"/>
      <c r="I184" s="25" t="str">
        <f aca="false">IF($A184="","",COUNTIF(Quotations!$B$6:$B$205,$A184))</f>
        <v/>
      </c>
      <c r="J184" s="26" t="str">
        <f aca="false">IF($A184="","",SUMIFS(Quotations!$J$6:$J$205,Quotations!$B$6:$B$205,$A184,Quotations!$L$6:$L$205,"Accepted"))</f>
        <v/>
      </c>
      <c r="K184" s="27" t="str">
        <f aca="true">IF($A184="","",IF(AND(OR($G184="Sent",$G184="Approved"),$H184&lt;&gt;"",$H184&lt;TODAY()),"EXPIRED",""))</f>
        <v/>
      </c>
      <c r="L184" s="24"/>
      <c r="M184" s="24"/>
    </row>
    <row r="185" customFormat="false" ht="15" hidden="false" customHeight="false" outlineLevel="0" collapsed="false">
      <c r="A185" s="22"/>
      <c r="B185" s="23"/>
      <c r="C185" s="24"/>
      <c r="D185" s="22"/>
      <c r="E185" s="24"/>
      <c r="F185" s="22"/>
      <c r="G185" s="22"/>
      <c r="H185" s="23"/>
      <c r="I185" s="25" t="str">
        <f aca="false">IF($A185="","",COUNTIF(Quotations!$B$6:$B$205,$A185))</f>
        <v/>
      </c>
      <c r="J185" s="26" t="str">
        <f aca="false">IF($A185="","",SUMIFS(Quotations!$J$6:$J$205,Quotations!$B$6:$B$205,$A185,Quotations!$L$6:$L$205,"Accepted"))</f>
        <v/>
      </c>
      <c r="K185" s="27" t="str">
        <f aca="true">IF($A185="","",IF(AND(OR($G185="Sent",$G185="Approved"),$H185&lt;&gt;"",$H185&lt;TODAY()),"EXPIRED",""))</f>
        <v/>
      </c>
      <c r="L185" s="24"/>
      <c r="M185" s="24"/>
    </row>
    <row r="186" customFormat="false" ht="15" hidden="false" customHeight="false" outlineLevel="0" collapsed="false">
      <c r="A186" s="22"/>
      <c r="B186" s="23"/>
      <c r="C186" s="24"/>
      <c r="D186" s="22"/>
      <c r="E186" s="24"/>
      <c r="F186" s="22"/>
      <c r="G186" s="22"/>
      <c r="H186" s="23"/>
      <c r="I186" s="25" t="str">
        <f aca="false">IF($A186="","",COUNTIF(Quotations!$B$6:$B$205,$A186))</f>
        <v/>
      </c>
      <c r="J186" s="26" t="str">
        <f aca="false">IF($A186="","",SUMIFS(Quotations!$J$6:$J$205,Quotations!$B$6:$B$205,$A186,Quotations!$L$6:$L$205,"Accepted"))</f>
        <v/>
      </c>
      <c r="K186" s="27" t="str">
        <f aca="true">IF($A186="","",IF(AND(OR($G186="Sent",$G186="Approved"),$H186&lt;&gt;"",$H186&lt;TODAY()),"EXPIRED",""))</f>
        <v/>
      </c>
      <c r="L186" s="24"/>
      <c r="M186" s="24"/>
    </row>
    <row r="187" customFormat="false" ht="15" hidden="false" customHeight="false" outlineLevel="0" collapsed="false">
      <c r="A187" s="22"/>
      <c r="B187" s="23"/>
      <c r="C187" s="24"/>
      <c r="D187" s="22"/>
      <c r="E187" s="24"/>
      <c r="F187" s="22"/>
      <c r="G187" s="22"/>
      <c r="H187" s="23"/>
      <c r="I187" s="25" t="str">
        <f aca="false">IF($A187="","",COUNTIF(Quotations!$B$6:$B$205,$A187))</f>
        <v/>
      </c>
      <c r="J187" s="26" t="str">
        <f aca="false">IF($A187="","",SUMIFS(Quotations!$J$6:$J$205,Quotations!$B$6:$B$205,$A187,Quotations!$L$6:$L$205,"Accepted"))</f>
        <v/>
      </c>
      <c r="K187" s="27" t="str">
        <f aca="true">IF($A187="","",IF(AND(OR($G187="Sent",$G187="Approved"),$H187&lt;&gt;"",$H187&lt;TODAY()),"EXPIRED",""))</f>
        <v/>
      </c>
      <c r="L187" s="24"/>
      <c r="M187" s="24"/>
    </row>
    <row r="188" customFormat="false" ht="15" hidden="false" customHeight="false" outlineLevel="0" collapsed="false">
      <c r="A188" s="22"/>
      <c r="B188" s="23"/>
      <c r="C188" s="24"/>
      <c r="D188" s="22"/>
      <c r="E188" s="24"/>
      <c r="F188" s="22"/>
      <c r="G188" s="22"/>
      <c r="H188" s="23"/>
      <c r="I188" s="25" t="str">
        <f aca="false">IF($A188="","",COUNTIF(Quotations!$B$6:$B$205,$A188))</f>
        <v/>
      </c>
      <c r="J188" s="26" t="str">
        <f aca="false">IF($A188="","",SUMIFS(Quotations!$J$6:$J$205,Quotations!$B$6:$B$205,$A188,Quotations!$L$6:$L$205,"Accepted"))</f>
        <v/>
      </c>
      <c r="K188" s="27" t="str">
        <f aca="true">IF($A188="","",IF(AND(OR($G188="Sent",$G188="Approved"),$H188&lt;&gt;"",$H188&lt;TODAY()),"EXPIRED",""))</f>
        <v/>
      </c>
      <c r="L188" s="24"/>
      <c r="M188" s="24"/>
    </row>
    <row r="189" customFormat="false" ht="15" hidden="false" customHeight="false" outlineLevel="0" collapsed="false">
      <c r="A189" s="22"/>
      <c r="B189" s="23"/>
      <c r="C189" s="24"/>
      <c r="D189" s="22"/>
      <c r="E189" s="24"/>
      <c r="F189" s="22"/>
      <c r="G189" s="22"/>
      <c r="H189" s="23"/>
      <c r="I189" s="25" t="str">
        <f aca="false">IF($A189="","",COUNTIF(Quotations!$B$6:$B$205,$A189))</f>
        <v/>
      </c>
      <c r="J189" s="26" t="str">
        <f aca="false">IF($A189="","",SUMIFS(Quotations!$J$6:$J$205,Quotations!$B$6:$B$205,$A189,Quotations!$L$6:$L$205,"Accepted"))</f>
        <v/>
      </c>
      <c r="K189" s="27" t="str">
        <f aca="true">IF($A189="","",IF(AND(OR($G189="Sent",$G189="Approved"),$H189&lt;&gt;"",$H189&lt;TODAY()),"EXPIRED",""))</f>
        <v/>
      </c>
      <c r="L189" s="24"/>
      <c r="M189" s="24"/>
    </row>
    <row r="190" customFormat="false" ht="15" hidden="false" customHeight="false" outlineLevel="0" collapsed="false">
      <c r="A190" s="22"/>
      <c r="B190" s="23"/>
      <c r="C190" s="24"/>
      <c r="D190" s="22"/>
      <c r="E190" s="24"/>
      <c r="F190" s="22"/>
      <c r="G190" s="22"/>
      <c r="H190" s="23"/>
      <c r="I190" s="25" t="str">
        <f aca="false">IF($A190="","",COUNTIF(Quotations!$B$6:$B$205,$A190))</f>
        <v/>
      </c>
      <c r="J190" s="26" t="str">
        <f aca="false">IF($A190="","",SUMIFS(Quotations!$J$6:$J$205,Quotations!$B$6:$B$205,$A190,Quotations!$L$6:$L$205,"Accepted"))</f>
        <v/>
      </c>
      <c r="K190" s="27" t="str">
        <f aca="true">IF($A190="","",IF(AND(OR($G190="Sent",$G190="Approved"),$H190&lt;&gt;"",$H190&lt;TODAY()),"EXPIRED",""))</f>
        <v/>
      </c>
      <c r="L190" s="24"/>
      <c r="M190" s="24"/>
    </row>
    <row r="191" customFormat="false" ht="15" hidden="false" customHeight="false" outlineLevel="0" collapsed="false">
      <c r="A191" s="22"/>
      <c r="B191" s="23"/>
      <c r="C191" s="24"/>
      <c r="D191" s="22"/>
      <c r="E191" s="24"/>
      <c r="F191" s="22"/>
      <c r="G191" s="22"/>
      <c r="H191" s="23"/>
      <c r="I191" s="25" t="str">
        <f aca="false">IF($A191="","",COUNTIF(Quotations!$B$6:$B$205,$A191))</f>
        <v/>
      </c>
      <c r="J191" s="26" t="str">
        <f aca="false">IF($A191="","",SUMIFS(Quotations!$J$6:$J$205,Quotations!$B$6:$B$205,$A191,Quotations!$L$6:$L$205,"Accepted"))</f>
        <v/>
      </c>
      <c r="K191" s="27" t="str">
        <f aca="true">IF($A191="","",IF(AND(OR($G191="Sent",$G191="Approved"),$H191&lt;&gt;"",$H191&lt;TODAY()),"EXPIRED",""))</f>
        <v/>
      </c>
      <c r="L191" s="24"/>
      <c r="M191" s="24"/>
    </row>
    <row r="192" customFormat="false" ht="15" hidden="false" customHeight="false" outlineLevel="0" collapsed="false">
      <c r="A192" s="22"/>
      <c r="B192" s="23"/>
      <c r="C192" s="24"/>
      <c r="D192" s="22"/>
      <c r="E192" s="24"/>
      <c r="F192" s="22"/>
      <c r="G192" s="22"/>
      <c r="H192" s="23"/>
      <c r="I192" s="25" t="str">
        <f aca="false">IF($A192="","",COUNTIF(Quotations!$B$6:$B$205,$A192))</f>
        <v/>
      </c>
      <c r="J192" s="26" t="str">
        <f aca="false">IF($A192="","",SUMIFS(Quotations!$J$6:$J$205,Quotations!$B$6:$B$205,$A192,Quotations!$L$6:$L$205,"Accepted"))</f>
        <v/>
      </c>
      <c r="K192" s="27" t="str">
        <f aca="true">IF($A192="","",IF(AND(OR($G192="Sent",$G192="Approved"),$H192&lt;&gt;"",$H192&lt;TODAY()),"EXPIRED",""))</f>
        <v/>
      </c>
      <c r="L192" s="24"/>
      <c r="M192" s="24"/>
    </row>
    <row r="193" customFormat="false" ht="15" hidden="false" customHeight="false" outlineLevel="0" collapsed="false">
      <c r="A193" s="22"/>
      <c r="B193" s="23"/>
      <c r="C193" s="24"/>
      <c r="D193" s="22"/>
      <c r="E193" s="24"/>
      <c r="F193" s="22"/>
      <c r="G193" s="22"/>
      <c r="H193" s="23"/>
      <c r="I193" s="25" t="str">
        <f aca="false">IF($A193="","",COUNTIF(Quotations!$B$6:$B$205,$A193))</f>
        <v/>
      </c>
      <c r="J193" s="26" t="str">
        <f aca="false">IF($A193="","",SUMIFS(Quotations!$J$6:$J$205,Quotations!$B$6:$B$205,$A193,Quotations!$L$6:$L$205,"Accepted"))</f>
        <v/>
      </c>
      <c r="K193" s="27" t="str">
        <f aca="true">IF($A193="","",IF(AND(OR($G193="Sent",$G193="Approved"),$H193&lt;&gt;"",$H193&lt;TODAY()),"EXPIRED",""))</f>
        <v/>
      </c>
      <c r="L193" s="24"/>
      <c r="M193" s="24"/>
    </row>
    <row r="194" customFormat="false" ht="15" hidden="false" customHeight="false" outlineLevel="0" collapsed="false">
      <c r="A194" s="22"/>
      <c r="B194" s="23"/>
      <c r="C194" s="24"/>
      <c r="D194" s="22"/>
      <c r="E194" s="24"/>
      <c r="F194" s="22"/>
      <c r="G194" s="22"/>
      <c r="H194" s="23"/>
      <c r="I194" s="25" t="str">
        <f aca="false">IF($A194="","",COUNTIF(Quotations!$B$6:$B$205,$A194))</f>
        <v/>
      </c>
      <c r="J194" s="26" t="str">
        <f aca="false">IF($A194="","",SUMIFS(Quotations!$J$6:$J$205,Quotations!$B$6:$B$205,$A194,Quotations!$L$6:$L$205,"Accepted"))</f>
        <v/>
      </c>
      <c r="K194" s="27" t="str">
        <f aca="true">IF($A194="","",IF(AND(OR($G194="Sent",$G194="Approved"),$H194&lt;&gt;"",$H194&lt;TODAY()),"EXPIRED",""))</f>
        <v/>
      </c>
      <c r="L194" s="24"/>
      <c r="M194" s="24"/>
    </row>
    <row r="195" customFormat="false" ht="15" hidden="false" customHeight="false" outlineLevel="0" collapsed="false">
      <c r="A195" s="22"/>
      <c r="B195" s="23"/>
      <c r="C195" s="24"/>
      <c r="D195" s="22"/>
      <c r="E195" s="24"/>
      <c r="F195" s="22"/>
      <c r="G195" s="22"/>
      <c r="H195" s="23"/>
      <c r="I195" s="25" t="str">
        <f aca="false">IF($A195="","",COUNTIF(Quotations!$B$6:$B$205,$A195))</f>
        <v/>
      </c>
      <c r="J195" s="26" t="str">
        <f aca="false">IF($A195="","",SUMIFS(Quotations!$J$6:$J$205,Quotations!$B$6:$B$205,$A195,Quotations!$L$6:$L$205,"Accepted"))</f>
        <v/>
      </c>
      <c r="K195" s="27" t="str">
        <f aca="true">IF($A195="","",IF(AND(OR($G195="Sent",$G195="Approved"),$H195&lt;&gt;"",$H195&lt;TODAY()),"EXPIRED",""))</f>
        <v/>
      </c>
      <c r="L195" s="24"/>
      <c r="M195" s="24"/>
    </row>
    <row r="196" customFormat="false" ht="15" hidden="false" customHeight="false" outlineLevel="0" collapsed="false">
      <c r="A196" s="22"/>
      <c r="B196" s="23"/>
      <c r="C196" s="24"/>
      <c r="D196" s="22"/>
      <c r="E196" s="24"/>
      <c r="F196" s="22"/>
      <c r="G196" s="22"/>
      <c r="H196" s="23"/>
      <c r="I196" s="25" t="str">
        <f aca="false">IF($A196="","",COUNTIF(Quotations!$B$6:$B$205,$A196))</f>
        <v/>
      </c>
      <c r="J196" s="26" t="str">
        <f aca="false">IF($A196="","",SUMIFS(Quotations!$J$6:$J$205,Quotations!$B$6:$B$205,$A196,Quotations!$L$6:$L$205,"Accepted"))</f>
        <v/>
      </c>
      <c r="K196" s="27" t="str">
        <f aca="true">IF($A196="","",IF(AND(OR($G196="Sent",$G196="Approved"),$H196&lt;&gt;"",$H196&lt;TODAY()),"EXPIRED",""))</f>
        <v/>
      </c>
      <c r="L196" s="24"/>
      <c r="M196" s="24"/>
    </row>
    <row r="197" customFormat="false" ht="15" hidden="false" customHeight="false" outlineLevel="0" collapsed="false">
      <c r="A197" s="22"/>
      <c r="B197" s="23"/>
      <c r="C197" s="24"/>
      <c r="D197" s="22"/>
      <c r="E197" s="24"/>
      <c r="F197" s="22"/>
      <c r="G197" s="22"/>
      <c r="H197" s="23"/>
      <c r="I197" s="25" t="str">
        <f aca="false">IF($A197="","",COUNTIF(Quotations!$B$6:$B$205,$A197))</f>
        <v/>
      </c>
      <c r="J197" s="26" t="str">
        <f aca="false">IF($A197="","",SUMIFS(Quotations!$J$6:$J$205,Quotations!$B$6:$B$205,$A197,Quotations!$L$6:$L$205,"Accepted"))</f>
        <v/>
      </c>
      <c r="K197" s="27" t="str">
        <f aca="true">IF($A197="","",IF(AND(OR($G197="Sent",$G197="Approved"),$H197&lt;&gt;"",$H197&lt;TODAY()),"EXPIRED",""))</f>
        <v/>
      </c>
      <c r="L197" s="24"/>
      <c r="M197" s="24"/>
    </row>
    <row r="198" customFormat="false" ht="15" hidden="false" customHeight="false" outlineLevel="0" collapsed="false">
      <c r="A198" s="22"/>
      <c r="B198" s="23"/>
      <c r="C198" s="24"/>
      <c r="D198" s="22"/>
      <c r="E198" s="24"/>
      <c r="F198" s="22"/>
      <c r="G198" s="22"/>
      <c r="H198" s="23"/>
      <c r="I198" s="25" t="str">
        <f aca="false">IF($A198="","",COUNTIF(Quotations!$B$6:$B$205,$A198))</f>
        <v/>
      </c>
      <c r="J198" s="26" t="str">
        <f aca="false">IF($A198="","",SUMIFS(Quotations!$J$6:$J$205,Quotations!$B$6:$B$205,$A198,Quotations!$L$6:$L$205,"Accepted"))</f>
        <v/>
      </c>
      <c r="K198" s="27" t="str">
        <f aca="true">IF($A198="","",IF(AND(OR($G198="Sent",$G198="Approved"),$H198&lt;&gt;"",$H198&lt;TODAY()),"EXPIRED",""))</f>
        <v/>
      </c>
      <c r="L198" s="24"/>
      <c r="M198" s="24"/>
    </row>
    <row r="199" customFormat="false" ht="15" hidden="false" customHeight="false" outlineLevel="0" collapsed="false">
      <c r="A199" s="22"/>
      <c r="B199" s="23"/>
      <c r="C199" s="24"/>
      <c r="D199" s="22"/>
      <c r="E199" s="24"/>
      <c r="F199" s="22"/>
      <c r="G199" s="22"/>
      <c r="H199" s="23"/>
      <c r="I199" s="25" t="str">
        <f aca="false">IF($A199="","",COUNTIF(Quotations!$B$6:$B$205,$A199))</f>
        <v/>
      </c>
      <c r="J199" s="26" t="str">
        <f aca="false">IF($A199="","",SUMIFS(Quotations!$J$6:$J$205,Quotations!$B$6:$B$205,$A199,Quotations!$L$6:$L$205,"Accepted"))</f>
        <v/>
      </c>
      <c r="K199" s="27" t="str">
        <f aca="true">IF($A199="","",IF(AND(OR($G199="Sent",$G199="Approved"),$H199&lt;&gt;"",$H199&lt;TODAY()),"EXPIRED",""))</f>
        <v/>
      </c>
      <c r="L199" s="24"/>
      <c r="M199" s="24"/>
    </row>
    <row r="200" customFormat="false" ht="15" hidden="false" customHeight="false" outlineLevel="0" collapsed="false">
      <c r="A200" s="22"/>
      <c r="B200" s="23"/>
      <c r="C200" s="24"/>
      <c r="D200" s="22"/>
      <c r="E200" s="24"/>
      <c r="F200" s="22"/>
      <c r="G200" s="22"/>
      <c r="H200" s="23"/>
      <c r="I200" s="25" t="str">
        <f aca="false">IF($A200="","",COUNTIF(Quotations!$B$6:$B$205,$A200))</f>
        <v/>
      </c>
      <c r="J200" s="26" t="str">
        <f aca="false">IF($A200="","",SUMIFS(Quotations!$J$6:$J$205,Quotations!$B$6:$B$205,$A200,Quotations!$L$6:$L$205,"Accepted"))</f>
        <v/>
      </c>
      <c r="K200" s="27" t="str">
        <f aca="true">IF($A200="","",IF(AND(OR($G200="Sent",$G200="Approved"),$H200&lt;&gt;"",$H200&lt;TODAY()),"EXPIRED",""))</f>
        <v/>
      </c>
      <c r="L200" s="24"/>
      <c r="M200" s="24"/>
    </row>
    <row r="201" customFormat="false" ht="15" hidden="false" customHeight="false" outlineLevel="0" collapsed="false">
      <c r="A201" s="22"/>
      <c r="B201" s="23"/>
      <c r="C201" s="24"/>
      <c r="D201" s="22"/>
      <c r="E201" s="24"/>
      <c r="F201" s="22"/>
      <c r="G201" s="22"/>
      <c r="H201" s="23"/>
      <c r="I201" s="25" t="str">
        <f aca="false">IF($A201="","",COUNTIF(Quotations!$B$6:$B$205,$A201))</f>
        <v/>
      </c>
      <c r="J201" s="26" t="str">
        <f aca="false">IF($A201="","",SUMIFS(Quotations!$J$6:$J$205,Quotations!$B$6:$B$205,$A201,Quotations!$L$6:$L$205,"Accepted"))</f>
        <v/>
      </c>
      <c r="K201" s="27" t="str">
        <f aca="true">IF($A201="","",IF(AND(OR($G201="Sent",$G201="Approved"),$H201&lt;&gt;"",$H201&lt;TODAY()),"EXPIRED",""))</f>
        <v/>
      </c>
      <c r="L201" s="24"/>
      <c r="M201" s="24"/>
    </row>
    <row r="202" customFormat="false" ht="15" hidden="false" customHeight="false" outlineLevel="0" collapsed="false">
      <c r="A202" s="22"/>
      <c r="B202" s="23"/>
      <c r="C202" s="24"/>
      <c r="D202" s="22"/>
      <c r="E202" s="24"/>
      <c r="F202" s="22"/>
      <c r="G202" s="22"/>
      <c r="H202" s="23"/>
      <c r="I202" s="25" t="str">
        <f aca="false">IF($A202="","",COUNTIF(Quotations!$B$6:$B$205,$A202))</f>
        <v/>
      </c>
      <c r="J202" s="26" t="str">
        <f aca="false">IF($A202="","",SUMIFS(Quotations!$J$6:$J$205,Quotations!$B$6:$B$205,$A202,Quotations!$L$6:$L$205,"Accepted"))</f>
        <v/>
      </c>
      <c r="K202" s="27" t="str">
        <f aca="true">IF($A202="","",IF(AND(OR($G202="Sent",$G202="Approved"),$H202&lt;&gt;"",$H202&lt;TODAY()),"EXPIRED",""))</f>
        <v/>
      </c>
      <c r="L202" s="24"/>
      <c r="M202" s="24"/>
    </row>
    <row r="203" customFormat="false" ht="15" hidden="false" customHeight="false" outlineLevel="0" collapsed="false">
      <c r="A203" s="22"/>
      <c r="B203" s="23"/>
      <c r="C203" s="24"/>
      <c r="D203" s="22"/>
      <c r="E203" s="24"/>
      <c r="F203" s="22"/>
      <c r="G203" s="22"/>
      <c r="H203" s="23"/>
      <c r="I203" s="25" t="str">
        <f aca="false">IF($A203="","",COUNTIF(Quotations!$B$6:$B$205,$A203))</f>
        <v/>
      </c>
      <c r="J203" s="26" t="str">
        <f aca="false">IF($A203="","",SUMIFS(Quotations!$J$6:$J$205,Quotations!$B$6:$B$205,$A203,Quotations!$L$6:$L$205,"Accepted"))</f>
        <v/>
      </c>
      <c r="K203" s="27" t="str">
        <f aca="true">IF($A203="","",IF(AND(OR($G203="Sent",$G203="Approved"),$H203&lt;&gt;"",$H203&lt;TODAY()),"EXPIRED",""))</f>
        <v/>
      </c>
      <c r="L203" s="24"/>
      <c r="M203" s="24"/>
    </row>
    <row r="204" customFormat="false" ht="15" hidden="false" customHeight="false" outlineLevel="0" collapsed="false">
      <c r="A204" s="22"/>
      <c r="B204" s="23"/>
      <c r="C204" s="24"/>
      <c r="D204" s="22"/>
      <c r="E204" s="24"/>
      <c r="F204" s="22"/>
      <c r="G204" s="22"/>
      <c r="H204" s="23"/>
      <c r="I204" s="25" t="str">
        <f aca="false">IF($A204="","",COUNTIF(Quotations!$B$6:$B$205,$A204))</f>
        <v/>
      </c>
      <c r="J204" s="26" t="str">
        <f aca="false">IF($A204="","",SUMIFS(Quotations!$J$6:$J$205,Quotations!$B$6:$B$205,$A204,Quotations!$L$6:$L$205,"Accepted"))</f>
        <v/>
      </c>
      <c r="K204" s="27" t="str">
        <f aca="true">IF($A204="","",IF(AND(OR($G204="Sent",$G204="Approved"),$H204&lt;&gt;"",$H204&lt;TODAY()),"EXPIRED",""))</f>
        <v/>
      </c>
      <c r="L204" s="24"/>
      <c r="M204" s="24"/>
    </row>
    <row r="205" customFormat="false" ht="15" hidden="false" customHeight="false" outlineLevel="0" collapsed="false">
      <c r="A205" s="22"/>
      <c r="B205" s="23"/>
      <c r="C205" s="24"/>
      <c r="D205" s="22"/>
      <c r="E205" s="24"/>
      <c r="F205" s="22"/>
      <c r="G205" s="22"/>
      <c r="H205" s="23"/>
      <c r="I205" s="25" t="str">
        <f aca="false">IF($A205="","",COUNTIF(Quotations!$B$6:$B$205,$A205))</f>
        <v/>
      </c>
      <c r="J205" s="26" t="str">
        <f aca="false">IF($A205="","",SUMIFS(Quotations!$J$6:$J$205,Quotations!$B$6:$B$205,$A205,Quotations!$L$6:$L$205,"Accepted"))</f>
        <v/>
      </c>
      <c r="K205" s="27" t="str">
        <f aca="true">IF($A205="","",IF(AND(OR($G205="Sent",$G205="Approved"),$H205&lt;&gt;"",$H205&lt;TODAY()),"EXPIRED",""))</f>
        <v/>
      </c>
      <c r="L205" s="24"/>
      <c r="M205" s="24"/>
    </row>
  </sheetData>
  <autoFilter ref="A5:M205"/>
  <conditionalFormatting sqref="A6:A205">
    <cfRule type="expression" priority="2" aboveAverage="0" equalAverage="0" bottom="0" percent="0" rank="0" text="" dxfId="0">
      <formula>AND($A6&lt;&gt;"",COUNTIF($A$6:$A$205,$A6)&gt;1)</formula>
    </cfRule>
  </conditionalFormatting>
  <conditionalFormatting sqref="G6:G205">
    <cfRule type="expression" priority="3" aboveAverage="0" equalAverage="0" bottom="0" percent="0" rank="0" text="" dxfId="1">
      <formula>$G6="Won"</formula>
    </cfRule>
    <cfRule type="expression" priority="4" aboveAverage="0" equalAverage="0" bottom="0" percent="0" rank="0" text="" dxfId="9">
      <formula>OR($G6="Lost",$G6="Withdrawn",$G6="Void")</formula>
    </cfRule>
  </conditionalFormatting>
  <conditionalFormatting sqref="K6:K205">
    <cfRule type="expression" priority="5" aboveAverage="0" equalAverage="0" bottom="0" percent="0" rank="0" text="" dxfId="0">
      <formula>$K6="EXPIRED"</formula>
    </cfRule>
  </conditionalFormatting>
  <dataValidations count="3">
    <dataValidation allowBlank="true" error="Use the format PROP-YYYY-### (example PROP-2026-001). Copy the 'Next Proposal ID' from the Dashboard." errorStyle="stop" errorTitle="Invalid ID format" operator="between" showDropDown="false" showErrorMessage="false" showInputMessage="false" sqref="A6:A205" type="custom">
      <formula1>AND(LEFT(A6,5)="PROP-",LEN(A6)=13)</formula1>
      <formula2>0</formula2>
    </dataValidation>
    <dataValidation allowBlank="true" error="Pick a status from the list." errorStyle="stop" errorTitle="Check value" operator="between" showDropDown="false" showErrorMessage="false" showInputMessage="false" sqref="G6:G205" type="list">
      <formula1>Lists!$A$2:$A$9</formula1>
      <formula2>0</formula2>
    </dataValidation>
    <dataValidation allowBlank="true" error="Client code is not in the Clients sheet. Add it there first (leave blank for prospects)." errorStyle="warning" errorTitle="Check value" operator="between" showDropDown="false" showErrorMessage="false" showInputMessage="false" sqref="D6:D205" type="list">
      <formula1>Clients!$A$6:$A$105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2" min="11" style="0" width="13"/>
    <col collapsed="false" customWidth="true" hidden="false" outlineLevel="0" max="13" min="13" style="0" width="16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34"/>
    <col collapsed="false" customWidth="true" hidden="false" outlineLevel="0" max="17" min="17" style="0" width="40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6" t="s">
        <v>100</v>
      </c>
    </row>
    <row r="3" customFormat="false" ht="15" hidden="false" customHeight="false" outlineLevel="0" collapsed="false">
      <c r="A3" s="6" t="s">
        <v>78</v>
      </c>
    </row>
    <row r="5" customFormat="false" ht="31.5" hidden="false" customHeight="true" outlineLevel="0" collapsed="false">
      <c r="A5" s="21" t="s">
        <v>101</v>
      </c>
      <c r="B5" s="21" t="s">
        <v>102</v>
      </c>
      <c r="C5" s="21" t="s">
        <v>103</v>
      </c>
      <c r="D5" s="21" t="s">
        <v>104</v>
      </c>
      <c r="E5" s="21" t="s">
        <v>105</v>
      </c>
      <c r="F5" s="21" t="s">
        <v>41</v>
      </c>
      <c r="G5" s="21" t="s">
        <v>106</v>
      </c>
      <c r="H5" s="21" t="s">
        <v>107</v>
      </c>
      <c r="I5" s="21" t="s">
        <v>108</v>
      </c>
      <c r="J5" s="21" t="s">
        <v>75</v>
      </c>
      <c r="K5" s="21" t="s">
        <v>85</v>
      </c>
      <c r="L5" s="21" t="s">
        <v>71</v>
      </c>
      <c r="M5" s="21" t="s">
        <v>109</v>
      </c>
      <c r="N5" s="21" t="s">
        <v>110</v>
      </c>
      <c r="O5" s="21" t="s">
        <v>88</v>
      </c>
      <c r="P5" s="21" t="s">
        <v>89</v>
      </c>
      <c r="Q5" s="21" t="s">
        <v>90</v>
      </c>
    </row>
    <row r="6" customFormat="false" ht="23.85" hidden="false" customHeight="false" outlineLevel="0" collapsed="false">
      <c r="A6" s="22" t="s">
        <v>111</v>
      </c>
      <c r="B6" s="22" t="s">
        <v>91</v>
      </c>
      <c r="C6" s="28" t="str">
        <f aca="false">IF($B6="","",IFERROR(INDEX(Proposals!$C$6:$C$205,MATCH($B6,Proposals!$A$6:$A$205,0)),"Proposal not found"))</f>
        <v>Northwind Bank</v>
      </c>
      <c r="D6" s="22" t="n">
        <v>1</v>
      </c>
      <c r="E6" s="23" t="n">
        <v>46218</v>
      </c>
      <c r="F6" s="22" t="s">
        <v>112</v>
      </c>
      <c r="G6" s="29" t="n">
        <v>48000</v>
      </c>
      <c r="H6" s="30" t="n">
        <v>0.1</v>
      </c>
      <c r="I6" s="26" t="n">
        <f aca="false">IF($A6="","",N($G6)*N($H6))</f>
        <v>4800</v>
      </c>
      <c r="J6" s="26" t="n">
        <f aca="false">IF($A6="","",N($G6)+$I6)</f>
        <v>52800</v>
      </c>
      <c r="K6" s="23" t="n">
        <v>46265</v>
      </c>
      <c r="L6" s="22" t="s">
        <v>113</v>
      </c>
      <c r="M6" s="22" t="s">
        <v>95</v>
      </c>
      <c r="N6" s="23" t="n">
        <v>46217</v>
      </c>
      <c r="O6" s="27" t="str">
        <f aca="true">IF($A6="","",IF(AND(OR($L6="Sent",$L6="Approved"),$K6&lt;&gt;"",$K6&lt;TODAY()),"EXPIRED",""))</f>
        <v/>
      </c>
      <c r="P6" s="24" t="s">
        <v>97</v>
      </c>
      <c r="Q6" s="24" t="s">
        <v>114</v>
      </c>
    </row>
    <row r="7" customFormat="false" ht="15" hidden="false" customHeight="false" outlineLevel="0" collapsed="false">
      <c r="A7" s="22"/>
      <c r="B7" s="22"/>
      <c r="C7" s="28" t="str">
        <f aca="false">IF($B7="","",IFERROR(INDEX(Proposals!$C$6:$C$205,MATCH($B7,Proposals!$A$6:$A$205,0)),"Proposal not found"))</f>
        <v/>
      </c>
      <c r="D7" s="22"/>
      <c r="E7" s="23"/>
      <c r="F7" s="22"/>
      <c r="G7" s="29"/>
      <c r="H7" s="30"/>
      <c r="I7" s="26" t="str">
        <f aca="false">IF($A7="","",N($G7)*N($H7))</f>
        <v/>
      </c>
      <c r="J7" s="26" t="str">
        <f aca="false">IF($A7="","",N($G7)+$I7)</f>
        <v/>
      </c>
      <c r="K7" s="23"/>
      <c r="L7" s="22"/>
      <c r="M7" s="22"/>
      <c r="N7" s="23"/>
      <c r="O7" s="27" t="str">
        <f aca="true">IF($A7="","",IF(AND(OR($L7="Sent",$L7="Approved"),$K7&lt;&gt;"",$K7&lt;TODAY()),"EXPIRED",""))</f>
        <v/>
      </c>
      <c r="P7" s="24"/>
      <c r="Q7" s="24"/>
    </row>
    <row r="8" customFormat="false" ht="15" hidden="false" customHeight="false" outlineLevel="0" collapsed="false">
      <c r="A8" s="22"/>
      <c r="B8" s="22"/>
      <c r="C8" s="28" t="str">
        <f aca="false">IF($B8="","",IFERROR(INDEX(Proposals!$C$6:$C$205,MATCH($B8,Proposals!$A$6:$A$205,0)),"Proposal not found"))</f>
        <v/>
      </c>
      <c r="D8" s="22"/>
      <c r="E8" s="23"/>
      <c r="F8" s="22"/>
      <c r="G8" s="29"/>
      <c r="H8" s="30"/>
      <c r="I8" s="26" t="str">
        <f aca="false">IF($A8="","",N($G8)*N($H8))</f>
        <v/>
      </c>
      <c r="J8" s="26" t="str">
        <f aca="false">IF($A8="","",N($G8)+$I8)</f>
        <v/>
      </c>
      <c r="K8" s="23"/>
      <c r="L8" s="22"/>
      <c r="M8" s="22"/>
      <c r="N8" s="23"/>
      <c r="O8" s="27" t="str">
        <f aca="true">IF($A8="","",IF(AND(OR($L8="Sent",$L8="Approved"),$K8&lt;&gt;"",$K8&lt;TODAY()),"EXPIRED",""))</f>
        <v/>
      </c>
      <c r="P8" s="24"/>
      <c r="Q8" s="24"/>
    </row>
    <row r="9" customFormat="false" ht="15" hidden="false" customHeight="false" outlineLevel="0" collapsed="false">
      <c r="A9" s="22"/>
      <c r="B9" s="22"/>
      <c r="C9" s="28" t="str">
        <f aca="false">IF($B9="","",IFERROR(INDEX(Proposals!$C$6:$C$205,MATCH($B9,Proposals!$A$6:$A$205,0)),"Proposal not found"))</f>
        <v/>
      </c>
      <c r="D9" s="22"/>
      <c r="E9" s="23"/>
      <c r="F9" s="22"/>
      <c r="G9" s="29"/>
      <c r="H9" s="30"/>
      <c r="I9" s="26" t="str">
        <f aca="false">IF($A9="","",N($G9)*N($H9))</f>
        <v/>
      </c>
      <c r="J9" s="26" t="str">
        <f aca="false">IF($A9="","",N($G9)+$I9)</f>
        <v/>
      </c>
      <c r="K9" s="23"/>
      <c r="L9" s="22"/>
      <c r="M9" s="22"/>
      <c r="N9" s="23"/>
      <c r="O9" s="27" t="str">
        <f aca="true">IF($A9="","",IF(AND(OR($L9="Sent",$L9="Approved"),$K9&lt;&gt;"",$K9&lt;TODAY()),"EXPIRED",""))</f>
        <v/>
      </c>
      <c r="P9" s="24"/>
      <c r="Q9" s="24"/>
    </row>
    <row r="10" customFormat="false" ht="15" hidden="false" customHeight="false" outlineLevel="0" collapsed="false">
      <c r="A10" s="22"/>
      <c r="B10" s="22"/>
      <c r="C10" s="28" t="str">
        <f aca="false">IF($B10="","",IFERROR(INDEX(Proposals!$C$6:$C$205,MATCH($B10,Proposals!$A$6:$A$205,0)),"Proposal not found"))</f>
        <v/>
      </c>
      <c r="D10" s="22"/>
      <c r="E10" s="23"/>
      <c r="F10" s="22"/>
      <c r="G10" s="29"/>
      <c r="H10" s="30"/>
      <c r="I10" s="26" t="str">
        <f aca="false">IF($A10="","",N($G10)*N($H10))</f>
        <v/>
      </c>
      <c r="J10" s="26" t="str">
        <f aca="false">IF($A10="","",N($G10)+$I10)</f>
        <v/>
      </c>
      <c r="K10" s="23"/>
      <c r="L10" s="22"/>
      <c r="M10" s="22"/>
      <c r="N10" s="23"/>
      <c r="O10" s="27" t="str">
        <f aca="true">IF($A10="","",IF(AND(OR($L10="Sent",$L10="Approved"),$K10&lt;&gt;"",$K10&lt;TODAY()),"EXPIRED",""))</f>
        <v/>
      </c>
      <c r="P10" s="24"/>
      <c r="Q10" s="24"/>
    </row>
    <row r="11" customFormat="false" ht="15" hidden="false" customHeight="false" outlineLevel="0" collapsed="false">
      <c r="A11" s="22"/>
      <c r="B11" s="22"/>
      <c r="C11" s="28" t="str">
        <f aca="false">IF($B11="","",IFERROR(INDEX(Proposals!$C$6:$C$205,MATCH($B11,Proposals!$A$6:$A$205,0)),"Proposal not found"))</f>
        <v/>
      </c>
      <c r="D11" s="22"/>
      <c r="E11" s="23"/>
      <c r="F11" s="22"/>
      <c r="G11" s="29"/>
      <c r="H11" s="30"/>
      <c r="I11" s="26" t="str">
        <f aca="false">IF($A11="","",N($G11)*N($H11))</f>
        <v/>
      </c>
      <c r="J11" s="26" t="str">
        <f aca="false">IF($A11="","",N($G11)+$I11)</f>
        <v/>
      </c>
      <c r="K11" s="23"/>
      <c r="L11" s="22"/>
      <c r="M11" s="22"/>
      <c r="N11" s="23"/>
      <c r="O11" s="27" t="str">
        <f aca="true">IF($A11="","",IF(AND(OR($L11="Sent",$L11="Approved"),$K11&lt;&gt;"",$K11&lt;TODAY()),"EXPIRED",""))</f>
        <v/>
      </c>
      <c r="P11" s="24"/>
      <c r="Q11" s="24"/>
    </row>
    <row r="12" customFormat="false" ht="15" hidden="false" customHeight="false" outlineLevel="0" collapsed="false">
      <c r="A12" s="22"/>
      <c r="B12" s="22"/>
      <c r="C12" s="28" t="str">
        <f aca="false">IF($B12="","",IFERROR(INDEX(Proposals!$C$6:$C$205,MATCH($B12,Proposals!$A$6:$A$205,0)),"Proposal not found"))</f>
        <v/>
      </c>
      <c r="D12" s="22"/>
      <c r="E12" s="23"/>
      <c r="F12" s="22"/>
      <c r="G12" s="29"/>
      <c r="H12" s="30"/>
      <c r="I12" s="26" t="str">
        <f aca="false">IF($A12="","",N($G12)*N($H12))</f>
        <v/>
      </c>
      <c r="J12" s="26" t="str">
        <f aca="false">IF($A12="","",N($G12)+$I12)</f>
        <v/>
      </c>
      <c r="K12" s="23"/>
      <c r="L12" s="22"/>
      <c r="M12" s="22"/>
      <c r="N12" s="23"/>
      <c r="O12" s="27" t="str">
        <f aca="true">IF($A12="","",IF(AND(OR($L12="Sent",$L12="Approved"),$K12&lt;&gt;"",$K12&lt;TODAY()),"EXPIRED",""))</f>
        <v/>
      </c>
      <c r="P12" s="24"/>
      <c r="Q12" s="24"/>
    </row>
    <row r="13" customFormat="false" ht="15" hidden="false" customHeight="false" outlineLevel="0" collapsed="false">
      <c r="A13" s="22"/>
      <c r="B13" s="22"/>
      <c r="C13" s="28" t="str">
        <f aca="false">IF($B13="","",IFERROR(INDEX(Proposals!$C$6:$C$205,MATCH($B13,Proposals!$A$6:$A$205,0)),"Proposal not found"))</f>
        <v/>
      </c>
      <c r="D13" s="22"/>
      <c r="E13" s="23"/>
      <c r="F13" s="22"/>
      <c r="G13" s="29"/>
      <c r="H13" s="30"/>
      <c r="I13" s="26" t="str">
        <f aca="false">IF($A13="","",N($G13)*N($H13))</f>
        <v/>
      </c>
      <c r="J13" s="26" t="str">
        <f aca="false">IF($A13="","",N($G13)+$I13)</f>
        <v/>
      </c>
      <c r="K13" s="23"/>
      <c r="L13" s="22"/>
      <c r="M13" s="22"/>
      <c r="N13" s="23"/>
      <c r="O13" s="27" t="str">
        <f aca="true">IF($A13="","",IF(AND(OR($L13="Sent",$L13="Approved"),$K13&lt;&gt;"",$K13&lt;TODAY()),"EXPIRED",""))</f>
        <v/>
      </c>
      <c r="P13" s="24"/>
      <c r="Q13" s="24"/>
    </row>
    <row r="14" customFormat="false" ht="15" hidden="false" customHeight="false" outlineLevel="0" collapsed="false">
      <c r="A14" s="22"/>
      <c r="B14" s="22"/>
      <c r="C14" s="28" t="str">
        <f aca="false">IF($B14="","",IFERROR(INDEX(Proposals!$C$6:$C$205,MATCH($B14,Proposals!$A$6:$A$205,0)),"Proposal not found"))</f>
        <v/>
      </c>
      <c r="D14" s="22"/>
      <c r="E14" s="23"/>
      <c r="F14" s="22"/>
      <c r="G14" s="29"/>
      <c r="H14" s="30"/>
      <c r="I14" s="26" t="str">
        <f aca="false">IF($A14="","",N($G14)*N($H14))</f>
        <v/>
      </c>
      <c r="J14" s="26" t="str">
        <f aca="false">IF($A14="","",N($G14)+$I14)</f>
        <v/>
      </c>
      <c r="K14" s="23"/>
      <c r="L14" s="22"/>
      <c r="M14" s="22"/>
      <c r="N14" s="23"/>
      <c r="O14" s="27" t="str">
        <f aca="true">IF($A14="","",IF(AND(OR($L14="Sent",$L14="Approved"),$K14&lt;&gt;"",$K14&lt;TODAY()),"EXPIRED",""))</f>
        <v/>
      </c>
      <c r="P14" s="24"/>
      <c r="Q14" s="24"/>
    </row>
    <row r="15" customFormat="false" ht="15" hidden="false" customHeight="false" outlineLevel="0" collapsed="false">
      <c r="A15" s="22"/>
      <c r="B15" s="22"/>
      <c r="C15" s="28" t="str">
        <f aca="false">IF($B15="","",IFERROR(INDEX(Proposals!$C$6:$C$205,MATCH($B15,Proposals!$A$6:$A$205,0)),"Proposal not found"))</f>
        <v/>
      </c>
      <c r="D15" s="22"/>
      <c r="E15" s="23"/>
      <c r="F15" s="22"/>
      <c r="G15" s="29"/>
      <c r="H15" s="30"/>
      <c r="I15" s="26" t="str">
        <f aca="false">IF($A15="","",N($G15)*N($H15))</f>
        <v/>
      </c>
      <c r="J15" s="26" t="str">
        <f aca="false">IF($A15="","",N($G15)+$I15)</f>
        <v/>
      </c>
      <c r="K15" s="23"/>
      <c r="L15" s="22"/>
      <c r="M15" s="22"/>
      <c r="N15" s="23"/>
      <c r="O15" s="27" t="str">
        <f aca="true">IF($A15="","",IF(AND(OR($L15="Sent",$L15="Approved"),$K15&lt;&gt;"",$K15&lt;TODAY()),"EXPIRED",""))</f>
        <v/>
      </c>
      <c r="P15" s="24"/>
      <c r="Q15" s="24"/>
    </row>
    <row r="16" customFormat="false" ht="15" hidden="false" customHeight="false" outlineLevel="0" collapsed="false">
      <c r="A16" s="22"/>
      <c r="B16" s="22"/>
      <c r="C16" s="28" t="str">
        <f aca="false">IF($B16="","",IFERROR(INDEX(Proposals!$C$6:$C$205,MATCH($B16,Proposals!$A$6:$A$205,0)),"Proposal not found"))</f>
        <v/>
      </c>
      <c r="D16" s="22"/>
      <c r="E16" s="23"/>
      <c r="F16" s="22"/>
      <c r="G16" s="29"/>
      <c r="H16" s="30"/>
      <c r="I16" s="26" t="str">
        <f aca="false">IF($A16="","",N($G16)*N($H16))</f>
        <v/>
      </c>
      <c r="J16" s="26" t="str">
        <f aca="false">IF($A16="","",N($G16)+$I16)</f>
        <v/>
      </c>
      <c r="K16" s="23"/>
      <c r="L16" s="22"/>
      <c r="M16" s="22"/>
      <c r="N16" s="23"/>
      <c r="O16" s="27" t="str">
        <f aca="true">IF($A16="","",IF(AND(OR($L16="Sent",$L16="Approved"),$K16&lt;&gt;"",$K16&lt;TODAY()),"EXPIRED",""))</f>
        <v/>
      </c>
      <c r="P16" s="24"/>
      <c r="Q16" s="24"/>
    </row>
    <row r="17" customFormat="false" ht="15" hidden="false" customHeight="false" outlineLevel="0" collapsed="false">
      <c r="A17" s="22"/>
      <c r="B17" s="22"/>
      <c r="C17" s="28" t="str">
        <f aca="false">IF($B17="","",IFERROR(INDEX(Proposals!$C$6:$C$205,MATCH($B17,Proposals!$A$6:$A$205,0)),"Proposal not found"))</f>
        <v/>
      </c>
      <c r="D17" s="22"/>
      <c r="E17" s="23"/>
      <c r="F17" s="22"/>
      <c r="G17" s="29"/>
      <c r="H17" s="30"/>
      <c r="I17" s="26" t="str">
        <f aca="false">IF($A17="","",N($G17)*N($H17))</f>
        <v/>
      </c>
      <c r="J17" s="26" t="str">
        <f aca="false">IF($A17="","",N($G17)+$I17)</f>
        <v/>
      </c>
      <c r="K17" s="23"/>
      <c r="L17" s="22"/>
      <c r="M17" s="22"/>
      <c r="N17" s="23"/>
      <c r="O17" s="27" t="str">
        <f aca="true">IF($A17="","",IF(AND(OR($L17="Sent",$L17="Approved"),$K17&lt;&gt;"",$K17&lt;TODAY()),"EXPIRED",""))</f>
        <v/>
      </c>
      <c r="P17" s="24"/>
      <c r="Q17" s="24"/>
    </row>
    <row r="18" customFormat="false" ht="15" hidden="false" customHeight="false" outlineLevel="0" collapsed="false">
      <c r="A18" s="22"/>
      <c r="B18" s="22"/>
      <c r="C18" s="28" t="str">
        <f aca="false">IF($B18="","",IFERROR(INDEX(Proposals!$C$6:$C$205,MATCH($B18,Proposals!$A$6:$A$205,0)),"Proposal not found"))</f>
        <v/>
      </c>
      <c r="D18" s="22"/>
      <c r="E18" s="23"/>
      <c r="F18" s="22"/>
      <c r="G18" s="29"/>
      <c r="H18" s="30"/>
      <c r="I18" s="26" t="str">
        <f aca="false">IF($A18="","",N($G18)*N($H18))</f>
        <v/>
      </c>
      <c r="J18" s="26" t="str">
        <f aca="false">IF($A18="","",N($G18)+$I18)</f>
        <v/>
      </c>
      <c r="K18" s="23"/>
      <c r="L18" s="22"/>
      <c r="M18" s="22"/>
      <c r="N18" s="23"/>
      <c r="O18" s="27" t="str">
        <f aca="true">IF($A18="","",IF(AND(OR($L18="Sent",$L18="Approved"),$K18&lt;&gt;"",$K18&lt;TODAY()),"EXPIRED",""))</f>
        <v/>
      </c>
      <c r="P18" s="24"/>
      <c r="Q18" s="24"/>
    </row>
    <row r="19" customFormat="false" ht="15" hidden="false" customHeight="false" outlineLevel="0" collapsed="false">
      <c r="A19" s="22"/>
      <c r="B19" s="22"/>
      <c r="C19" s="28" t="str">
        <f aca="false">IF($B19="","",IFERROR(INDEX(Proposals!$C$6:$C$205,MATCH($B19,Proposals!$A$6:$A$205,0)),"Proposal not found"))</f>
        <v/>
      </c>
      <c r="D19" s="22"/>
      <c r="E19" s="23"/>
      <c r="F19" s="22"/>
      <c r="G19" s="29"/>
      <c r="H19" s="30"/>
      <c r="I19" s="26" t="str">
        <f aca="false">IF($A19="","",N($G19)*N($H19))</f>
        <v/>
      </c>
      <c r="J19" s="26" t="str">
        <f aca="false">IF($A19="","",N($G19)+$I19)</f>
        <v/>
      </c>
      <c r="K19" s="23"/>
      <c r="L19" s="22"/>
      <c r="M19" s="22"/>
      <c r="N19" s="23"/>
      <c r="O19" s="27" t="str">
        <f aca="true">IF($A19="","",IF(AND(OR($L19="Sent",$L19="Approved"),$K19&lt;&gt;"",$K19&lt;TODAY()),"EXPIRED",""))</f>
        <v/>
      </c>
      <c r="P19" s="24"/>
      <c r="Q19" s="24"/>
    </row>
    <row r="20" customFormat="false" ht="15" hidden="false" customHeight="false" outlineLevel="0" collapsed="false">
      <c r="A20" s="22"/>
      <c r="B20" s="22"/>
      <c r="C20" s="28" t="str">
        <f aca="false">IF($B20="","",IFERROR(INDEX(Proposals!$C$6:$C$205,MATCH($B20,Proposals!$A$6:$A$205,0)),"Proposal not found"))</f>
        <v/>
      </c>
      <c r="D20" s="22"/>
      <c r="E20" s="23"/>
      <c r="F20" s="22"/>
      <c r="G20" s="29"/>
      <c r="H20" s="30"/>
      <c r="I20" s="26" t="str">
        <f aca="false">IF($A20="","",N($G20)*N($H20))</f>
        <v/>
      </c>
      <c r="J20" s="26" t="str">
        <f aca="false">IF($A20="","",N($G20)+$I20)</f>
        <v/>
      </c>
      <c r="K20" s="23"/>
      <c r="L20" s="22"/>
      <c r="M20" s="22"/>
      <c r="N20" s="23"/>
      <c r="O20" s="27" t="str">
        <f aca="true">IF($A20="","",IF(AND(OR($L20="Sent",$L20="Approved"),$K20&lt;&gt;"",$K20&lt;TODAY()),"EXPIRED",""))</f>
        <v/>
      </c>
      <c r="P20" s="24"/>
      <c r="Q20" s="24"/>
    </row>
    <row r="21" customFormat="false" ht="15" hidden="false" customHeight="false" outlineLevel="0" collapsed="false">
      <c r="A21" s="22"/>
      <c r="B21" s="22"/>
      <c r="C21" s="28" t="str">
        <f aca="false">IF($B21="","",IFERROR(INDEX(Proposals!$C$6:$C$205,MATCH($B21,Proposals!$A$6:$A$205,0)),"Proposal not found"))</f>
        <v/>
      </c>
      <c r="D21" s="22"/>
      <c r="E21" s="23"/>
      <c r="F21" s="22"/>
      <c r="G21" s="29"/>
      <c r="H21" s="30"/>
      <c r="I21" s="26" t="str">
        <f aca="false">IF($A21="","",N($G21)*N($H21))</f>
        <v/>
      </c>
      <c r="J21" s="26" t="str">
        <f aca="false">IF($A21="","",N($G21)+$I21)</f>
        <v/>
      </c>
      <c r="K21" s="23"/>
      <c r="L21" s="22"/>
      <c r="M21" s="22"/>
      <c r="N21" s="23"/>
      <c r="O21" s="27" t="str">
        <f aca="true">IF($A21="","",IF(AND(OR($L21="Sent",$L21="Approved"),$K21&lt;&gt;"",$K21&lt;TODAY()),"EXPIRED",""))</f>
        <v/>
      </c>
      <c r="P21" s="24"/>
      <c r="Q21" s="24"/>
    </row>
    <row r="22" customFormat="false" ht="15" hidden="false" customHeight="false" outlineLevel="0" collapsed="false">
      <c r="A22" s="22"/>
      <c r="B22" s="22"/>
      <c r="C22" s="28" t="str">
        <f aca="false">IF($B22="","",IFERROR(INDEX(Proposals!$C$6:$C$205,MATCH($B22,Proposals!$A$6:$A$205,0)),"Proposal not found"))</f>
        <v/>
      </c>
      <c r="D22" s="22"/>
      <c r="E22" s="23"/>
      <c r="F22" s="22"/>
      <c r="G22" s="29"/>
      <c r="H22" s="30"/>
      <c r="I22" s="26" t="str">
        <f aca="false">IF($A22="","",N($G22)*N($H22))</f>
        <v/>
      </c>
      <c r="J22" s="26" t="str">
        <f aca="false">IF($A22="","",N($G22)+$I22)</f>
        <v/>
      </c>
      <c r="K22" s="23"/>
      <c r="L22" s="22"/>
      <c r="M22" s="22"/>
      <c r="N22" s="23"/>
      <c r="O22" s="27" t="str">
        <f aca="true">IF($A22="","",IF(AND(OR($L22="Sent",$L22="Approved"),$K22&lt;&gt;"",$K22&lt;TODAY()),"EXPIRED",""))</f>
        <v/>
      </c>
      <c r="P22" s="24"/>
      <c r="Q22" s="24"/>
    </row>
    <row r="23" customFormat="false" ht="15" hidden="false" customHeight="false" outlineLevel="0" collapsed="false">
      <c r="A23" s="22"/>
      <c r="B23" s="22"/>
      <c r="C23" s="28" t="str">
        <f aca="false">IF($B23="","",IFERROR(INDEX(Proposals!$C$6:$C$205,MATCH($B23,Proposals!$A$6:$A$205,0)),"Proposal not found"))</f>
        <v/>
      </c>
      <c r="D23" s="22"/>
      <c r="E23" s="23"/>
      <c r="F23" s="22"/>
      <c r="G23" s="29"/>
      <c r="H23" s="30"/>
      <c r="I23" s="26" t="str">
        <f aca="false">IF($A23="","",N($G23)*N($H23))</f>
        <v/>
      </c>
      <c r="J23" s="26" t="str">
        <f aca="false">IF($A23="","",N($G23)+$I23)</f>
        <v/>
      </c>
      <c r="K23" s="23"/>
      <c r="L23" s="22"/>
      <c r="M23" s="22"/>
      <c r="N23" s="23"/>
      <c r="O23" s="27" t="str">
        <f aca="true">IF($A23="","",IF(AND(OR($L23="Sent",$L23="Approved"),$K23&lt;&gt;"",$K23&lt;TODAY()),"EXPIRED",""))</f>
        <v/>
      </c>
      <c r="P23" s="24"/>
      <c r="Q23" s="24"/>
    </row>
    <row r="24" customFormat="false" ht="15" hidden="false" customHeight="false" outlineLevel="0" collapsed="false">
      <c r="A24" s="22"/>
      <c r="B24" s="22"/>
      <c r="C24" s="28" t="str">
        <f aca="false">IF($B24="","",IFERROR(INDEX(Proposals!$C$6:$C$205,MATCH($B24,Proposals!$A$6:$A$205,0)),"Proposal not found"))</f>
        <v/>
      </c>
      <c r="D24" s="22"/>
      <c r="E24" s="23"/>
      <c r="F24" s="22"/>
      <c r="G24" s="29"/>
      <c r="H24" s="30"/>
      <c r="I24" s="26" t="str">
        <f aca="false">IF($A24="","",N($G24)*N($H24))</f>
        <v/>
      </c>
      <c r="J24" s="26" t="str">
        <f aca="false">IF($A24="","",N($G24)+$I24)</f>
        <v/>
      </c>
      <c r="K24" s="23"/>
      <c r="L24" s="22"/>
      <c r="M24" s="22"/>
      <c r="N24" s="23"/>
      <c r="O24" s="27" t="str">
        <f aca="true">IF($A24="","",IF(AND(OR($L24="Sent",$L24="Approved"),$K24&lt;&gt;"",$K24&lt;TODAY()),"EXPIRED",""))</f>
        <v/>
      </c>
      <c r="P24" s="24"/>
      <c r="Q24" s="24"/>
    </row>
    <row r="25" customFormat="false" ht="15" hidden="false" customHeight="false" outlineLevel="0" collapsed="false">
      <c r="A25" s="22"/>
      <c r="B25" s="22"/>
      <c r="C25" s="28" t="str">
        <f aca="false">IF($B25="","",IFERROR(INDEX(Proposals!$C$6:$C$205,MATCH($B25,Proposals!$A$6:$A$205,0)),"Proposal not found"))</f>
        <v/>
      </c>
      <c r="D25" s="22"/>
      <c r="E25" s="23"/>
      <c r="F25" s="22"/>
      <c r="G25" s="29"/>
      <c r="H25" s="30"/>
      <c r="I25" s="26" t="str">
        <f aca="false">IF($A25="","",N($G25)*N($H25))</f>
        <v/>
      </c>
      <c r="J25" s="26" t="str">
        <f aca="false">IF($A25="","",N($G25)+$I25)</f>
        <v/>
      </c>
      <c r="K25" s="23"/>
      <c r="L25" s="22"/>
      <c r="M25" s="22"/>
      <c r="N25" s="23"/>
      <c r="O25" s="27" t="str">
        <f aca="true">IF($A25="","",IF(AND(OR($L25="Sent",$L25="Approved"),$K25&lt;&gt;"",$K25&lt;TODAY()),"EXPIRED",""))</f>
        <v/>
      </c>
      <c r="P25" s="24"/>
      <c r="Q25" s="24"/>
    </row>
    <row r="26" customFormat="false" ht="15" hidden="false" customHeight="false" outlineLevel="0" collapsed="false">
      <c r="A26" s="22"/>
      <c r="B26" s="22"/>
      <c r="C26" s="28" t="str">
        <f aca="false">IF($B26="","",IFERROR(INDEX(Proposals!$C$6:$C$205,MATCH($B26,Proposals!$A$6:$A$205,0)),"Proposal not found"))</f>
        <v/>
      </c>
      <c r="D26" s="22"/>
      <c r="E26" s="23"/>
      <c r="F26" s="22"/>
      <c r="G26" s="29"/>
      <c r="H26" s="30"/>
      <c r="I26" s="26" t="str">
        <f aca="false">IF($A26="","",N($G26)*N($H26))</f>
        <v/>
      </c>
      <c r="J26" s="26" t="str">
        <f aca="false">IF($A26="","",N($G26)+$I26)</f>
        <v/>
      </c>
      <c r="K26" s="23"/>
      <c r="L26" s="22"/>
      <c r="M26" s="22"/>
      <c r="N26" s="23"/>
      <c r="O26" s="27" t="str">
        <f aca="true">IF($A26="","",IF(AND(OR($L26="Sent",$L26="Approved"),$K26&lt;&gt;"",$K26&lt;TODAY()),"EXPIRED",""))</f>
        <v/>
      </c>
      <c r="P26" s="24"/>
      <c r="Q26" s="24"/>
    </row>
    <row r="27" customFormat="false" ht="15" hidden="false" customHeight="false" outlineLevel="0" collapsed="false">
      <c r="A27" s="22"/>
      <c r="B27" s="22"/>
      <c r="C27" s="28" t="str">
        <f aca="false">IF($B27="","",IFERROR(INDEX(Proposals!$C$6:$C$205,MATCH($B27,Proposals!$A$6:$A$205,0)),"Proposal not found"))</f>
        <v/>
      </c>
      <c r="D27" s="22"/>
      <c r="E27" s="23"/>
      <c r="F27" s="22"/>
      <c r="G27" s="29"/>
      <c r="H27" s="30"/>
      <c r="I27" s="26" t="str">
        <f aca="false">IF($A27="","",N($G27)*N($H27))</f>
        <v/>
      </c>
      <c r="J27" s="26" t="str">
        <f aca="false">IF($A27="","",N($G27)+$I27)</f>
        <v/>
      </c>
      <c r="K27" s="23"/>
      <c r="L27" s="22"/>
      <c r="M27" s="22"/>
      <c r="N27" s="23"/>
      <c r="O27" s="27" t="str">
        <f aca="true">IF($A27="","",IF(AND(OR($L27="Sent",$L27="Approved"),$K27&lt;&gt;"",$K27&lt;TODAY()),"EXPIRED",""))</f>
        <v/>
      </c>
      <c r="P27" s="24"/>
      <c r="Q27" s="24"/>
    </row>
    <row r="28" customFormat="false" ht="15" hidden="false" customHeight="false" outlineLevel="0" collapsed="false">
      <c r="A28" s="22"/>
      <c r="B28" s="22"/>
      <c r="C28" s="28" t="str">
        <f aca="false">IF($B28="","",IFERROR(INDEX(Proposals!$C$6:$C$205,MATCH($B28,Proposals!$A$6:$A$205,0)),"Proposal not found"))</f>
        <v/>
      </c>
      <c r="D28" s="22"/>
      <c r="E28" s="23"/>
      <c r="F28" s="22"/>
      <c r="G28" s="29"/>
      <c r="H28" s="30"/>
      <c r="I28" s="26" t="str">
        <f aca="false">IF($A28="","",N($G28)*N($H28))</f>
        <v/>
      </c>
      <c r="J28" s="26" t="str">
        <f aca="false">IF($A28="","",N($G28)+$I28)</f>
        <v/>
      </c>
      <c r="K28" s="23"/>
      <c r="L28" s="22"/>
      <c r="M28" s="22"/>
      <c r="N28" s="23"/>
      <c r="O28" s="27" t="str">
        <f aca="true">IF($A28="","",IF(AND(OR($L28="Sent",$L28="Approved"),$K28&lt;&gt;"",$K28&lt;TODAY()),"EXPIRED",""))</f>
        <v/>
      </c>
      <c r="P28" s="24"/>
      <c r="Q28" s="24"/>
    </row>
    <row r="29" customFormat="false" ht="15" hidden="false" customHeight="false" outlineLevel="0" collapsed="false">
      <c r="A29" s="22"/>
      <c r="B29" s="22"/>
      <c r="C29" s="28" t="str">
        <f aca="false">IF($B29="","",IFERROR(INDEX(Proposals!$C$6:$C$205,MATCH($B29,Proposals!$A$6:$A$205,0)),"Proposal not found"))</f>
        <v/>
      </c>
      <c r="D29" s="22"/>
      <c r="E29" s="23"/>
      <c r="F29" s="22"/>
      <c r="G29" s="29"/>
      <c r="H29" s="30"/>
      <c r="I29" s="26" t="str">
        <f aca="false">IF($A29="","",N($G29)*N($H29))</f>
        <v/>
      </c>
      <c r="J29" s="26" t="str">
        <f aca="false">IF($A29="","",N($G29)+$I29)</f>
        <v/>
      </c>
      <c r="K29" s="23"/>
      <c r="L29" s="22"/>
      <c r="M29" s="22"/>
      <c r="N29" s="23"/>
      <c r="O29" s="27" t="str">
        <f aca="true">IF($A29="","",IF(AND(OR($L29="Sent",$L29="Approved"),$K29&lt;&gt;"",$K29&lt;TODAY()),"EXPIRED",""))</f>
        <v/>
      </c>
      <c r="P29" s="24"/>
      <c r="Q29" s="24"/>
    </row>
    <row r="30" customFormat="false" ht="15" hidden="false" customHeight="false" outlineLevel="0" collapsed="false">
      <c r="A30" s="22"/>
      <c r="B30" s="22"/>
      <c r="C30" s="28" t="str">
        <f aca="false">IF($B30="","",IFERROR(INDEX(Proposals!$C$6:$C$205,MATCH($B30,Proposals!$A$6:$A$205,0)),"Proposal not found"))</f>
        <v/>
      </c>
      <c r="D30" s="22"/>
      <c r="E30" s="23"/>
      <c r="F30" s="22"/>
      <c r="G30" s="29"/>
      <c r="H30" s="30"/>
      <c r="I30" s="26" t="str">
        <f aca="false">IF($A30="","",N($G30)*N($H30))</f>
        <v/>
      </c>
      <c r="J30" s="26" t="str">
        <f aca="false">IF($A30="","",N($G30)+$I30)</f>
        <v/>
      </c>
      <c r="K30" s="23"/>
      <c r="L30" s="22"/>
      <c r="M30" s="22"/>
      <c r="N30" s="23"/>
      <c r="O30" s="27" t="str">
        <f aca="true">IF($A30="","",IF(AND(OR($L30="Sent",$L30="Approved"),$K30&lt;&gt;"",$K30&lt;TODAY()),"EXPIRED",""))</f>
        <v/>
      </c>
      <c r="P30" s="24"/>
      <c r="Q30" s="24"/>
    </row>
    <row r="31" customFormat="false" ht="15" hidden="false" customHeight="false" outlineLevel="0" collapsed="false">
      <c r="A31" s="22"/>
      <c r="B31" s="22"/>
      <c r="C31" s="28" t="str">
        <f aca="false">IF($B31="","",IFERROR(INDEX(Proposals!$C$6:$C$205,MATCH($B31,Proposals!$A$6:$A$205,0)),"Proposal not found"))</f>
        <v/>
      </c>
      <c r="D31" s="22"/>
      <c r="E31" s="23"/>
      <c r="F31" s="22"/>
      <c r="G31" s="29"/>
      <c r="H31" s="30"/>
      <c r="I31" s="26" t="str">
        <f aca="false">IF($A31="","",N($G31)*N($H31))</f>
        <v/>
      </c>
      <c r="J31" s="26" t="str">
        <f aca="false">IF($A31="","",N($G31)+$I31)</f>
        <v/>
      </c>
      <c r="K31" s="23"/>
      <c r="L31" s="22"/>
      <c r="M31" s="22"/>
      <c r="N31" s="23"/>
      <c r="O31" s="27" t="str">
        <f aca="true">IF($A31="","",IF(AND(OR($L31="Sent",$L31="Approved"),$K31&lt;&gt;"",$K31&lt;TODAY()),"EXPIRED",""))</f>
        <v/>
      </c>
      <c r="P31" s="24"/>
      <c r="Q31" s="24"/>
    </row>
    <row r="32" customFormat="false" ht="15" hidden="false" customHeight="false" outlineLevel="0" collapsed="false">
      <c r="A32" s="22"/>
      <c r="B32" s="22"/>
      <c r="C32" s="28" t="str">
        <f aca="false">IF($B32="","",IFERROR(INDEX(Proposals!$C$6:$C$205,MATCH($B32,Proposals!$A$6:$A$205,0)),"Proposal not found"))</f>
        <v/>
      </c>
      <c r="D32" s="22"/>
      <c r="E32" s="23"/>
      <c r="F32" s="22"/>
      <c r="G32" s="29"/>
      <c r="H32" s="30"/>
      <c r="I32" s="26" t="str">
        <f aca="false">IF($A32="","",N($G32)*N($H32))</f>
        <v/>
      </c>
      <c r="J32" s="26" t="str">
        <f aca="false">IF($A32="","",N($G32)+$I32)</f>
        <v/>
      </c>
      <c r="K32" s="23"/>
      <c r="L32" s="22"/>
      <c r="M32" s="22"/>
      <c r="N32" s="23"/>
      <c r="O32" s="27" t="str">
        <f aca="true">IF($A32="","",IF(AND(OR($L32="Sent",$L32="Approved"),$K32&lt;&gt;"",$K32&lt;TODAY()),"EXPIRED",""))</f>
        <v/>
      </c>
      <c r="P32" s="24"/>
      <c r="Q32" s="24"/>
    </row>
    <row r="33" customFormat="false" ht="15" hidden="false" customHeight="false" outlineLevel="0" collapsed="false">
      <c r="A33" s="22"/>
      <c r="B33" s="22"/>
      <c r="C33" s="28" t="str">
        <f aca="false">IF($B33="","",IFERROR(INDEX(Proposals!$C$6:$C$205,MATCH($B33,Proposals!$A$6:$A$205,0)),"Proposal not found"))</f>
        <v/>
      </c>
      <c r="D33" s="22"/>
      <c r="E33" s="23"/>
      <c r="F33" s="22"/>
      <c r="G33" s="29"/>
      <c r="H33" s="30"/>
      <c r="I33" s="26" t="str">
        <f aca="false">IF($A33="","",N($G33)*N($H33))</f>
        <v/>
      </c>
      <c r="J33" s="26" t="str">
        <f aca="false">IF($A33="","",N($G33)+$I33)</f>
        <v/>
      </c>
      <c r="K33" s="23"/>
      <c r="L33" s="22"/>
      <c r="M33" s="22"/>
      <c r="N33" s="23"/>
      <c r="O33" s="27" t="str">
        <f aca="true">IF($A33="","",IF(AND(OR($L33="Sent",$L33="Approved"),$K33&lt;&gt;"",$K33&lt;TODAY()),"EXPIRED",""))</f>
        <v/>
      </c>
      <c r="P33" s="24"/>
      <c r="Q33" s="24"/>
    </row>
    <row r="34" customFormat="false" ht="15" hidden="false" customHeight="false" outlineLevel="0" collapsed="false">
      <c r="A34" s="22"/>
      <c r="B34" s="22"/>
      <c r="C34" s="28" t="str">
        <f aca="false">IF($B34="","",IFERROR(INDEX(Proposals!$C$6:$C$205,MATCH($B34,Proposals!$A$6:$A$205,0)),"Proposal not found"))</f>
        <v/>
      </c>
      <c r="D34" s="22"/>
      <c r="E34" s="23"/>
      <c r="F34" s="22"/>
      <c r="G34" s="29"/>
      <c r="H34" s="30"/>
      <c r="I34" s="26" t="str">
        <f aca="false">IF($A34="","",N($G34)*N($H34))</f>
        <v/>
      </c>
      <c r="J34" s="26" t="str">
        <f aca="false">IF($A34="","",N($G34)+$I34)</f>
        <v/>
      </c>
      <c r="K34" s="23"/>
      <c r="L34" s="22"/>
      <c r="M34" s="22"/>
      <c r="N34" s="23"/>
      <c r="O34" s="27" t="str">
        <f aca="true">IF($A34="","",IF(AND(OR($L34="Sent",$L34="Approved"),$K34&lt;&gt;"",$K34&lt;TODAY()),"EXPIRED",""))</f>
        <v/>
      </c>
      <c r="P34" s="24"/>
      <c r="Q34" s="24"/>
    </row>
    <row r="35" customFormat="false" ht="15" hidden="false" customHeight="false" outlineLevel="0" collapsed="false">
      <c r="A35" s="22"/>
      <c r="B35" s="22"/>
      <c r="C35" s="28" t="str">
        <f aca="false">IF($B35="","",IFERROR(INDEX(Proposals!$C$6:$C$205,MATCH($B35,Proposals!$A$6:$A$205,0)),"Proposal not found"))</f>
        <v/>
      </c>
      <c r="D35" s="22"/>
      <c r="E35" s="23"/>
      <c r="F35" s="22"/>
      <c r="G35" s="29"/>
      <c r="H35" s="30"/>
      <c r="I35" s="26" t="str">
        <f aca="false">IF($A35="","",N($G35)*N($H35))</f>
        <v/>
      </c>
      <c r="J35" s="26" t="str">
        <f aca="false">IF($A35="","",N($G35)+$I35)</f>
        <v/>
      </c>
      <c r="K35" s="23"/>
      <c r="L35" s="22"/>
      <c r="M35" s="22"/>
      <c r="N35" s="23"/>
      <c r="O35" s="27" t="str">
        <f aca="true">IF($A35="","",IF(AND(OR($L35="Sent",$L35="Approved"),$K35&lt;&gt;"",$K35&lt;TODAY()),"EXPIRED",""))</f>
        <v/>
      </c>
      <c r="P35" s="24"/>
      <c r="Q35" s="24"/>
    </row>
    <row r="36" customFormat="false" ht="15" hidden="false" customHeight="false" outlineLevel="0" collapsed="false">
      <c r="A36" s="22"/>
      <c r="B36" s="22"/>
      <c r="C36" s="28" t="str">
        <f aca="false">IF($B36="","",IFERROR(INDEX(Proposals!$C$6:$C$205,MATCH($B36,Proposals!$A$6:$A$205,0)),"Proposal not found"))</f>
        <v/>
      </c>
      <c r="D36" s="22"/>
      <c r="E36" s="23"/>
      <c r="F36" s="22"/>
      <c r="G36" s="29"/>
      <c r="H36" s="30"/>
      <c r="I36" s="26" t="str">
        <f aca="false">IF($A36="","",N($G36)*N($H36))</f>
        <v/>
      </c>
      <c r="J36" s="26" t="str">
        <f aca="false">IF($A36="","",N($G36)+$I36)</f>
        <v/>
      </c>
      <c r="K36" s="23"/>
      <c r="L36" s="22"/>
      <c r="M36" s="22"/>
      <c r="N36" s="23"/>
      <c r="O36" s="27" t="str">
        <f aca="true">IF($A36="","",IF(AND(OR($L36="Sent",$L36="Approved"),$K36&lt;&gt;"",$K36&lt;TODAY()),"EXPIRED",""))</f>
        <v/>
      </c>
      <c r="P36" s="24"/>
      <c r="Q36" s="24"/>
    </row>
    <row r="37" customFormat="false" ht="15" hidden="false" customHeight="false" outlineLevel="0" collapsed="false">
      <c r="A37" s="22"/>
      <c r="B37" s="22"/>
      <c r="C37" s="28" t="str">
        <f aca="false">IF($B37="","",IFERROR(INDEX(Proposals!$C$6:$C$205,MATCH($B37,Proposals!$A$6:$A$205,0)),"Proposal not found"))</f>
        <v/>
      </c>
      <c r="D37" s="22"/>
      <c r="E37" s="23"/>
      <c r="F37" s="22"/>
      <c r="G37" s="29"/>
      <c r="H37" s="30"/>
      <c r="I37" s="26" t="str">
        <f aca="false">IF($A37="","",N($G37)*N($H37))</f>
        <v/>
      </c>
      <c r="J37" s="26" t="str">
        <f aca="false">IF($A37="","",N($G37)+$I37)</f>
        <v/>
      </c>
      <c r="K37" s="23"/>
      <c r="L37" s="22"/>
      <c r="M37" s="22"/>
      <c r="N37" s="23"/>
      <c r="O37" s="27" t="str">
        <f aca="true">IF($A37="","",IF(AND(OR($L37="Sent",$L37="Approved"),$K37&lt;&gt;"",$K37&lt;TODAY()),"EXPIRED",""))</f>
        <v/>
      </c>
      <c r="P37" s="24"/>
      <c r="Q37" s="24"/>
    </row>
    <row r="38" customFormat="false" ht="15" hidden="false" customHeight="false" outlineLevel="0" collapsed="false">
      <c r="A38" s="22"/>
      <c r="B38" s="22"/>
      <c r="C38" s="28" t="str">
        <f aca="false">IF($B38="","",IFERROR(INDEX(Proposals!$C$6:$C$205,MATCH($B38,Proposals!$A$6:$A$205,0)),"Proposal not found"))</f>
        <v/>
      </c>
      <c r="D38" s="22"/>
      <c r="E38" s="23"/>
      <c r="F38" s="22"/>
      <c r="G38" s="29"/>
      <c r="H38" s="30"/>
      <c r="I38" s="26" t="str">
        <f aca="false">IF($A38="","",N($G38)*N($H38))</f>
        <v/>
      </c>
      <c r="J38" s="26" t="str">
        <f aca="false">IF($A38="","",N($G38)+$I38)</f>
        <v/>
      </c>
      <c r="K38" s="23"/>
      <c r="L38" s="22"/>
      <c r="M38" s="22"/>
      <c r="N38" s="23"/>
      <c r="O38" s="27" t="str">
        <f aca="true">IF($A38="","",IF(AND(OR($L38="Sent",$L38="Approved"),$K38&lt;&gt;"",$K38&lt;TODAY()),"EXPIRED",""))</f>
        <v/>
      </c>
      <c r="P38" s="24"/>
      <c r="Q38" s="24"/>
    </row>
    <row r="39" customFormat="false" ht="15" hidden="false" customHeight="false" outlineLevel="0" collapsed="false">
      <c r="A39" s="22"/>
      <c r="B39" s="22"/>
      <c r="C39" s="28" t="str">
        <f aca="false">IF($B39="","",IFERROR(INDEX(Proposals!$C$6:$C$205,MATCH($B39,Proposals!$A$6:$A$205,0)),"Proposal not found"))</f>
        <v/>
      </c>
      <c r="D39" s="22"/>
      <c r="E39" s="23"/>
      <c r="F39" s="22"/>
      <c r="G39" s="29"/>
      <c r="H39" s="30"/>
      <c r="I39" s="26" t="str">
        <f aca="false">IF($A39="","",N($G39)*N($H39))</f>
        <v/>
      </c>
      <c r="J39" s="26" t="str">
        <f aca="false">IF($A39="","",N($G39)+$I39)</f>
        <v/>
      </c>
      <c r="K39" s="23"/>
      <c r="L39" s="22"/>
      <c r="M39" s="22"/>
      <c r="N39" s="23"/>
      <c r="O39" s="27" t="str">
        <f aca="true">IF($A39="","",IF(AND(OR($L39="Sent",$L39="Approved"),$K39&lt;&gt;"",$K39&lt;TODAY()),"EXPIRED",""))</f>
        <v/>
      </c>
      <c r="P39" s="24"/>
      <c r="Q39" s="24"/>
    </row>
    <row r="40" customFormat="false" ht="15" hidden="false" customHeight="false" outlineLevel="0" collapsed="false">
      <c r="A40" s="22"/>
      <c r="B40" s="22"/>
      <c r="C40" s="28" t="str">
        <f aca="false">IF($B40="","",IFERROR(INDEX(Proposals!$C$6:$C$205,MATCH($B40,Proposals!$A$6:$A$205,0)),"Proposal not found"))</f>
        <v/>
      </c>
      <c r="D40" s="22"/>
      <c r="E40" s="23"/>
      <c r="F40" s="22"/>
      <c r="G40" s="29"/>
      <c r="H40" s="30"/>
      <c r="I40" s="26" t="str">
        <f aca="false">IF($A40="","",N($G40)*N($H40))</f>
        <v/>
      </c>
      <c r="J40" s="26" t="str">
        <f aca="false">IF($A40="","",N($G40)+$I40)</f>
        <v/>
      </c>
      <c r="K40" s="23"/>
      <c r="L40" s="22"/>
      <c r="M40" s="22"/>
      <c r="N40" s="23"/>
      <c r="O40" s="27" t="str">
        <f aca="true">IF($A40="","",IF(AND(OR($L40="Sent",$L40="Approved"),$K40&lt;&gt;"",$K40&lt;TODAY()),"EXPIRED",""))</f>
        <v/>
      </c>
      <c r="P40" s="24"/>
      <c r="Q40" s="24"/>
    </row>
    <row r="41" customFormat="false" ht="15" hidden="false" customHeight="false" outlineLevel="0" collapsed="false">
      <c r="A41" s="22"/>
      <c r="B41" s="22"/>
      <c r="C41" s="28" t="str">
        <f aca="false">IF($B41="","",IFERROR(INDEX(Proposals!$C$6:$C$205,MATCH($B41,Proposals!$A$6:$A$205,0)),"Proposal not found"))</f>
        <v/>
      </c>
      <c r="D41" s="22"/>
      <c r="E41" s="23"/>
      <c r="F41" s="22"/>
      <c r="G41" s="29"/>
      <c r="H41" s="30"/>
      <c r="I41" s="26" t="str">
        <f aca="false">IF($A41="","",N($G41)*N($H41))</f>
        <v/>
      </c>
      <c r="J41" s="26" t="str">
        <f aca="false">IF($A41="","",N($G41)+$I41)</f>
        <v/>
      </c>
      <c r="K41" s="23"/>
      <c r="L41" s="22"/>
      <c r="M41" s="22"/>
      <c r="N41" s="23"/>
      <c r="O41" s="27" t="str">
        <f aca="true">IF($A41="","",IF(AND(OR($L41="Sent",$L41="Approved"),$K41&lt;&gt;"",$K41&lt;TODAY()),"EXPIRED",""))</f>
        <v/>
      </c>
      <c r="P41" s="24"/>
      <c r="Q41" s="24"/>
    </row>
    <row r="42" customFormat="false" ht="15" hidden="false" customHeight="false" outlineLevel="0" collapsed="false">
      <c r="A42" s="22"/>
      <c r="B42" s="22"/>
      <c r="C42" s="28" t="str">
        <f aca="false">IF($B42="","",IFERROR(INDEX(Proposals!$C$6:$C$205,MATCH($B42,Proposals!$A$6:$A$205,0)),"Proposal not found"))</f>
        <v/>
      </c>
      <c r="D42" s="22"/>
      <c r="E42" s="23"/>
      <c r="F42" s="22"/>
      <c r="G42" s="29"/>
      <c r="H42" s="30"/>
      <c r="I42" s="26" t="str">
        <f aca="false">IF($A42="","",N($G42)*N($H42))</f>
        <v/>
      </c>
      <c r="J42" s="26" t="str">
        <f aca="false">IF($A42="","",N($G42)+$I42)</f>
        <v/>
      </c>
      <c r="K42" s="23"/>
      <c r="L42" s="22"/>
      <c r="M42" s="22"/>
      <c r="N42" s="23"/>
      <c r="O42" s="27" t="str">
        <f aca="true">IF($A42="","",IF(AND(OR($L42="Sent",$L42="Approved"),$K42&lt;&gt;"",$K42&lt;TODAY()),"EXPIRED",""))</f>
        <v/>
      </c>
      <c r="P42" s="24"/>
      <c r="Q42" s="24"/>
    </row>
    <row r="43" customFormat="false" ht="15" hidden="false" customHeight="false" outlineLevel="0" collapsed="false">
      <c r="A43" s="22"/>
      <c r="B43" s="22"/>
      <c r="C43" s="28" t="str">
        <f aca="false">IF($B43="","",IFERROR(INDEX(Proposals!$C$6:$C$205,MATCH($B43,Proposals!$A$6:$A$205,0)),"Proposal not found"))</f>
        <v/>
      </c>
      <c r="D43" s="22"/>
      <c r="E43" s="23"/>
      <c r="F43" s="22"/>
      <c r="G43" s="29"/>
      <c r="H43" s="30"/>
      <c r="I43" s="26" t="str">
        <f aca="false">IF($A43="","",N($G43)*N($H43))</f>
        <v/>
      </c>
      <c r="J43" s="26" t="str">
        <f aca="false">IF($A43="","",N($G43)+$I43)</f>
        <v/>
      </c>
      <c r="K43" s="23"/>
      <c r="L43" s="22"/>
      <c r="M43" s="22"/>
      <c r="N43" s="23"/>
      <c r="O43" s="27" t="str">
        <f aca="true">IF($A43="","",IF(AND(OR($L43="Sent",$L43="Approved"),$K43&lt;&gt;"",$K43&lt;TODAY()),"EXPIRED",""))</f>
        <v/>
      </c>
      <c r="P43" s="24"/>
      <c r="Q43" s="24"/>
    </row>
    <row r="44" customFormat="false" ht="15" hidden="false" customHeight="false" outlineLevel="0" collapsed="false">
      <c r="A44" s="22"/>
      <c r="B44" s="22"/>
      <c r="C44" s="28" t="str">
        <f aca="false">IF($B44="","",IFERROR(INDEX(Proposals!$C$6:$C$205,MATCH($B44,Proposals!$A$6:$A$205,0)),"Proposal not found"))</f>
        <v/>
      </c>
      <c r="D44" s="22"/>
      <c r="E44" s="23"/>
      <c r="F44" s="22"/>
      <c r="G44" s="29"/>
      <c r="H44" s="30"/>
      <c r="I44" s="26" t="str">
        <f aca="false">IF($A44="","",N($G44)*N($H44))</f>
        <v/>
      </c>
      <c r="J44" s="26" t="str">
        <f aca="false">IF($A44="","",N($G44)+$I44)</f>
        <v/>
      </c>
      <c r="K44" s="23"/>
      <c r="L44" s="22"/>
      <c r="M44" s="22"/>
      <c r="N44" s="23"/>
      <c r="O44" s="27" t="str">
        <f aca="true">IF($A44="","",IF(AND(OR($L44="Sent",$L44="Approved"),$K44&lt;&gt;"",$K44&lt;TODAY()),"EXPIRED",""))</f>
        <v/>
      </c>
      <c r="P44" s="24"/>
      <c r="Q44" s="24"/>
    </row>
    <row r="45" customFormat="false" ht="15" hidden="false" customHeight="false" outlineLevel="0" collapsed="false">
      <c r="A45" s="22"/>
      <c r="B45" s="22"/>
      <c r="C45" s="28" t="str">
        <f aca="false">IF($B45="","",IFERROR(INDEX(Proposals!$C$6:$C$205,MATCH($B45,Proposals!$A$6:$A$205,0)),"Proposal not found"))</f>
        <v/>
      </c>
      <c r="D45" s="22"/>
      <c r="E45" s="23"/>
      <c r="F45" s="22"/>
      <c r="G45" s="29"/>
      <c r="H45" s="30"/>
      <c r="I45" s="26" t="str">
        <f aca="false">IF($A45="","",N($G45)*N($H45))</f>
        <v/>
      </c>
      <c r="J45" s="26" t="str">
        <f aca="false">IF($A45="","",N($G45)+$I45)</f>
        <v/>
      </c>
      <c r="K45" s="23"/>
      <c r="L45" s="22"/>
      <c r="M45" s="22"/>
      <c r="N45" s="23"/>
      <c r="O45" s="27" t="str">
        <f aca="true">IF($A45="","",IF(AND(OR($L45="Sent",$L45="Approved"),$K45&lt;&gt;"",$K45&lt;TODAY()),"EXPIRED",""))</f>
        <v/>
      </c>
      <c r="P45" s="24"/>
      <c r="Q45" s="24"/>
    </row>
    <row r="46" customFormat="false" ht="15" hidden="false" customHeight="false" outlineLevel="0" collapsed="false">
      <c r="A46" s="22"/>
      <c r="B46" s="22"/>
      <c r="C46" s="28" t="str">
        <f aca="false">IF($B46="","",IFERROR(INDEX(Proposals!$C$6:$C$205,MATCH($B46,Proposals!$A$6:$A$205,0)),"Proposal not found"))</f>
        <v/>
      </c>
      <c r="D46" s="22"/>
      <c r="E46" s="23"/>
      <c r="F46" s="22"/>
      <c r="G46" s="29"/>
      <c r="H46" s="30"/>
      <c r="I46" s="26" t="str">
        <f aca="false">IF($A46="","",N($G46)*N($H46))</f>
        <v/>
      </c>
      <c r="J46" s="26" t="str">
        <f aca="false">IF($A46="","",N($G46)+$I46)</f>
        <v/>
      </c>
      <c r="K46" s="23"/>
      <c r="L46" s="22"/>
      <c r="M46" s="22"/>
      <c r="N46" s="23"/>
      <c r="O46" s="27" t="str">
        <f aca="true">IF($A46="","",IF(AND(OR($L46="Sent",$L46="Approved"),$K46&lt;&gt;"",$K46&lt;TODAY()),"EXPIRED",""))</f>
        <v/>
      </c>
      <c r="P46" s="24"/>
      <c r="Q46" s="24"/>
    </row>
    <row r="47" customFormat="false" ht="15" hidden="false" customHeight="false" outlineLevel="0" collapsed="false">
      <c r="A47" s="22"/>
      <c r="B47" s="22"/>
      <c r="C47" s="28" t="str">
        <f aca="false">IF($B47="","",IFERROR(INDEX(Proposals!$C$6:$C$205,MATCH($B47,Proposals!$A$6:$A$205,0)),"Proposal not found"))</f>
        <v/>
      </c>
      <c r="D47" s="22"/>
      <c r="E47" s="23"/>
      <c r="F47" s="22"/>
      <c r="G47" s="29"/>
      <c r="H47" s="30"/>
      <c r="I47" s="26" t="str">
        <f aca="false">IF($A47="","",N($G47)*N($H47))</f>
        <v/>
      </c>
      <c r="J47" s="26" t="str">
        <f aca="false">IF($A47="","",N($G47)+$I47)</f>
        <v/>
      </c>
      <c r="K47" s="23"/>
      <c r="L47" s="22"/>
      <c r="M47" s="22"/>
      <c r="N47" s="23"/>
      <c r="O47" s="27" t="str">
        <f aca="true">IF($A47="","",IF(AND(OR($L47="Sent",$L47="Approved"),$K47&lt;&gt;"",$K47&lt;TODAY()),"EXPIRED",""))</f>
        <v/>
      </c>
      <c r="P47" s="24"/>
      <c r="Q47" s="24"/>
    </row>
    <row r="48" customFormat="false" ht="15" hidden="false" customHeight="false" outlineLevel="0" collapsed="false">
      <c r="A48" s="22"/>
      <c r="B48" s="22"/>
      <c r="C48" s="28" t="str">
        <f aca="false">IF($B48="","",IFERROR(INDEX(Proposals!$C$6:$C$205,MATCH($B48,Proposals!$A$6:$A$205,0)),"Proposal not found"))</f>
        <v/>
      </c>
      <c r="D48" s="22"/>
      <c r="E48" s="23"/>
      <c r="F48" s="22"/>
      <c r="G48" s="29"/>
      <c r="H48" s="30"/>
      <c r="I48" s="26" t="str">
        <f aca="false">IF($A48="","",N($G48)*N($H48))</f>
        <v/>
      </c>
      <c r="J48" s="26" t="str">
        <f aca="false">IF($A48="","",N($G48)+$I48)</f>
        <v/>
      </c>
      <c r="K48" s="23"/>
      <c r="L48" s="22"/>
      <c r="M48" s="22"/>
      <c r="N48" s="23"/>
      <c r="O48" s="27" t="str">
        <f aca="true">IF($A48="","",IF(AND(OR($L48="Sent",$L48="Approved"),$K48&lt;&gt;"",$K48&lt;TODAY()),"EXPIRED",""))</f>
        <v/>
      </c>
      <c r="P48" s="24"/>
      <c r="Q48" s="24"/>
    </row>
    <row r="49" customFormat="false" ht="15" hidden="false" customHeight="false" outlineLevel="0" collapsed="false">
      <c r="A49" s="22"/>
      <c r="B49" s="22"/>
      <c r="C49" s="28" t="str">
        <f aca="false">IF($B49="","",IFERROR(INDEX(Proposals!$C$6:$C$205,MATCH($B49,Proposals!$A$6:$A$205,0)),"Proposal not found"))</f>
        <v/>
      </c>
      <c r="D49" s="22"/>
      <c r="E49" s="23"/>
      <c r="F49" s="22"/>
      <c r="G49" s="29"/>
      <c r="H49" s="30"/>
      <c r="I49" s="26" t="str">
        <f aca="false">IF($A49="","",N($G49)*N($H49))</f>
        <v/>
      </c>
      <c r="J49" s="26" t="str">
        <f aca="false">IF($A49="","",N($G49)+$I49)</f>
        <v/>
      </c>
      <c r="K49" s="23"/>
      <c r="L49" s="22"/>
      <c r="M49" s="22"/>
      <c r="N49" s="23"/>
      <c r="O49" s="27" t="str">
        <f aca="true">IF($A49="","",IF(AND(OR($L49="Sent",$L49="Approved"),$K49&lt;&gt;"",$K49&lt;TODAY()),"EXPIRED",""))</f>
        <v/>
      </c>
      <c r="P49" s="24"/>
      <c r="Q49" s="24"/>
    </row>
    <row r="50" customFormat="false" ht="15" hidden="false" customHeight="false" outlineLevel="0" collapsed="false">
      <c r="A50" s="22"/>
      <c r="B50" s="22"/>
      <c r="C50" s="28" t="str">
        <f aca="false">IF($B50="","",IFERROR(INDEX(Proposals!$C$6:$C$205,MATCH($B50,Proposals!$A$6:$A$205,0)),"Proposal not found"))</f>
        <v/>
      </c>
      <c r="D50" s="22"/>
      <c r="E50" s="23"/>
      <c r="F50" s="22"/>
      <c r="G50" s="29"/>
      <c r="H50" s="30"/>
      <c r="I50" s="26" t="str">
        <f aca="false">IF($A50="","",N($G50)*N($H50))</f>
        <v/>
      </c>
      <c r="J50" s="26" t="str">
        <f aca="false">IF($A50="","",N($G50)+$I50)</f>
        <v/>
      </c>
      <c r="K50" s="23"/>
      <c r="L50" s="22"/>
      <c r="M50" s="22"/>
      <c r="N50" s="23"/>
      <c r="O50" s="27" t="str">
        <f aca="true">IF($A50="","",IF(AND(OR($L50="Sent",$L50="Approved"),$K50&lt;&gt;"",$K50&lt;TODAY()),"EXPIRED",""))</f>
        <v/>
      </c>
      <c r="P50" s="24"/>
      <c r="Q50" s="24"/>
    </row>
    <row r="51" customFormat="false" ht="15" hidden="false" customHeight="false" outlineLevel="0" collapsed="false">
      <c r="A51" s="22"/>
      <c r="B51" s="22"/>
      <c r="C51" s="28" t="str">
        <f aca="false">IF($B51="","",IFERROR(INDEX(Proposals!$C$6:$C$205,MATCH($B51,Proposals!$A$6:$A$205,0)),"Proposal not found"))</f>
        <v/>
      </c>
      <c r="D51" s="22"/>
      <c r="E51" s="23"/>
      <c r="F51" s="22"/>
      <c r="G51" s="29"/>
      <c r="H51" s="30"/>
      <c r="I51" s="26" t="str">
        <f aca="false">IF($A51="","",N($G51)*N($H51))</f>
        <v/>
      </c>
      <c r="J51" s="26" t="str">
        <f aca="false">IF($A51="","",N($G51)+$I51)</f>
        <v/>
      </c>
      <c r="K51" s="23"/>
      <c r="L51" s="22"/>
      <c r="M51" s="22"/>
      <c r="N51" s="23"/>
      <c r="O51" s="27" t="str">
        <f aca="true">IF($A51="","",IF(AND(OR($L51="Sent",$L51="Approved"),$K51&lt;&gt;"",$K51&lt;TODAY()),"EXPIRED",""))</f>
        <v/>
      </c>
      <c r="P51" s="24"/>
      <c r="Q51" s="24"/>
    </row>
    <row r="52" customFormat="false" ht="15" hidden="false" customHeight="false" outlineLevel="0" collapsed="false">
      <c r="A52" s="22"/>
      <c r="B52" s="22"/>
      <c r="C52" s="28" t="str">
        <f aca="false">IF($B52="","",IFERROR(INDEX(Proposals!$C$6:$C$205,MATCH($B52,Proposals!$A$6:$A$205,0)),"Proposal not found"))</f>
        <v/>
      </c>
      <c r="D52" s="22"/>
      <c r="E52" s="23"/>
      <c r="F52" s="22"/>
      <c r="G52" s="29"/>
      <c r="H52" s="30"/>
      <c r="I52" s="26" t="str">
        <f aca="false">IF($A52="","",N($G52)*N($H52))</f>
        <v/>
      </c>
      <c r="J52" s="26" t="str">
        <f aca="false">IF($A52="","",N($G52)+$I52)</f>
        <v/>
      </c>
      <c r="K52" s="23"/>
      <c r="L52" s="22"/>
      <c r="M52" s="22"/>
      <c r="N52" s="23"/>
      <c r="O52" s="27" t="str">
        <f aca="true">IF($A52="","",IF(AND(OR($L52="Sent",$L52="Approved"),$K52&lt;&gt;"",$K52&lt;TODAY()),"EXPIRED",""))</f>
        <v/>
      </c>
      <c r="P52" s="24"/>
      <c r="Q52" s="24"/>
    </row>
    <row r="53" customFormat="false" ht="15" hidden="false" customHeight="false" outlineLevel="0" collapsed="false">
      <c r="A53" s="22"/>
      <c r="B53" s="22"/>
      <c r="C53" s="28" t="str">
        <f aca="false">IF($B53="","",IFERROR(INDEX(Proposals!$C$6:$C$205,MATCH($B53,Proposals!$A$6:$A$205,0)),"Proposal not found"))</f>
        <v/>
      </c>
      <c r="D53" s="22"/>
      <c r="E53" s="23"/>
      <c r="F53" s="22"/>
      <c r="G53" s="29"/>
      <c r="H53" s="30"/>
      <c r="I53" s="26" t="str">
        <f aca="false">IF($A53="","",N($G53)*N($H53))</f>
        <v/>
      </c>
      <c r="J53" s="26" t="str">
        <f aca="false">IF($A53="","",N($G53)+$I53)</f>
        <v/>
      </c>
      <c r="K53" s="23"/>
      <c r="L53" s="22"/>
      <c r="M53" s="22"/>
      <c r="N53" s="23"/>
      <c r="O53" s="27" t="str">
        <f aca="true">IF($A53="","",IF(AND(OR($L53="Sent",$L53="Approved"),$K53&lt;&gt;"",$K53&lt;TODAY()),"EXPIRED",""))</f>
        <v/>
      </c>
      <c r="P53" s="24"/>
      <c r="Q53" s="24"/>
    </row>
    <row r="54" customFormat="false" ht="15" hidden="false" customHeight="false" outlineLevel="0" collapsed="false">
      <c r="A54" s="22"/>
      <c r="B54" s="22"/>
      <c r="C54" s="28" t="str">
        <f aca="false">IF($B54="","",IFERROR(INDEX(Proposals!$C$6:$C$205,MATCH($B54,Proposals!$A$6:$A$205,0)),"Proposal not found"))</f>
        <v/>
      </c>
      <c r="D54" s="22"/>
      <c r="E54" s="23"/>
      <c r="F54" s="22"/>
      <c r="G54" s="29"/>
      <c r="H54" s="30"/>
      <c r="I54" s="26" t="str">
        <f aca="false">IF($A54="","",N($G54)*N($H54))</f>
        <v/>
      </c>
      <c r="J54" s="26" t="str">
        <f aca="false">IF($A54="","",N($G54)+$I54)</f>
        <v/>
      </c>
      <c r="K54" s="23"/>
      <c r="L54" s="22"/>
      <c r="M54" s="22"/>
      <c r="N54" s="23"/>
      <c r="O54" s="27" t="str">
        <f aca="true">IF($A54="","",IF(AND(OR($L54="Sent",$L54="Approved"),$K54&lt;&gt;"",$K54&lt;TODAY()),"EXPIRED",""))</f>
        <v/>
      </c>
      <c r="P54" s="24"/>
      <c r="Q54" s="24"/>
    </row>
    <row r="55" customFormat="false" ht="15" hidden="false" customHeight="false" outlineLevel="0" collapsed="false">
      <c r="A55" s="22"/>
      <c r="B55" s="22"/>
      <c r="C55" s="28" t="str">
        <f aca="false">IF($B55="","",IFERROR(INDEX(Proposals!$C$6:$C$205,MATCH($B55,Proposals!$A$6:$A$205,0)),"Proposal not found"))</f>
        <v/>
      </c>
      <c r="D55" s="22"/>
      <c r="E55" s="23"/>
      <c r="F55" s="22"/>
      <c r="G55" s="29"/>
      <c r="H55" s="30"/>
      <c r="I55" s="26" t="str">
        <f aca="false">IF($A55="","",N($G55)*N($H55))</f>
        <v/>
      </c>
      <c r="J55" s="26" t="str">
        <f aca="false">IF($A55="","",N($G55)+$I55)</f>
        <v/>
      </c>
      <c r="K55" s="23"/>
      <c r="L55" s="22"/>
      <c r="M55" s="22"/>
      <c r="N55" s="23"/>
      <c r="O55" s="27" t="str">
        <f aca="true">IF($A55="","",IF(AND(OR($L55="Sent",$L55="Approved"),$K55&lt;&gt;"",$K55&lt;TODAY()),"EXPIRED",""))</f>
        <v/>
      </c>
      <c r="P55" s="24"/>
      <c r="Q55" s="24"/>
    </row>
    <row r="56" customFormat="false" ht="15" hidden="false" customHeight="false" outlineLevel="0" collapsed="false">
      <c r="A56" s="22"/>
      <c r="B56" s="22"/>
      <c r="C56" s="28" t="str">
        <f aca="false">IF($B56="","",IFERROR(INDEX(Proposals!$C$6:$C$205,MATCH($B56,Proposals!$A$6:$A$205,0)),"Proposal not found"))</f>
        <v/>
      </c>
      <c r="D56" s="22"/>
      <c r="E56" s="23"/>
      <c r="F56" s="22"/>
      <c r="G56" s="29"/>
      <c r="H56" s="30"/>
      <c r="I56" s="26" t="str">
        <f aca="false">IF($A56="","",N($G56)*N($H56))</f>
        <v/>
      </c>
      <c r="J56" s="26" t="str">
        <f aca="false">IF($A56="","",N($G56)+$I56)</f>
        <v/>
      </c>
      <c r="K56" s="23"/>
      <c r="L56" s="22"/>
      <c r="M56" s="22"/>
      <c r="N56" s="23"/>
      <c r="O56" s="27" t="str">
        <f aca="true">IF($A56="","",IF(AND(OR($L56="Sent",$L56="Approved"),$K56&lt;&gt;"",$K56&lt;TODAY()),"EXPIRED",""))</f>
        <v/>
      </c>
      <c r="P56" s="24"/>
      <c r="Q56" s="24"/>
    </row>
    <row r="57" customFormat="false" ht="15" hidden="false" customHeight="false" outlineLevel="0" collapsed="false">
      <c r="A57" s="22"/>
      <c r="B57" s="22"/>
      <c r="C57" s="28" t="str">
        <f aca="false">IF($B57="","",IFERROR(INDEX(Proposals!$C$6:$C$205,MATCH($B57,Proposals!$A$6:$A$205,0)),"Proposal not found"))</f>
        <v/>
      </c>
      <c r="D57" s="22"/>
      <c r="E57" s="23"/>
      <c r="F57" s="22"/>
      <c r="G57" s="29"/>
      <c r="H57" s="30"/>
      <c r="I57" s="26" t="str">
        <f aca="false">IF($A57="","",N($G57)*N($H57))</f>
        <v/>
      </c>
      <c r="J57" s="26" t="str">
        <f aca="false">IF($A57="","",N($G57)+$I57)</f>
        <v/>
      </c>
      <c r="K57" s="23"/>
      <c r="L57" s="22"/>
      <c r="M57" s="22"/>
      <c r="N57" s="23"/>
      <c r="O57" s="27" t="str">
        <f aca="true">IF($A57="","",IF(AND(OR($L57="Sent",$L57="Approved"),$K57&lt;&gt;"",$K57&lt;TODAY()),"EXPIRED",""))</f>
        <v/>
      </c>
      <c r="P57" s="24"/>
      <c r="Q57" s="24"/>
    </row>
    <row r="58" customFormat="false" ht="15" hidden="false" customHeight="false" outlineLevel="0" collapsed="false">
      <c r="A58" s="22"/>
      <c r="B58" s="22"/>
      <c r="C58" s="28" t="str">
        <f aca="false">IF($B58="","",IFERROR(INDEX(Proposals!$C$6:$C$205,MATCH($B58,Proposals!$A$6:$A$205,0)),"Proposal not found"))</f>
        <v/>
      </c>
      <c r="D58" s="22"/>
      <c r="E58" s="23"/>
      <c r="F58" s="22"/>
      <c r="G58" s="29"/>
      <c r="H58" s="30"/>
      <c r="I58" s="26" t="str">
        <f aca="false">IF($A58="","",N($G58)*N($H58))</f>
        <v/>
      </c>
      <c r="J58" s="26" t="str">
        <f aca="false">IF($A58="","",N($G58)+$I58)</f>
        <v/>
      </c>
      <c r="K58" s="23"/>
      <c r="L58" s="22"/>
      <c r="M58" s="22"/>
      <c r="N58" s="23"/>
      <c r="O58" s="27" t="str">
        <f aca="true">IF($A58="","",IF(AND(OR($L58="Sent",$L58="Approved"),$K58&lt;&gt;"",$K58&lt;TODAY()),"EXPIRED",""))</f>
        <v/>
      </c>
      <c r="P58" s="24"/>
      <c r="Q58" s="24"/>
    </row>
    <row r="59" customFormat="false" ht="15" hidden="false" customHeight="false" outlineLevel="0" collapsed="false">
      <c r="A59" s="22"/>
      <c r="B59" s="22"/>
      <c r="C59" s="28" t="str">
        <f aca="false">IF($B59="","",IFERROR(INDEX(Proposals!$C$6:$C$205,MATCH($B59,Proposals!$A$6:$A$205,0)),"Proposal not found"))</f>
        <v/>
      </c>
      <c r="D59" s="22"/>
      <c r="E59" s="23"/>
      <c r="F59" s="22"/>
      <c r="G59" s="29"/>
      <c r="H59" s="30"/>
      <c r="I59" s="26" t="str">
        <f aca="false">IF($A59="","",N($G59)*N($H59))</f>
        <v/>
      </c>
      <c r="J59" s="26" t="str">
        <f aca="false">IF($A59="","",N($G59)+$I59)</f>
        <v/>
      </c>
      <c r="K59" s="23"/>
      <c r="L59" s="22"/>
      <c r="M59" s="22"/>
      <c r="N59" s="23"/>
      <c r="O59" s="27" t="str">
        <f aca="true">IF($A59="","",IF(AND(OR($L59="Sent",$L59="Approved"),$K59&lt;&gt;"",$K59&lt;TODAY()),"EXPIRED",""))</f>
        <v/>
      </c>
      <c r="P59" s="24"/>
      <c r="Q59" s="24"/>
    </row>
    <row r="60" customFormat="false" ht="15" hidden="false" customHeight="false" outlineLevel="0" collapsed="false">
      <c r="A60" s="22"/>
      <c r="B60" s="22"/>
      <c r="C60" s="28" t="str">
        <f aca="false">IF($B60="","",IFERROR(INDEX(Proposals!$C$6:$C$205,MATCH($B60,Proposals!$A$6:$A$205,0)),"Proposal not found"))</f>
        <v/>
      </c>
      <c r="D60" s="22"/>
      <c r="E60" s="23"/>
      <c r="F60" s="22"/>
      <c r="G60" s="29"/>
      <c r="H60" s="30"/>
      <c r="I60" s="26" t="str">
        <f aca="false">IF($A60="","",N($G60)*N($H60))</f>
        <v/>
      </c>
      <c r="J60" s="26" t="str">
        <f aca="false">IF($A60="","",N($G60)+$I60)</f>
        <v/>
      </c>
      <c r="K60" s="23"/>
      <c r="L60" s="22"/>
      <c r="M60" s="22"/>
      <c r="N60" s="23"/>
      <c r="O60" s="27" t="str">
        <f aca="true">IF($A60="","",IF(AND(OR($L60="Sent",$L60="Approved"),$K60&lt;&gt;"",$K60&lt;TODAY()),"EXPIRED",""))</f>
        <v/>
      </c>
      <c r="P60" s="24"/>
      <c r="Q60" s="24"/>
    </row>
    <row r="61" customFormat="false" ht="15" hidden="false" customHeight="false" outlineLevel="0" collapsed="false">
      <c r="A61" s="22"/>
      <c r="B61" s="22"/>
      <c r="C61" s="28" t="str">
        <f aca="false">IF($B61="","",IFERROR(INDEX(Proposals!$C$6:$C$205,MATCH($B61,Proposals!$A$6:$A$205,0)),"Proposal not found"))</f>
        <v/>
      </c>
      <c r="D61" s="22"/>
      <c r="E61" s="23"/>
      <c r="F61" s="22"/>
      <c r="G61" s="29"/>
      <c r="H61" s="30"/>
      <c r="I61" s="26" t="str">
        <f aca="false">IF($A61="","",N($G61)*N($H61))</f>
        <v/>
      </c>
      <c r="J61" s="26" t="str">
        <f aca="false">IF($A61="","",N($G61)+$I61)</f>
        <v/>
      </c>
      <c r="K61" s="23"/>
      <c r="L61" s="22"/>
      <c r="M61" s="22"/>
      <c r="N61" s="23"/>
      <c r="O61" s="27" t="str">
        <f aca="true">IF($A61="","",IF(AND(OR($L61="Sent",$L61="Approved"),$K61&lt;&gt;"",$K61&lt;TODAY()),"EXPIRED",""))</f>
        <v/>
      </c>
      <c r="P61" s="24"/>
      <c r="Q61" s="24"/>
    </row>
    <row r="62" customFormat="false" ht="15" hidden="false" customHeight="false" outlineLevel="0" collapsed="false">
      <c r="A62" s="22"/>
      <c r="B62" s="22"/>
      <c r="C62" s="28" t="str">
        <f aca="false">IF($B62="","",IFERROR(INDEX(Proposals!$C$6:$C$205,MATCH($B62,Proposals!$A$6:$A$205,0)),"Proposal not found"))</f>
        <v/>
      </c>
      <c r="D62" s="22"/>
      <c r="E62" s="23"/>
      <c r="F62" s="22"/>
      <c r="G62" s="29"/>
      <c r="H62" s="30"/>
      <c r="I62" s="26" t="str">
        <f aca="false">IF($A62="","",N($G62)*N($H62))</f>
        <v/>
      </c>
      <c r="J62" s="26" t="str">
        <f aca="false">IF($A62="","",N($G62)+$I62)</f>
        <v/>
      </c>
      <c r="K62" s="23"/>
      <c r="L62" s="22"/>
      <c r="M62" s="22"/>
      <c r="N62" s="23"/>
      <c r="O62" s="27" t="str">
        <f aca="true">IF($A62="","",IF(AND(OR($L62="Sent",$L62="Approved"),$K62&lt;&gt;"",$K62&lt;TODAY()),"EXPIRED",""))</f>
        <v/>
      </c>
      <c r="P62" s="24"/>
      <c r="Q62" s="24"/>
    </row>
    <row r="63" customFormat="false" ht="15" hidden="false" customHeight="false" outlineLevel="0" collapsed="false">
      <c r="A63" s="22"/>
      <c r="B63" s="22"/>
      <c r="C63" s="28" t="str">
        <f aca="false">IF($B63="","",IFERROR(INDEX(Proposals!$C$6:$C$205,MATCH($B63,Proposals!$A$6:$A$205,0)),"Proposal not found"))</f>
        <v/>
      </c>
      <c r="D63" s="22"/>
      <c r="E63" s="23"/>
      <c r="F63" s="22"/>
      <c r="G63" s="29"/>
      <c r="H63" s="30"/>
      <c r="I63" s="26" t="str">
        <f aca="false">IF($A63="","",N($G63)*N($H63))</f>
        <v/>
      </c>
      <c r="J63" s="26" t="str">
        <f aca="false">IF($A63="","",N($G63)+$I63)</f>
        <v/>
      </c>
      <c r="K63" s="23"/>
      <c r="L63" s="22"/>
      <c r="M63" s="22"/>
      <c r="N63" s="23"/>
      <c r="O63" s="27" t="str">
        <f aca="true">IF($A63="","",IF(AND(OR($L63="Sent",$L63="Approved"),$K63&lt;&gt;"",$K63&lt;TODAY()),"EXPIRED",""))</f>
        <v/>
      </c>
      <c r="P63" s="24"/>
      <c r="Q63" s="24"/>
    </row>
    <row r="64" customFormat="false" ht="15" hidden="false" customHeight="false" outlineLevel="0" collapsed="false">
      <c r="A64" s="22"/>
      <c r="B64" s="22"/>
      <c r="C64" s="28" t="str">
        <f aca="false">IF($B64="","",IFERROR(INDEX(Proposals!$C$6:$C$205,MATCH($B64,Proposals!$A$6:$A$205,0)),"Proposal not found"))</f>
        <v/>
      </c>
      <c r="D64" s="22"/>
      <c r="E64" s="23"/>
      <c r="F64" s="22"/>
      <c r="G64" s="29"/>
      <c r="H64" s="30"/>
      <c r="I64" s="26" t="str">
        <f aca="false">IF($A64="","",N($G64)*N($H64))</f>
        <v/>
      </c>
      <c r="J64" s="26" t="str">
        <f aca="false">IF($A64="","",N($G64)+$I64)</f>
        <v/>
      </c>
      <c r="K64" s="23"/>
      <c r="L64" s="22"/>
      <c r="M64" s="22"/>
      <c r="N64" s="23"/>
      <c r="O64" s="27" t="str">
        <f aca="true">IF($A64="","",IF(AND(OR($L64="Sent",$L64="Approved"),$K64&lt;&gt;"",$K64&lt;TODAY()),"EXPIRED",""))</f>
        <v/>
      </c>
      <c r="P64" s="24"/>
      <c r="Q64" s="24"/>
    </row>
    <row r="65" customFormat="false" ht="15" hidden="false" customHeight="false" outlineLevel="0" collapsed="false">
      <c r="A65" s="22"/>
      <c r="B65" s="22"/>
      <c r="C65" s="28" t="str">
        <f aca="false">IF($B65="","",IFERROR(INDEX(Proposals!$C$6:$C$205,MATCH($B65,Proposals!$A$6:$A$205,0)),"Proposal not found"))</f>
        <v/>
      </c>
      <c r="D65" s="22"/>
      <c r="E65" s="23"/>
      <c r="F65" s="22"/>
      <c r="G65" s="29"/>
      <c r="H65" s="30"/>
      <c r="I65" s="26" t="str">
        <f aca="false">IF($A65="","",N($G65)*N($H65))</f>
        <v/>
      </c>
      <c r="J65" s="26" t="str">
        <f aca="false">IF($A65="","",N($G65)+$I65)</f>
        <v/>
      </c>
      <c r="K65" s="23"/>
      <c r="L65" s="22"/>
      <c r="M65" s="22"/>
      <c r="N65" s="23"/>
      <c r="O65" s="27" t="str">
        <f aca="true">IF($A65="","",IF(AND(OR($L65="Sent",$L65="Approved"),$K65&lt;&gt;"",$K65&lt;TODAY()),"EXPIRED",""))</f>
        <v/>
      </c>
      <c r="P65" s="24"/>
      <c r="Q65" s="24"/>
    </row>
    <row r="66" customFormat="false" ht="15" hidden="false" customHeight="false" outlineLevel="0" collapsed="false">
      <c r="A66" s="22"/>
      <c r="B66" s="22"/>
      <c r="C66" s="28" t="str">
        <f aca="false">IF($B66="","",IFERROR(INDEX(Proposals!$C$6:$C$205,MATCH($B66,Proposals!$A$6:$A$205,0)),"Proposal not found"))</f>
        <v/>
      </c>
      <c r="D66" s="22"/>
      <c r="E66" s="23"/>
      <c r="F66" s="22"/>
      <c r="G66" s="29"/>
      <c r="H66" s="30"/>
      <c r="I66" s="26" t="str">
        <f aca="false">IF($A66="","",N($G66)*N($H66))</f>
        <v/>
      </c>
      <c r="J66" s="26" t="str">
        <f aca="false">IF($A66="","",N($G66)+$I66)</f>
        <v/>
      </c>
      <c r="K66" s="23"/>
      <c r="L66" s="22"/>
      <c r="M66" s="22"/>
      <c r="N66" s="23"/>
      <c r="O66" s="27" t="str">
        <f aca="true">IF($A66="","",IF(AND(OR($L66="Sent",$L66="Approved"),$K66&lt;&gt;"",$K66&lt;TODAY()),"EXPIRED",""))</f>
        <v/>
      </c>
      <c r="P66" s="24"/>
      <c r="Q66" s="24"/>
    </row>
    <row r="67" customFormat="false" ht="15" hidden="false" customHeight="false" outlineLevel="0" collapsed="false">
      <c r="A67" s="22"/>
      <c r="B67" s="22"/>
      <c r="C67" s="28" t="str">
        <f aca="false">IF($B67="","",IFERROR(INDEX(Proposals!$C$6:$C$205,MATCH($B67,Proposals!$A$6:$A$205,0)),"Proposal not found"))</f>
        <v/>
      </c>
      <c r="D67" s="22"/>
      <c r="E67" s="23"/>
      <c r="F67" s="22"/>
      <c r="G67" s="29"/>
      <c r="H67" s="30"/>
      <c r="I67" s="26" t="str">
        <f aca="false">IF($A67="","",N($G67)*N($H67))</f>
        <v/>
      </c>
      <c r="J67" s="26" t="str">
        <f aca="false">IF($A67="","",N($G67)+$I67)</f>
        <v/>
      </c>
      <c r="K67" s="23"/>
      <c r="L67" s="22"/>
      <c r="M67" s="22"/>
      <c r="N67" s="23"/>
      <c r="O67" s="27" t="str">
        <f aca="true">IF($A67="","",IF(AND(OR($L67="Sent",$L67="Approved"),$K67&lt;&gt;"",$K67&lt;TODAY()),"EXPIRED",""))</f>
        <v/>
      </c>
      <c r="P67" s="24"/>
      <c r="Q67" s="24"/>
    </row>
    <row r="68" customFormat="false" ht="15" hidden="false" customHeight="false" outlineLevel="0" collapsed="false">
      <c r="A68" s="22"/>
      <c r="B68" s="22"/>
      <c r="C68" s="28" t="str">
        <f aca="false">IF($B68="","",IFERROR(INDEX(Proposals!$C$6:$C$205,MATCH($B68,Proposals!$A$6:$A$205,0)),"Proposal not found"))</f>
        <v/>
      </c>
      <c r="D68" s="22"/>
      <c r="E68" s="23"/>
      <c r="F68" s="22"/>
      <c r="G68" s="29"/>
      <c r="H68" s="30"/>
      <c r="I68" s="26" t="str">
        <f aca="false">IF($A68="","",N($G68)*N($H68))</f>
        <v/>
      </c>
      <c r="J68" s="26" t="str">
        <f aca="false">IF($A68="","",N($G68)+$I68)</f>
        <v/>
      </c>
      <c r="K68" s="23"/>
      <c r="L68" s="22"/>
      <c r="M68" s="22"/>
      <c r="N68" s="23"/>
      <c r="O68" s="27" t="str">
        <f aca="true">IF($A68="","",IF(AND(OR($L68="Sent",$L68="Approved"),$K68&lt;&gt;"",$K68&lt;TODAY()),"EXPIRED",""))</f>
        <v/>
      </c>
      <c r="P68" s="24"/>
      <c r="Q68" s="24"/>
    </row>
    <row r="69" customFormat="false" ht="15" hidden="false" customHeight="false" outlineLevel="0" collapsed="false">
      <c r="A69" s="22"/>
      <c r="B69" s="22"/>
      <c r="C69" s="28" t="str">
        <f aca="false">IF($B69="","",IFERROR(INDEX(Proposals!$C$6:$C$205,MATCH($B69,Proposals!$A$6:$A$205,0)),"Proposal not found"))</f>
        <v/>
      </c>
      <c r="D69" s="22"/>
      <c r="E69" s="23"/>
      <c r="F69" s="22"/>
      <c r="G69" s="29"/>
      <c r="H69" s="30"/>
      <c r="I69" s="26" t="str">
        <f aca="false">IF($A69="","",N($G69)*N($H69))</f>
        <v/>
      </c>
      <c r="J69" s="26" t="str">
        <f aca="false">IF($A69="","",N($G69)+$I69)</f>
        <v/>
      </c>
      <c r="K69" s="23"/>
      <c r="L69" s="22"/>
      <c r="M69" s="22"/>
      <c r="N69" s="23"/>
      <c r="O69" s="27" t="str">
        <f aca="true">IF($A69="","",IF(AND(OR($L69="Sent",$L69="Approved"),$K69&lt;&gt;"",$K69&lt;TODAY()),"EXPIRED",""))</f>
        <v/>
      </c>
      <c r="P69" s="24"/>
      <c r="Q69" s="24"/>
    </row>
    <row r="70" customFormat="false" ht="15" hidden="false" customHeight="false" outlineLevel="0" collapsed="false">
      <c r="A70" s="22"/>
      <c r="B70" s="22"/>
      <c r="C70" s="28" t="str">
        <f aca="false">IF($B70="","",IFERROR(INDEX(Proposals!$C$6:$C$205,MATCH($B70,Proposals!$A$6:$A$205,0)),"Proposal not found"))</f>
        <v/>
      </c>
      <c r="D70" s="22"/>
      <c r="E70" s="23"/>
      <c r="F70" s="22"/>
      <c r="G70" s="29"/>
      <c r="H70" s="30"/>
      <c r="I70" s="26" t="str">
        <f aca="false">IF($A70="","",N($G70)*N($H70))</f>
        <v/>
      </c>
      <c r="J70" s="26" t="str">
        <f aca="false">IF($A70="","",N($G70)+$I70)</f>
        <v/>
      </c>
      <c r="K70" s="23"/>
      <c r="L70" s="22"/>
      <c r="M70" s="22"/>
      <c r="N70" s="23"/>
      <c r="O70" s="27" t="str">
        <f aca="true">IF($A70="","",IF(AND(OR($L70="Sent",$L70="Approved"),$K70&lt;&gt;"",$K70&lt;TODAY()),"EXPIRED",""))</f>
        <v/>
      </c>
      <c r="P70" s="24"/>
      <c r="Q70" s="24"/>
    </row>
    <row r="71" customFormat="false" ht="15" hidden="false" customHeight="false" outlineLevel="0" collapsed="false">
      <c r="A71" s="22"/>
      <c r="B71" s="22"/>
      <c r="C71" s="28" t="str">
        <f aca="false">IF($B71="","",IFERROR(INDEX(Proposals!$C$6:$C$205,MATCH($B71,Proposals!$A$6:$A$205,0)),"Proposal not found"))</f>
        <v/>
      </c>
      <c r="D71" s="22"/>
      <c r="E71" s="23"/>
      <c r="F71" s="22"/>
      <c r="G71" s="29"/>
      <c r="H71" s="30"/>
      <c r="I71" s="26" t="str">
        <f aca="false">IF($A71="","",N($G71)*N($H71))</f>
        <v/>
      </c>
      <c r="J71" s="26" t="str">
        <f aca="false">IF($A71="","",N($G71)+$I71)</f>
        <v/>
      </c>
      <c r="K71" s="23"/>
      <c r="L71" s="22"/>
      <c r="M71" s="22"/>
      <c r="N71" s="23"/>
      <c r="O71" s="27" t="str">
        <f aca="true">IF($A71="","",IF(AND(OR($L71="Sent",$L71="Approved"),$K71&lt;&gt;"",$K71&lt;TODAY()),"EXPIRED",""))</f>
        <v/>
      </c>
      <c r="P71" s="24"/>
      <c r="Q71" s="24"/>
    </row>
    <row r="72" customFormat="false" ht="15" hidden="false" customHeight="false" outlineLevel="0" collapsed="false">
      <c r="A72" s="22"/>
      <c r="B72" s="22"/>
      <c r="C72" s="28" t="str">
        <f aca="false">IF($B72="","",IFERROR(INDEX(Proposals!$C$6:$C$205,MATCH($B72,Proposals!$A$6:$A$205,0)),"Proposal not found"))</f>
        <v/>
      </c>
      <c r="D72" s="22"/>
      <c r="E72" s="23"/>
      <c r="F72" s="22"/>
      <c r="G72" s="29"/>
      <c r="H72" s="30"/>
      <c r="I72" s="26" t="str">
        <f aca="false">IF($A72="","",N($G72)*N($H72))</f>
        <v/>
      </c>
      <c r="J72" s="26" t="str">
        <f aca="false">IF($A72="","",N($G72)+$I72)</f>
        <v/>
      </c>
      <c r="K72" s="23"/>
      <c r="L72" s="22"/>
      <c r="M72" s="22"/>
      <c r="N72" s="23"/>
      <c r="O72" s="27" t="str">
        <f aca="true">IF($A72="","",IF(AND(OR($L72="Sent",$L72="Approved"),$K72&lt;&gt;"",$K72&lt;TODAY()),"EXPIRED",""))</f>
        <v/>
      </c>
      <c r="P72" s="24"/>
      <c r="Q72" s="24"/>
    </row>
    <row r="73" customFormat="false" ht="15" hidden="false" customHeight="false" outlineLevel="0" collapsed="false">
      <c r="A73" s="22"/>
      <c r="B73" s="22"/>
      <c r="C73" s="28" t="str">
        <f aca="false">IF($B73="","",IFERROR(INDEX(Proposals!$C$6:$C$205,MATCH($B73,Proposals!$A$6:$A$205,0)),"Proposal not found"))</f>
        <v/>
      </c>
      <c r="D73" s="22"/>
      <c r="E73" s="23"/>
      <c r="F73" s="22"/>
      <c r="G73" s="29"/>
      <c r="H73" s="30"/>
      <c r="I73" s="26" t="str">
        <f aca="false">IF($A73="","",N($G73)*N($H73))</f>
        <v/>
      </c>
      <c r="J73" s="26" t="str">
        <f aca="false">IF($A73="","",N($G73)+$I73)</f>
        <v/>
      </c>
      <c r="K73" s="23"/>
      <c r="L73" s="22"/>
      <c r="M73" s="22"/>
      <c r="N73" s="23"/>
      <c r="O73" s="27" t="str">
        <f aca="true">IF($A73="","",IF(AND(OR($L73="Sent",$L73="Approved"),$K73&lt;&gt;"",$K73&lt;TODAY()),"EXPIRED",""))</f>
        <v/>
      </c>
      <c r="P73" s="24"/>
      <c r="Q73" s="24"/>
    </row>
    <row r="74" customFormat="false" ht="15" hidden="false" customHeight="false" outlineLevel="0" collapsed="false">
      <c r="A74" s="22"/>
      <c r="B74" s="22"/>
      <c r="C74" s="28" t="str">
        <f aca="false">IF($B74="","",IFERROR(INDEX(Proposals!$C$6:$C$205,MATCH($B74,Proposals!$A$6:$A$205,0)),"Proposal not found"))</f>
        <v/>
      </c>
      <c r="D74" s="22"/>
      <c r="E74" s="23"/>
      <c r="F74" s="22"/>
      <c r="G74" s="29"/>
      <c r="H74" s="30"/>
      <c r="I74" s="26" t="str">
        <f aca="false">IF($A74="","",N($G74)*N($H74))</f>
        <v/>
      </c>
      <c r="J74" s="26" t="str">
        <f aca="false">IF($A74="","",N($G74)+$I74)</f>
        <v/>
      </c>
      <c r="K74" s="23"/>
      <c r="L74" s="22"/>
      <c r="M74" s="22"/>
      <c r="N74" s="23"/>
      <c r="O74" s="27" t="str">
        <f aca="true">IF($A74="","",IF(AND(OR($L74="Sent",$L74="Approved"),$K74&lt;&gt;"",$K74&lt;TODAY()),"EXPIRED",""))</f>
        <v/>
      </c>
      <c r="P74" s="24"/>
      <c r="Q74" s="24"/>
    </row>
    <row r="75" customFormat="false" ht="15" hidden="false" customHeight="false" outlineLevel="0" collapsed="false">
      <c r="A75" s="22"/>
      <c r="B75" s="22"/>
      <c r="C75" s="28" t="str">
        <f aca="false">IF($B75="","",IFERROR(INDEX(Proposals!$C$6:$C$205,MATCH($B75,Proposals!$A$6:$A$205,0)),"Proposal not found"))</f>
        <v/>
      </c>
      <c r="D75" s="22"/>
      <c r="E75" s="23"/>
      <c r="F75" s="22"/>
      <c r="G75" s="29"/>
      <c r="H75" s="30"/>
      <c r="I75" s="26" t="str">
        <f aca="false">IF($A75="","",N($G75)*N($H75))</f>
        <v/>
      </c>
      <c r="J75" s="26" t="str">
        <f aca="false">IF($A75="","",N($G75)+$I75)</f>
        <v/>
      </c>
      <c r="K75" s="23"/>
      <c r="L75" s="22"/>
      <c r="M75" s="22"/>
      <c r="N75" s="23"/>
      <c r="O75" s="27" t="str">
        <f aca="true">IF($A75="","",IF(AND(OR($L75="Sent",$L75="Approved"),$K75&lt;&gt;"",$K75&lt;TODAY()),"EXPIRED",""))</f>
        <v/>
      </c>
      <c r="P75" s="24"/>
      <c r="Q75" s="24"/>
    </row>
    <row r="76" customFormat="false" ht="15" hidden="false" customHeight="false" outlineLevel="0" collapsed="false">
      <c r="A76" s="22"/>
      <c r="B76" s="22"/>
      <c r="C76" s="28" t="str">
        <f aca="false">IF($B76="","",IFERROR(INDEX(Proposals!$C$6:$C$205,MATCH($B76,Proposals!$A$6:$A$205,0)),"Proposal not found"))</f>
        <v/>
      </c>
      <c r="D76" s="22"/>
      <c r="E76" s="23"/>
      <c r="F76" s="22"/>
      <c r="G76" s="29"/>
      <c r="H76" s="30"/>
      <c r="I76" s="26" t="str">
        <f aca="false">IF($A76="","",N($G76)*N($H76))</f>
        <v/>
      </c>
      <c r="J76" s="26" t="str">
        <f aca="false">IF($A76="","",N($G76)+$I76)</f>
        <v/>
      </c>
      <c r="K76" s="23"/>
      <c r="L76" s="22"/>
      <c r="M76" s="22"/>
      <c r="N76" s="23"/>
      <c r="O76" s="27" t="str">
        <f aca="true">IF($A76="","",IF(AND(OR($L76="Sent",$L76="Approved"),$K76&lt;&gt;"",$K76&lt;TODAY()),"EXPIRED",""))</f>
        <v/>
      </c>
      <c r="P76" s="24"/>
      <c r="Q76" s="24"/>
    </row>
    <row r="77" customFormat="false" ht="15" hidden="false" customHeight="false" outlineLevel="0" collapsed="false">
      <c r="A77" s="22"/>
      <c r="B77" s="22"/>
      <c r="C77" s="28" t="str">
        <f aca="false">IF($B77="","",IFERROR(INDEX(Proposals!$C$6:$C$205,MATCH($B77,Proposals!$A$6:$A$205,0)),"Proposal not found"))</f>
        <v/>
      </c>
      <c r="D77" s="22"/>
      <c r="E77" s="23"/>
      <c r="F77" s="22"/>
      <c r="G77" s="29"/>
      <c r="H77" s="30"/>
      <c r="I77" s="26" t="str">
        <f aca="false">IF($A77="","",N($G77)*N($H77))</f>
        <v/>
      </c>
      <c r="J77" s="26" t="str">
        <f aca="false">IF($A77="","",N($G77)+$I77)</f>
        <v/>
      </c>
      <c r="K77" s="23"/>
      <c r="L77" s="22"/>
      <c r="M77" s="22"/>
      <c r="N77" s="23"/>
      <c r="O77" s="27" t="str">
        <f aca="true">IF($A77="","",IF(AND(OR($L77="Sent",$L77="Approved"),$K77&lt;&gt;"",$K77&lt;TODAY()),"EXPIRED",""))</f>
        <v/>
      </c>
      <c r="P77" s="24"/>
      <c r="Q77" s="24"/>
    </row>
    <row r="78" customFormat="false" ht="15" hidden="false" customHeight="false" outlineLevel="0" collapsed="false">
      <c r="A78" s="22"/>
      <c r="B78" s="22"/>
      <c r="C78" s="28" t="str">
        <f aca="false">IF($B78="","",IFERROR(INDEX(Proposals!$C$6:$C$205,MATCH($B78,Proposals!$A$6:$A$205,0)),"Proposal not found"))</f>
        <v/>
      </c>
      <c r="D78" s="22"/>
      <c r="E78" s="23"/>
      <c r="F78" s="22"/>
      <c r="G78" s="29"/>
      <c r="H78" s="30"/>
      <c r="I78" s="26" t="str">
        <f aca="false">IF($A78="","",N($G78)*N($H78))</f>
        <v/>
      </c>
      <c r="J78" s="26" t="str">
        <f aca="false">IF($A78="","",N($G78)+$I78)</f>
        <v/>
      </c>
      <c r="K78" s="23"/>
      <c r="L78" s="22"/>
      <c r="M78" s="22"/>
      <c r="N78" s="23"/>
      <c r="O78" s="27" t="str">
        <f aca="true">IF($A78="","",IF(AND(OR($L78="Sent",$L78="Approved"),$K78&lt;&gt;"",$K78&lt;TODAY()),"EXPIRED",""))</f>
        <v/>
      </c>
      <c r="P78" s="24"/>
      <c r="Q78" s="24"/>
    </row>
    <row r="79" customFormat="false" ht="15" hidden="false" customHeight="false" outlineLevel="0" collapsed="false">
      <c r="A79" s="22"/>
      <c r="B79" s="22"/>
      <c r="C79" s="28" t="str">
        <f aca="false">IF($B79="","",IFERROR(INDEX(Proposals!$C$6:$C$205,MATCH($B79,Proposals!$A$6:$A$205,0)),"Proposal not found"))</f>
        <v/>
      </c>
      <c r="D79" s="22"/>
      <c r="E79" s="23"/>
      <c r="F79" s="22"/>
      <c r="G79" s="29"/>
      <c r="H79" s="30"/>
      <c r="I79" s="26" t="str">
        <f aca="false">IF($A79="","",N($G79)*N($H79))</f>
        <v/>
      </c>
      <c r="J79" s="26" t="str">
        <f aca="false">IF($A79="","",N($G79)+$I79)</f>
        <v/>
      </c>
      <c r="K79" s="23"/>
      <c r="L79" s="22"/>
      <c r="M79" s="22"/>
      <c r="N79" s="23"/>
      <c r="O79" s="27" t="str">
        <f aca="true">IF($A79="","",IF(AND(OR($L79="Sent",$L79="Approved"),$K79&lt;&gt;"",$K79&lt;TODAY()),"EXPIRED",""))</f>
        <v/>
      </c>
      <c r="P79" s="24"/>
      <c r="Q79" s="24"/>
    </row>
    <row r="80" customFormat="false" ht="15" hidden="false" customHeight="false" outlineLevel="0" collapsed="false">
      <c r="A80" s="22"/>
      <c r="B80" s="22"/>
      <c r="C80" s="28" t="str">
        <f aca="false">IF($B80="","",IFERROR(INDEX(Proposals!$C$6:$C$205,MATCH($B80,Proposals!$A$6:$A$205,0)),"Proposal not found"))</f>
        <v/>
      </c>
      <c r="D80" s="22"/>
      <c r="E80" s="23"/>
      <c r="F80" s="22"/>
      <c r="G80" s="29"/>
      <c r="H80" s="30"/>
      <c r="I80" s="26" t="str">
        <f aca="false">IF($A80="","",N($G80)*N($H80))</f>
        <v/>
      </c>
      <c r="J80" s="26" t="str">
        <f aca="false">IF($A80="","",N($G80)+$I80)</f>
        <v/>
      </c>
      <c r="K80" s="23"/>
      <c r="L80" s="22"/>
      <c r="M80" s="22"/>
      <c r="N80" s="23"/>
      <c r="O80" s="27" t="str">
        <f aca="true">IF($A80="","",IF(AND(OR($L80="Sent",$L80="Approved"),$K80&lt;&gt;"",$K80&lt;TODAY()),"EXPIRED",""))</f>
        <v/>
      </c>
      <c r="P80" s="24"/>
      <c r="Q80" s="24"/>
    </row>
    <row r="81" customFormat="false" ht="15" hidden="false" customHeight="false" outlineLevel="0" collapsed="false">
      <c r="A81" s="22"/>
      <c r="B81" s="22"/>
      <c r="C81" s="28" t="str">
        <f aca="false">IF($B81="","",IFERROR(INDEX(Proposals!$C$6:$C$205,MATCH($B81,Proposals!$A$6:$A$205,0)),"Proposal not found"))</f>
        <v/>
      </c>
      <c r="D81" s="22"/>
      <c r="E81" s="23"/>
      <c r="F81" s="22"/>
      <c r="G81" s="29"/>
      <c r="H81" s="30"/>
      <c r="I81" s="26" t="str">
        <f aca="false">IF($A81="","",N($G81)*N($H81))</f>
        <v/>
      </c>
      <c r="J81" s="26" t="str">
        <f aca="false">IF($A81="","",N($G81)+$I81)</f>
        <v/>
      </c>
      <c r="K81" s="23"/>
      <c r="L81" s="22"/>
      <c r="M81" s="22"/>
      <c r="N81" s="23"/>
      <c r="O81" s="27" t="str">
        <f aca="true">IF($A81="","",IF(AND(OR($L81="Sent",$L81="Approved"),$K81&lt;&gt;"",$K81&lt;TODAY()),"EXPIRED",""))</f>
        <v/>
      </c>
      <c r="P81" s="24"/>
      <c r="Q81" s="24"/>
    </row>
    <row r="82" customFormat="false" ht="15" hidden="false" customHeight="false" outlineLevel="0" collapsed="false">
      <c r="A82" s="22"/>
      <c r="B82" s="22"/>
      <c r="C82" s="28" t="str">
        <f aca="false">IF($B82="","",IFERROR(INDEX(Proposals!$C$6:$C$205,MATCH($B82,Proposals!$A$6:$A$205,0)),"Proposal not found"))</f>
        <v/>
      </c>
      <c r="D82" s="22"/>
      <c r="E82" s="23"/>
      <c r="F82" s="22"/>
      <c r="G82" s="29"/>
      <c r="H82" s="30"/>
      <c r="I82" s="26" t="str">
        <f aca="false">IF($A82="","",N($G82)*N($H82))</f>
        <v/>
      </c>
      <c r="J82" s="26" t="str">
        <f aca="false">IF($A82="","",N($G82)+$I82)</f>
        <v/>
      </c>
      <c r="K82" s="23"/>
      <c r="L82" s="22"/>
      <c r="M82" s="22"/>
      <c r="N82" s="23"/>
      <c r="O82" s="27" t="str">
        <f aca="true">IF($A82="","",IF(AND(OR($L82="Sent",$L82="Approved"),$K82&lt;&gt;"",$K82&lt;TODAY()),"EXPIRED",""))</f>
        <v/>
      </c>
      <c r="P82" s="24"/>
      <c r="Q82" s="24"/>
    </row>
    <row r="83" customFormat="false" ht="15" hidden="false" customHeight="false" outlineLevel="0" collapsed="false">
      <c r="A83" s="22"/>
      <c r="B83" s="22"/>
      <c r="C83" s="28" t="str">
        <f aca="false">IF($B83="","",IFERROR(INDEX(Proposals!$C$6:$C$205,MATCH($B83,Proposals!$A$6:$A$205,0)),"Proposal not found"))</f>
        <v/>
      </c>
      <c r="D83" s="22"/>
      <c r="E83" s="23"/>
      <c r="F83" s="22"/>
      <c r="G83" s="29"/>
      <c r="H83" s="30"/>
      <c r="I83" s="26" t="str">
        <f aca="false">IF($A83="","",N($G83)*N($H83))</f>
        <v/>
      </c>
      <c r="J83" s="26" t="str">
        <f aca="false">IF($A83="","",N($G83)+$I83)</f>
        <v/>
      </c>
      <c r="K83" s="23"/>
      <c r="L83" s="22"/>
      <c r="M83" s="22"/>
      <c r="N83" s="23"/>
      <c r="O83" s="27" t="str">
        <f aca="true">IF($A83="","",IF(AND(OR($L83="Sent",$L83="Approved"),$K83&lt;&gt;"",$K83&lt;TODAY()),"EXPIRED",""))</f>
        <v/>
      </c>
      <c r="P83" s="24"/>
      <c r="Q83" s="24"/>
    </row>
    <row r="84" customFormat="false" ht="15" hidden="false" customHeight="false" outlineLevel="0" collapsed="false">
      <c r="A84" s="22"/>
      <c r="B84" s="22"/>
      <c r="C84" s="28" t="str">
        <f aca="false">IF($B84="","",IFERROR(INDEX(Proposals!$C$6:$C$205,MATCH($B84,Proposals!$A$6:$A$205,0)),"Proposal not found"))</f>
        <v/>
      </c>
      <c r="D84" s="22"/>
      <c r="E84" s="23"/>
      <c r="F84" s="22"/>
      <c r="G84" s="29"/>
      <c r="H84" s="30"/>
      <c r="I84" s="26" t="str">
        <f aca="false">IF($A84="","",N($G84)*N($H84))</f>
        <v/>
      </c>
      <c r="J84" s="26" t="str">
        <f aca="false">IF($A84="","",N($G84)+$I84)</f>
        <v/>
      </c>
      <c r="K84" s="23"/>
      <c r="L84" s="22"/>
      <c r="M84" s="22"/>
      <c r="N84" s="23"/>
      <c r="O84" s="27" t="str">
        <f aca="true">IF($A84="","",IF(AND(OR($L84="Sent",$L84="Approved"),$K84&lt;&gt;"",$K84&lt;TODAY()),"EXPIRED",""))</f>
        <v/>
      </c>
      <c r="P84" s="24"/>
      <c r="Q84" s="24"/>
    </row>
    <row r="85" customFormat="false" ht="15" hidden="false" customHeight="false" outlineLevel="0" collapsed="false">
      <c r="A85" s="22"/>
      <c r="B85" s="22"/>
      <c r="C85" s="28" t="str">
        <f aca="false">IF($B85="","",IFERROR(INDEX(Proposals!$C$6:$C$205,MATCH($B85,Proposals!$A$6:$A$205,0)),"Proposal not found"))</f>
        <v/>
      </c>
      <c r="D85" s="22"/>
      <c r="E85" s="23"/>
      <c r="F85" s="22"/>
      <c r="G85" s="29"/>
      <c r="H85" s="30"/>
      <c r="I85" s="26" t="str">
        <f aca="false">IF($A85="","",N($G85)*N($H85))</f>
        <v/>
      </c>
      <c r="J85" s="26" t="str">
        <f aca="false">IF($A85="","",N($G85)+$I85)</f>
        <v/>
      </c>
      <c r="K85" s="23"/>
      <c r="L85" s="22"/>
      <c r="M85" s="22"/>
      <c r="N85" s="23"/>
      <c r="O85" s="27" t="str">
        <f aca="true">IF($A85="","",IF(AND(OR($L85="Sent",$L85="Approved"),$K85&lt;&gt;"",$K85&lt;TODAY()),"EXPIRED",""))</f>
        <v/>
      </c>
      <c r="P85" s="24"/>
      <c r="Q85" s="24"/>
    </row>
    <row r="86" customFormat="false" ht="15" hidden="false" customHeight="false" outlineLevel="0" collapsed="false">
      <c r="A86" s="22"/>
      <c r="B86" s="22"/>
      <c r="C86" s="28" t="str">
        <f aca="false">IF($B86="","",IFERROR(INDEX(Proposals!$C$6:$C$205,MATCH($B86,Proposals!$A$6:$A$205,0)),"Proposal not found"))</f>
        <v/>
      </c>
      <c r="D86" s="22"/>
      <c r="E86" s="23"/>
      <c r="F86" s="22"/>
      <c r="G86" s="29"/>
      <c r="H86" s="30"/>
      <c r="I86" s="26" t="str">
        <f aca="false">IF($A86="","",N($G86)*N($H86))</f>
        <v/>
      </c>
      <c r="J86" s="26" t="str">
        <f aca="false">IF($A86="","",N($G86)+$I86)</f>
        <v/>
      </c>
      <c r="K86" s="23"/>
      <c r="L86" s="22"/>
      <c r="M86" s="22"/>
      <c r="N86" s="23"/>
      <c r="O86" s="27" t="str">
        <f aca="true">IF($A86="","",IF(AND(OR($L86="Sent",$L86="Approved"),$K86&lt;&gt;"",$K86&lt;TODAY()),"EXPIRED",""))</f>
        <v/>
      </c>
      <c r="P86" s="24"/>
      <c r="Q86" s="24"/>
    </row>
    <row r="87" customFormat="false" ht="15" hidden="false" customHeight="false" outlineLevel="0" collapsed="false">
      <c r="A87" s="22"/>
      <c r="B87" s="22"/>
      <c r="C87" s="28" t="str">
        <f aca="false">IF($B87="","",IFERROR(INDEX(Proposals!$C$6:$C$205,MATCH($B87,Proposals!$A$6:$A$205,0)),"Proposal not found"))</f>
        <v/>
      </c>
      <c r="D87" s="22"/>
      <c r="E87" s="23"/>
      <c r="F87" s="22"/>
      <c r="G87" s="29"/>
      <c r="H87" s="30"/>
      <c r="I87" s="26" t="str">
        <f aca="false">IF($A87="","",N($G87)*N($H87))</f>
        <v/>
      </c>
      <c r="J87" s="26" t="str">
        <f aca="false">IF($A87="","",N($G87)+$I87)</f>
        <v/>
      </c>
      <c r="K87" s="23"/>
      <c r="L87" s="22"/>
      <c r="M87" s="22"/>
      <c r="N87" s="23"/>
      <c r="O87" s="27" t="str">
        <f aca="true">IF($A87="","",IF(AND(OR($L87="Sent",$L87="Approved"),$K87&lt;&gt;"",$K87&lt;TODAY()),"EXPIRED",""))</f>
        <v/>
      </c>
      <c r="P87" s="24"/>
      <c r="Q87" s="24"/>
    </row>
    <row r="88" customFormat="false" ht="15" hidden="false" customHeight="false" outlineLevel="0" collapsed="false">
      <c r="A88" s="22"/>
      <c r="B88" s="22"/>
      <c r="C88" s="28" t="str">
        <f aca="false">IF($B88="","",IFERROR(INDEX(Proposals!$C$6:$C$205,MATCH($B88,Proposals!$A$6:$A$205,0)),"Proposal not found"))</f>
        <v/>
      </c>
      <c r="D88" s="22"/>
      <c r="E88" s="23"/>
      <c r="F88" s="22"/>
      <c r="G88" s="29"/>
      <c r="H88" s="30"/>
      <c r="I88" s="26" t="str">
        <f aca="false">IF($A88="","",N($G88)*N($H88))</f>
        <v/>
      </c>
      <c r="J88" s="26" t="str">
        <f aca="false">IF($A88="","",N($G88)+$I88)</f>
        <v/>
      </c>
      <c r="K88" s="23"/>
      <c r="L88" s="22"/>
      <c r="M88" s="22"/>
      <c r="N88" s="23"/>
      <c r="O88" s="27" t="str">
        <f aca="true">IF($A88="","",IF(AND(OR($L88="Sent",$L88="Approved"),$K88&lt;&gt;"",$K88&lt;TODAY()),"EXPIRED",""))</f>
        <v/>
      </c>
      <c r="P88" s="24"/>
      <c r="Q88" s="24"/>
    </row>
    <row r="89" customFormat="false" ht="15" hidden="false" customHeight="false" outlineLevel="0" collapsed="false">
      <c r="A89" s="22"/>
      <c r="B89" s="22"/>
      <c r="C89" s="28" t="str">
        <f aca="false">IF($B89="","",IFERROR(INDEX(Proposals!$C$6:$C$205,MATCH($B89,Proposals!$A$6:$A$205,0)),"Proposal not found"))</f>
        <v/>
      </c>
      <c r="D89" s="22"/>
      <c r="E89" s="23"/>
      <c r="F89" s="22"/>
      <c r="G89" s="29"/>
      <c r="H89" s="30"/>
      <c r="I89" s="26" t="str">
        <f aca="false">IF($A89="","",N($G89)*N($H89))</f>
        <v/>
      </c>
      <c r="J89" s="26" t="str">
        <f aca="false">IF($A89="","",N($G89)+$I89)</f>
        <v/>
      </c>
      <c r="K89" s="23"/>
      <c r="L89" s="22"/>
      <c r="M89" s="22"/>
      <c r="N89" s="23"/>
      <c r="O89" s="27" t="str">
        <f aca="true">IF($A89="","",IF(AND(OR($L89="Sent",$L89="Approved"),$K89&lt;&gt;"",$K89&lt;TODAY()),"EXPIRED",""))</f>
        <v/>
      </c>
      <c r="P89" s="24"/>
      <c r="Q89" s="24"/>
    </row>
    <row r="90" customFormat="false" ht="15" hidden="false" customHeight="false" outlineLevel="0" collapsed="false">
      <c r="A90" s="22"/>
      <c r="B90" s="22"/>
      <c r="C90" s="28" t="str">
        <f aca="false">IF($B90="","",IFERROR(INDEX(Proposals!$C$6:$C$205,MATCH($B90,Proposals!$A$6:$A$205,0)),"Proposal not found"))</f>
        <v/>
      </c>
      <c r="D90" s="22"/>
      <c r="E90" s="23"/>
      <c r="F90" s="22"/>
      <c r="G90" s="29"/>
      <c r="H90" s="30"/>
      <c r="I90" s="26" t="str">
        <f aca="false">IF($A90="","",N($G90)*N($H90))</f>
        <v/>
      </c>
      <c r="J90" s="26" t="str">
        <f aca="false">IF($A90="","",N($G90)+$I90)</f>
        <v/>
      </c>
      <c r="K90" s="23"/>
      <c r="L90" s="22"/>
      <c r="M90" s="22"/>
      <c r="N90" s="23"/>
      <c r="O90" s="27" t="str">
        <f aca="true">IF($A90="","",IF(AND(OR($L90="Sent",$L90="Approved"),$K90&lt;&gt;"",$K90&lt;TODAY()),"EXPIRED",""))</f>
        <v/>
      </c>
      <c r="P90" s="24"/>
      <c r="Q90" s="24"/>
    </row>
    <row r="91" customFormat="false" ht="15" hidden="false" customHeight="false" outlineLevel="0" collapsed="false">
      <c r="A91" s="22"/>
      <c r="B91" s="22"/>
      <c r="C91" s="28" t="str">
        <f aca="false">IF($B91="","",IFERROR(INDEX(Proposals!$C$6:$C$205,MATCH($B91,Proposals!$A$6:$A$205,0)),"Proposal not found"))</f>
        <v/>
      </c>
      <c r="D91" s="22"/>
      <c r="E91" s="23"/>
      <c r="F91" s="22"/>
      <c r="G91" s="29"/>
      <c r="H91" s="30"/>
      <c r="I91" s="26" t="str">
        <f aca="false">IF($A91="","",N($G91)*N($H91))</f>
        <v/>
      </c>
      <c r="J91" s="26" t="str">
        <f aca="false">IF($A91="","",N($G91)+$I91)</f>
        <v/>
      </c>
      <c r="K91" s="23"/>
      <c r="L91" s="22"/>
      <c r="M91" s="22"/>
      <c r="N91" s="23"/>
      <c r="O91" s="27" t="str">
        <f aca="true">IF($A91="","",IF(AND(OR($L91="Sent",$L91="Approved"),$K91&lt;&gt;"",$K91&lt;TODAY()),"EXPIRED",""))</f>
        <v/>
      </c>
      <c r="P91" s="24"/>
      <c r="Q91" s="24"/>
    </row>
    <row r="92" customFormat="false" ht="15" hidden="false" customHeight="false" outlineLevel="0" collapsed="false">
      <c r="A92" s="22"/>
      <c r="B92" s="22"/>
      <c r="C92" s="28" t="str">
        <f aca="false">IF($B92="","",IFERROR(INDEX(Proposals!$C$6:$C$205,MATCH($B92,Proposals!$A$6:$A$205,0)),"Proposal not found"))</f>
        <v/>
      </c>
      <c r="D92" s="22"/>
      <c r="E92" s="23"/>
      <c r="F92" s="22"/>
      <c r="G92" s="29"/>
      <c r="H92" s="30"/>
      <c r="I92" s="26" t="str">
        <f aca="false">IF($A92="","",N($G92)*N($H92))</f>
        <v/>
      </c>
      <c r="J92" s="26" t="str">
        <f aca="false">IF($A92="","",N($G92)+$I92)</f>
        <v/>
      </c>
      <c r="K92" s="23"/>
      <c r="L92" s="22"/>
      <c r="M92" s="22"/>
      <c r="N92" s="23"/>
      <c r="O92" s="27" t="str">
        <f aca="true">IF($A92="","",IF(AND(OR($L92="Sent",$L92="Approved"),$K92&lt;&gt;"",$K92&lt;TODAY()),"EXPIRED",""))</f>
        <v/>
      </c>
      <c r="P92" s="24"/>
      <c r="Q92" s="24"/>
    </row>
    <row r="93" customFormat="false" ht="15" hidden="false" customHeight="false" outlineLevel="0" collapsed="false">
      <c r="A93" s="22"/>
      <c r="B93" s="22"/>
      <c r="C93" s="28" t="str">
        <f aca="false">IF($B93="","",IFERROR(INDEX(Proposals!$C$6:$C$205,MATCH($B93,Proposals!$A$6:$A$205,0)),"Proposal not found"))</f>
        <v/>
      </c>
      <c r="D93" s="22"/>
      <c r="E93" s="23"/>
      <c r="F93" s="22"/>
      <c r="G93" s="29"/>
      <c r="H93" s="30"/>
      <c r="I93" s="26" t="str">
        <f aca="false">IF($A93="","",N($G93)*N($H93))</f>
        <v/>
      </c>
      <c r="J93" s="26" t="str">
        <f aca="false">IF($A93="","",N($G93)+$I93)</f>
        <v/>
      </c>
      <c r="K93" s="23"/>
      <c r="L93" s="22"/>
      <c r="M93" s="22"/>
      <c r="N93" s="23"/>
      <c r="O93" s="27" t="str">
        <f aca="true">IF($A93="","",IF(AND(OR($L93="Sent",$L93="Approved"),$K93&lt;&gt;"",$K93&lt;TODAY()),"EXPIRED",""))</f>
        <v/>
      </c>
      <c r="P93" s="24"/>
      <c r="Q93" s="24"/>
    </row>
    <row r="94" customFormat="false" ht="15" hidden="false" customHeight="false" outlineLevel="0" collapsed="false">
      <c r="A94" s="22"/>
      <c r="B94" s="22"/>
      <c r="C94" s="28" t="str">
        <f aca="false">IF($B94="","",IFERROR(INDEX(Proposals!$C$6:$C$205,MATCH($B94,Proposals!$A$6:$A$205,0)),"Proposal not found"))</f>
        <v/>
      </c>
      <c r="D94" s="22"/>
      <c r="E94" s="23"/>
      <c r="F94" s="22"/>
      <c r="G94" s="29"/>
      <c r="H94" s="30"/>
      <c r="I94" s="26" t="str">
        <f aca="false">IF($A94="","",N($G94)*N($H94))</f>
        <v/>
      </c>
      <c r="J94" s="26" t="str">
        <f aca="false">IF($A94="","",N($G94)+$I94)</f>
        <v/>
      </c>
      <c r="K94" s="23"/>
      <c r="L94" s="22"/>
      <c r="M94" s="22"/>
      <c r="N94" s="23"/>
      <c r="O94" s="27" t="str">
        <f aca="true">IF($A94="","",IF(AND(OR($L94="Sent",$L94="Approved"),$K94&lt;&gt;"",$K94&lt;TODAY()),"EXPIRED",""))</f>
        <v/>
      </c>
      <c r="P94" s="24"/>
      <c r="Q94" s="24"/>
    </row>
    <row r="95" customFormat="false" ht="15" hidden="false" customHeight="false" outlineLevel="0" collapsed="false">
      <c r="A95" s="22"/>
      <c r="B95" s="22"/>
      <c r="C95" s="28" t="str">
        <f aca="false">IF($B95="","",IFERROR(INDEX(Proposals!$C$6:$C$205,MATCH($B95,Proposals!$A$6:$A$205,0)),"Proposal not found"))</f>
        <v/>
      </c>
      <c r="D95" s="22"/>
      <c r="E95" s="23"/>
      <c r="F95" s="22"/>
      <c r="G95" s="29"/>
      <c r="H95" s="30"/>
      <c r="I95" s="26" t="str">
        <f aca="false">IF($A95="","",N($G95)*N($H95))</f>
        <v/>
      </c>
      <c r="J95" s="26" t="str">
        <f aca="false">IF($A95="","",N($G95)+$I95)</f>
        <v/>
      </c>
      <c r="K95" s="23"/>
      <c r="L95" s="22"/>
      <c r="M95" s="22"/>
      <c r="N95" s="23"/>
      <c r="O95" s="27" t="str">
        <f aca="true">IF($A95="","",IF(AND(OR($L95="Sent",$L95="Approved"),$K95&lt;&gt;"",$K95&lt;TODAY()),"EXPIRED",""))</f>
        <v/>
      </c>
      <c r="P95" s="24"/>
      <c r="Q95" s="24"/>
    </row>
    <row r="96" customFormat="false" ht="15" hidden="false" customHeight="false" outlineLevel="0" collapsed="false">
      <c r="A96" s="22"/>
      <c r="B96" s="22"/>
      <c r="C96" s="28" t="str">
        <f aca="false">IF($B96="","",IFERROR(INDEX(Proposals!$C$6:$C$205,MATCH($B96,Proposals!$A$6:$A$205,0)),"Proposal not found"))</f>
        <v/>
      </c>
      <c r="D96" s="22"/>
      <c r="E96" s="23"/>
      <c r="F96" s="22"/>
      <c r="G96" s="29"/>
      <c r="H96" s="30"/>
      <c r="I96" s="26" t="str">
        <f aca="false">IF($A96="","",N($G96)*N($H96))</f>
        <v/>
      </c>
      <c r="J96" s="26" t="str">
        <f aca="false">IF($A96="","",N($G96)+$I96)</f>
        <v/>
      </c>
      <c r="K96" s="23"/>
      <c r="L96" s="22"/>
      <c r="M96" s="22"/>
      <c r="N96" s="23"/>
      <c r="O96" s="27" t="str">
        <f aca="true">IF($A96="","",IF(AND(OR($L96="Sent",$L96="Approved"),$K96&lt;&gt;"",$K96&lt;TODAY()),"EXPIRED",""))</f>
        <v/>
      </c>
      <c r="P96" s="24"/>
      <c r="Q96" s="24"/>
    </row>
    <row r="97" customFormat="false" ht="15" hidden="false" customHeight="false" outlineLevel="0" collapsed="false">
      <c r="A97" s="22"/>
      <c r="B97" s="22"/>
      <c r="C97" s="28" t="str">
        <f aca="false">IF($B97="","",IFERROR(INDEX(Proposals!$C$6:$C$205,MATCH($B97,Proposals!$A$6:$A$205,0)),"Proposal not found"))</f>
        <v/>
      </c>
      <c r="D97" s="22"/>
      <c r="E97" s="23"/>
      <c r="F97" s="22"/>
      <c r="G97" s="29"/>
      <c r="H97" s="30"/>
      <c r="I97" s="26" t="str">
        <f aca="false">IF($A97="","",N($G97)*N($H97))</f>
        <v/>
      </c>
      <c r="J97" s="26" t="str">
        <f aca="false">IF($A97="","",N($G97)+$I97)</f>
        <v/>
      </c>
      <c r="K97" s="23"/>
      <c r="L97" s="22"/>
      <c r="M97" s="22"/>
      <c r="N97" s="23"/>
      <c r="O97" s="27" t="str">
        <f aca="true">IF($A97="","",IF(AND(OR($L97="Sent",$L97="Approved"),$K97&lt;&gt;"",$K97&lt;TODAY()),"EXPIRED",""))</f>
        <v/>
      </c>
      <c r="P97" s="24"/>
      <c r="Q97" s="24"/>
    </row>
    <row r="98" customFormat="false" ht="15" hidden="false" customHeight="false" outlineLevel="0" collapsed="false">
      <c r="A98" s="22"/>
      <c r="B98" s="22"/>
      <c r="C98" s="28" t="str">
        <f aca="false">IF($B98="","",IFERROR(INDEX(Proposals!$C$6:$C$205,MATCH($B98,Proposals!$A$6:$A$205,0)),"Proposal not found"))</f>
        <v/>
      </c>
      <c r="D98" s="22"/>
      <c r="E98" s="23"/>
      <c r="F98" s="22"/>
      <c r="G98" s="29"/>
      <c r="H98" s="30"/>
      <c r="I98" s="26" t="str">
        <f aca="false">IF($A98="","",N($G98)*N($H98))</f>
        <v/>
      </c>
      <c r="J98" s="26" t="str">
        <f aca="false">IF($A98="","",N($G98)+$I98)</f>
        <v/>
      </c>
      <c r="K98" s="23"/>
      <c r="L98" s="22"/>
      <c r="M98" s="22"/>
      <c r="N98" s="23"/>
      <c r="O98" s="27" t="str">
        <f aca="true">IF($A98="","",IF(AND(OR($L98="Sent",$L98="Approved"),$K98&lt;&gt;"",$K98&lt;TODAY()),"EXPIRED",""))</f>
        <v/>
      </c>
      <c r="P98" s="24"/>
      <c r="Q98" s="24"/>
    </row>
    <row r="99" customFormat="false" ht="15" hidden="false" customHeight="false" outlineLevel="0" collapsed="false">
      <c r="A99" s="22"/>
      <c r="B99" s="22"/>
      <c r="C99" s="28" t="str">
        <f aca="false">IF($B99="","",IFERROR(INDEX(Proposals!$C$6:$C$205,MATCH($B99,Proposals!$A$6:$A$205,0)),"Proposal not found"))</f>
        <v/>
      </c>
      <c r="D99" s="22"/>
      <c r="E99" s="23"/>
      <c r="F99" s="22"/>
      <c r="G99" s="29"/>
      <c r="H99" s="30"/>
      <c r="I99" s="26" t="str">
        <f aca="false">IF($A99="","",N($G99)*N($H99))</f>
        <v/>
      </c>
      <c r="J99" s="26" t="str">
        <f aca="false">IF($A99="","",N($G99)+$I99)</f>
        <v/>
      </c>
      <c r="K99" s="23"/>
      <c r="L99" s="22"/>
      <c r="M99" s="22"/>
      <c r="N99" s="23"/>
      <c r="O99" s="27" t="str">
        <f aca="true">IF($A99="","",IF(AND(OR($L99="Sent",$L99="Approved"),$K99&lt;&gt;"",$K99&lt;TODAY()),"EXPIRED",""))</f>
        <v/>
      </c>
      <c r="P99" s="24"/>
      <c r="Q99" s="24"/>
    </row>
    <row r="100" customFormat="false" ht="15" hidden="false" customHeight="false" outlineLevel="0" collapsed="false">
      <c r="A100" s="22"/>
      <c r="B100" s="22"/>
      <c r="C100" s="28" t="str">
        <f aca="false">IF($B100="","",IFERROR(INDEX(Proposals!$C$6:$C$205,MATCH($B100,Proposals!$A$6:$A$205,0)),"Proposal not found"))</f>
        <v/>
      </c>
      <c r="D100" s="22"/>
      <c r="E100" s="23"/>
      <c r="F100" s="22"/>
      <c r="G100" s="29"/>
      <c r="H100" s="30"/>
      <c r="I100" s="26" t="str">
        <f aca="false">IF($A100="","",N($G100)*N($H100))</f>
        <v/>
      </c>
      <c r="J100" s="26" t="str">
        <f aca="false">IF($A100="","",N($G100)+$I100)</f>
        <v/>
      </c>
      <c r="K100" s="23"/>
      <c r="L100" s="22"/>
      <c r="M100" s="22"/>
      <c r="N100" s="23"/>
      <c r="O100" s="27" t="str">
        <f aca="true">IF($A100="","",IF(AND(OR($L100="Sent",$L100="Approved"),$K100&lt;&gt;"",$K100&lt;TODAY()),"EXPIRED",""))</f>
        <v/>
      </c>
      <c r="P100" s="24"/>
      <c r="Q100" s="24"/>
    </row>
    <row r="101" customFormat="false" ht="15" hidden="false" customHeight="false" outlineLevel="0" collapsed="false">
      <c r="A101" s="22"/>
      <c r="B101" s="22"/>
      <c r="C101" s="28" t="str">
        <f aca="false">IF($B101="","",IFERROR(INDEX(Proposals!$C$6:$C$205,MATCH($B101,Proposals!$A$6:$A$205,0)),"Proposal not found"))</f>
        <v/>
      </c>
      <c r="D101" s="22"/>
      <c r="E101" s="23"/>
      <c r="F101" s="22"/>
      <c r="G101" s="29"/>
      <c r="H101" s="30"/>
      <c r="I101" s="26" t="str">
        <f aca="false">IF($A101="","",N($G101)*N($H101))</f>
        <v/>
      </c>
      <c r="J101" s="26" t="str">
        <f aca="false">IF($A101="","",N($G101)+$I101)</f>
        <v/>
      </c>
      <c r="K101" s="23"/>
      <c r="L101" s="22"/>
      <c r="M101" s="22"/>
      <c r="N101" s="23"/>
      <c r="O101" s="27" t="str">
        <f aca="true">IF($A101="","",IF(AND(OR($L101="Sent",$L101="Approved"),$K101&lt;&gt;"",$K101&lt;TODAY()),"EXPIRED",""))</f>
        <v/>
      </c>
      <c r="P101" s="24"/>
      <c r="Q101" s="24"/>
    </row>
    <row r="102" customFormat="false" ht="15" hidden="false" customHeight="false" outlineLevel="0" collapsed="false">
      <c r="A102" s="22"/>
      <c r="B102" s="22"/>
      <c r="C102" s="28" t="str">
        <f aca="false">IF($B102="","",IFERROR(INDEX(Proposals!$C$6:$C$205,MATCH($B102,Proposals!$A$6:$A$205,0)),"Proposal not found"))</f>
        <v/>
      </c>
      <c r="D102" s="22"/>
      <c r="E102" s="23"/>
      <c r="F102" s="22"/>
      <c r="G102" s="29"/>
      <c r="H102" s="30"/>
      <c r="I102" s="26" t="str">
        <f aca="false">IF($A102="","",N($G102)*N($H102))</f>
        <v/>
      </c>
      <c r="J102" s="26" t="str">
        <f aca="false">IF($A102="","",N($G102)+$I102)</f>
        <v/>
      </c>
      <c r="K102" s="23"/>
      <c r="L102" s="22"/>
      <c r="M102" s="22"/>
      <c r="N102" s="23"/>
      <c r="O102" s="27" t="str">
        <f aca="true">IF($A102="","",IF(AND(OR($L102="Sent",$L102="Approved"),$K102&lt;&gt;"",$K102&lt;TODAY()),"EXPIRED",""))</f>
        <v/>
      </c>
      <c r="P102" s="24"/>
      <c r="Q102" s="24"/>
    </row>
    <row r="103" customFormat="false" ht="15" hidden="false" customHeight="false" outlineLevel="0" collapsed="false">
      <c r="A103" s="22"/>
      <c r="B103" s="22"/>
      <c r="C103" s="28" t="str">
        <f aca="false">IF($B103="","",IFERROR(INDEX(Proposals!$C$6:$C$205,MATCH($B103,Proposals!$A$6:$A$205,0)),"Proposal not found"))</f>
        <v/>
      </c>
      <c r="D103" s="22"/>
      <c r="E103" s="23"/>
      <c r="F103" s="22"/>
      <c r="G103" s="29"/>
      <c r="H103" s="30"/>
      <c r="I103" s="26" t="str">
        <f aca="false">IF($A103="","",N($G103)*N($H103))</f>
        <v/>
      </c>
      <c r="J103" s="26" t="str">
        <f aca="false">IF($A103="","",N($G103)+$I103)</f>
        <v/>
      </c>
      <c r="K103" s="23"/>
      <c r="L103" s="22"/>
      <c r="M103" s="22"/>
      <c r="N103" s="23"/>
      <c r="O103" s="27" t="str">
        <f aca="true">IF($A103="","",IF(AND(OR($L103="Sent",$L103="Approved"),$K103&lt;&gt;"",$K103&lt;TODAY()),"EXPIRED",""))</f>
        <v/>
      </c>
      <c r="P103" s="24"/>
      <c r="Q103" s="24"/>
    </row>
    <row r="104" customFormat="false" ht="15" hidden="false" customHeight="false" outlineLevel="0" collapsed="false">
      <c r="A104" s="22"/>
      <c r="B104" s="22"/>
      <c r="C104" s="28" t="str">
        <f aca="false">IF($B104="","",IFERROR(INDEX(Proposals!$C$6:$C$205,MATCH($B104,Proposals!$A$6:$A$205,0)),"Proposal not found"))</f>
        <v/>
      </c>
      <c r="D104" s="22"/>
      <c r="E104" s="23"/>
      <c r="F104" s="22"/>
      <c r="G104" s="29"/>
      <c r="H104" s="30"/>
      <c r="I104" s="26" t="str">
        <f aca="false">IF($A104="","",N($G104)*N($H104))</f>
        <v/>
      </c>
      <c r="J104" s="26" t="str">
        <f aca="false">IF($A104="","",N($G104)+$I104)</f>
        <v/>
      </c>
      <c r="K104" s="23"/>
      <c r="L104" s="22"/>
      <c r="M104" s="22"/>
      <c r="N104" s="23"/>
      <c r="O104" s="27" t="str">
        <f aca="true">IF($A104="","",IF(AND(OR($L104="Sent",$L104="Approved"),$K104&lt;&gt;"",$K104&lt;TODAY()),"EXPIRED",""))</f>
        <v/>
      </c>
      <c r="P104" s="24"/>
      <c r="Q104" s="24"/>
    </row>
    <row r="105" customFormat="false" ht="15" hidden="false" customHeight="false" outlineLevel="0" collapsed="false">
      <c r="A105" s="22"/>
      <c r="B105" s="22"/>
      <c r="C105" s="28" t="str">
        <f aca="false">IF($B105="","",IFERROR(INDEX(Proposals!$C$6:$C$205,MATCH($B105,Proposals!$A$6:$A$205,0)),"Proposal not found"))</f>
        <v/>
      </c>
      <c r="D105" s="22"/>
      <c r="E105" s="23"/>
      <c r="F105" s="22"/>
      <c r="G105" s="29"/>
      <c r="H105" s="30"/>
      <c r="I105" s="26" t="str">
        <f aca="false">IF($A105="","",N($G105)*N($H105))</f>
        <v/>
      </c>
      <c r="J105" s="26" t="str">
        <f aca="false">IF($A105="","",N($G105)+$I105)</f>
        <v/>
      </c>
      <c r="K105" s="23"/>
      <c r="L105" s="22"/>
      <c r="M105" s="22"/>
      <c r="N105" s="23"/>
      <c r="O105" s="27" t="str">
        <f aca="true">IF($A105="","",IF(AND(OR($L105="Sent",$L105="Approved"),$K105&lt;&gt;"",$K105&lt;TODAY()),"EXPIRED",""))</f>
        <v/>
      </c>
      <c r="P105" s="24"/>
      <c r="Q105" s="24"/>
    </row>
    <row r="106" customFormat="false" ht="15" hidden="false" customHeight="false" outlineLevel="0" collapsed="false">
      <c r="A106" s="22"/>
      <c r="B106" s="22"/>
      <c r="C106" s="28" t="str">
        <f aca="false">IF($B106="","",IFERROR(INDEX(Proposals!$C$6:$C$205,MATCH($B106,Proposals!$A$6:$A$205,0)),"Proposal not found"))</f>
        <v/>
      </c>
      <c r="D106" s="22"/>
      <c r="E106" s="23"/>
      <c r="F106" s="22"/>
      <c r="G106" s="29"/>
      <c r="H106" s="30"/>
      <c r="I106" s="26" t="str">
        <f aca="false">IF($A106="","",N($G106)*N($H106))</f>
        <v/>
      </c>
      <c r="J106" s="26" t="str">
        <f aca="false">IF($A106="","",N($G106)+$I106)</f>
        <v/>
      </c>
      <c r="K106" s="23"/>
      <c r="L106" s="22"/>
      <c r="M106" s="22"/>
      <c r="N106" s="23"/>
      <c r="O106" s="27" t="str">
        <f aca="true">IF($A106="","",IF(AND(OR($L106="Sent",$L106="Approved"),$K106&lt;&gt;"",$K106&lt;TODAY()),"EXPIRED",""))</f>
        <v/>
      </c>
      <c r="P106" s="24"/>
      <c r="Q106" s="24"/>
    </row>
    <row r="107" customFormat="false" ht="15" hidden="false" customHeight="false" outlineLevel="0" collapsed="false">
      <c r="A107" s="22"/>
      <c r="B107" s="22"/>
      <c r="C107" s="28" t="str">
        <f aca="false">IF($B107="","",IFERROR(INDEX(Proposals!$C$6:$C$205,MATCH($B107,Proposals!$A$6:$A$205,0)),"Proposal not found"))</f>
        <v/>
      </c>
      <c r="D107" s="22"/>
      <c r="E107" s="23"/>
      <c r="F107" s="22"/>
      <c r="G107" s="29"/>
      <c r="H107" s="30"/>
      <c r="I107" s="26" t="str">
        <f aca="false">IF($A107="","",N($G107)*N($H107))</f>
        <v/>
      </c>
      <c r="J107" s="26" t="str">
        <f aca="false">IF($A107="","",N($G107)+$I107)</f>
        <v/>
      </c>
      <c r="K107" s="23"/>
      <c r="L107" s="22"/>
      <c r="M107" s="22"/>
      <c r="N107" s="23"/>
      <c r="O107" s="27" t="str">
        <f aca="true">IF($A107="","",IF(AND(OR($L107="Sent",$L107="Approved"),$K107&lt;&gt;"",$K107&lt;TODAY()),"EXPIRED",""))</f>
        <v/>
      </c>
      <c r="P107" s="24"/>
      <c r="Q107" s="24"/>
    </row>
    <row r="108" customFormat="false" ht="15" hidden="false" customHeight="false" outlineLevel="0" collapsed="false">
      <c r="A108" s="22"/>
      <c r="B108" s="22"/>
      <c r="C108" s="28" t="str">
        <f aca="false">IF($B108="","",IFERROR(INDEX(Proposals!$C$6:$C$205,MATCH($B108,Proposals!$A$6:$A$205,0)),"Proposal not found"))</f>
        <v/>
      </c>
      <c r="D108" s="22"/>
      <c r="E108" s="23"/>
      <c r="F108" s="22"/>
      <c r="G108" s="29"/>
      <c r="H108" s="30"/>
      <c r="I108" s="26" t="str">
        <f aca="false">IF($A108="","",N($G108)*N($H108))</f>
        <v/>
      </c>
      <c r="J108" s="26" t="str">
        <f aca="false">IF($A108="","",N($G108)+$I108)</f>
        <v/>
      </c>
      <c r="K108" s="23"/>
      <c r="L108" s="22"/>
      <c r="M108" s="22"/>
      <c r="N108" s="23"/>
      <c r="O108" s="27" t="str">
        <f aca="true">IF($A108="","",IF(AND(OR($L108="Sent",$L108="Approved"),$K108&lt;&gt;"",$K108&lt;TODAY()),"EXPIRED",""))</f>
        <v/>
      </c>
      <c r="P108" s="24"/>
      <c r="Q108" s="24"/>
    </row>
    <row r="109" customFormat="false" ht="15" hidden="false" customHeight="false" outlineLevel="0" collapsed="false">
      <c r="A109" s="22"/>
      <c r="B109" s="22"/>
      <c r="C109" s="28" t="str">
        <f aca="false">IF($B109="","",IFERROR(INDEX(Proposals!$C$6:$C$205,MATCH($B109,Proposals!$A$6:$A$205,0)),"Proposal not found"))</f>
        <v/>
      </c>
      <c r="D109" s="22"/>
      <c r="E109" s="23"/>
      <c r="F109" s="22"/>
      <c r="G109" s="29"/>
      <c r="H109" s="30"/>
      <c r="I109" s="26" t="str">
        <f aca="false">IF($A109="","",N($G109)*N($H109))</f>
        <v/>
      </c>
      <c r="J109" s="26" t="str">
        <f aca="false">IF($A109="","",N($G109)+$I109)</f>
        <v/>
      </c>
      <c r="K109" s="23"/>
      <c r="L109" s="22"/>
      <c r="M109" s="22"/>
      <c r="N109" s="23"/>
      <c r="O109" s="27" t="str">
        <f aca="true">IF($A109="","",IF(AND(OR($L109="Sent",$L109="Approved"),$K109&lt;&gt;"",$K109&lt;TODAY()),"EXPIRED",""))</f>
        <v/>
      </c>
      <c r="P109" s="24"/>
      <c r="Q109" s="24"/>
    </row>
    <row r="110" customFormat="false" ht="15" hidden="false" customHeight="false" outlineLevel="0" collapsed="false">
      <c r="A110" s="22"/>
      <c r="B110" s="22"/>
      <c r="C110" s="28" t="str">
        <f aca="false">IF($B110="","",IFERROR(INDEX(Proposals!$C$6:$C$205,MATCH($B110,Proposals!$A$6:$A$205,0)),"Proposal not found"))</f>
        <v/>
      </c>
      <c r="D110" s="22"/>
      <c r="E110" s="23"/>
      <c r="F110" s="22"/>
      <c r="G110" s="29"/>
      <c r="H110" s="30"/>
      <c r="I110" s="26" t="str">
        <f aca="false">IF($A110="","",N($G110)*N($H110))</f>
        <v/>
      </c>
      <c r="J110" s="26" t="str">
        <f aca="false">IF($A110="","",N($G110)+$I110)</f>
        <v/>
      </c>
      <c r="K110" s="23"/>
      <c r="L110" s="22"/>
      <c r="M110" s="22"/>
      <c r="N110" s="23"/>
      <c r="O110" s="27" t="str">
        <f aca="true">IF($A110="","",IF(AND(OR($L110="Sent",$L110="Approved"),$K110&lt;&gt;"",$K110&lt;TODAY()),"EXPIRED",""))</f>
        <v/>
      </c>
      <c r="P110" s="24"/>
      <c r="Q110" s="24"/>
    </row>
    <row r="111" customFormat="false" ht="15" hidden="false" customHeight="false" outlineLevel="0" collapsed="false">
      <c r="A111" s="22"/>
      <c r="B111" s="22"/>
      <c r="C111" s="28" t="str">
        <f aca="false">IF($B111="","",IFERROR(INDEX(Proposals!$C$6:$C$205,MATCH($B111,Proposals!$A$6:$A$205,0)),"Proposal not found"))</f>
        <v/>
      </c>
      <c r="D111" s="22"/>
      <c r="E111" s="23"/>
      <c r="F111" s="22"/>
      <c r="G111" s="29"/>
      <c r="H111" s="30"/>
      <c r="I111" s="26" t="str">
        <f aca="false">IF($A111="","",N($G111)*N($H111))</f>
        <v/>
      </c>
      <c r="J111" s="26" t="str">
        <f aca="false">IF($A111="","",N($G111)+$I111)</f>
        <v/>
      </c>
      <c r="K111" s="23"/>
      <c r="L111" s="22"/>
      <c r="M111" s="22"/>
      <c r="N111" s="23"/>
      <c r="O111" s="27" t="str">
        <f aca="true">IF($A111="","",IF(AND(OR($L111="Sent",$L111="Approved"),$K111&lt;&gt;"",$K111&lt;TODAY()),"EXPIRED",""))</f>
        <v/>
      </c>
      <c r="P111" s="24"/>
      <c r="Q111" s="24"/>
    </row>
    <row r="112" customFormat="false" ht="15" hidden="false" customHeight="false" outlineLevel="0" collapsed="false">
      <c r="A112" s="22"/>
      <c r="B112" s="22"/>
      <c r="C112" s="28" t="str">
        <f aca="false">IF($B112="","",IFERROR(INDEX(Proposals!$C$6:$C$205,MATCH($B112,Proposals!$A$6:$A$205,0)),"Proposal not found"))</f>
        <v/>
      </c>
      <c r="D112" s="22"/>
      <c r="E112" s="23"/>
      <c r="F112" s="22"/>
      <c r="G112" s="29"/>
      <c r="H112" s="30"/>
      <c r="I112" s="26" t="str">
        <f aca="false">IF($A112="","",N($G112)*N($H112))</f>
        <v/>
      </c>
      <c r="J112" s="26" t="str">
        <f aca="false">IF($A112="","",N($G112)+$I112)</f>
        <v/>
      </c>
      <c r="K112" s="23"/>
      <c r="L112" s="22"/>
      <c r="M112" s="22"/>
      <c r="N112" s="23"/>
      <c r="O112" s="27" t="str">
        <f aca="true">IF($A112="","",IF(AND(OR($L112="Sent",$L112="Approved"),$K112&lt;&gt;"",$K112&lt;TODAY()),"EXPIRED",""))</f>
        <v/>
      </c>
      <c r="P112" s="24"/>
      <c r="Q112" s="24"/>
    </row>
    <row r="113" customFormat="false" ht="15" hidden="false" customHeight="false" outlineLevel="0" collapsed="false">
      <c r="A113" s="22"/>
      <c r="B113" s="22"/>
      <c r="C113" s="28" t="str">
        <f aca="false">IF($B113="","",IFERROR(INDEX(Proposals!$C$6:$C$205,MATCH($B113,Proposals!$A$6:$A$205,0)),"Proposal not found"))</f>
        <v/>
      </c>
      <c r="D113" s="22"/>
      <c r="E113" s="23"/>
      <c r="F113" s="22"/>
      <c r="G113" s="29"/>
      <c r="H113" s="30"/>
      <c r="I113" s="26" t="str">
        <f aca="false">IF($A113="","",N($G113)*N($H113))</f>
        <v/>
      </c>
      <c r="J113" s="26" t="str">
        <f aca="false">IF($A113="","",N($G113)+$I113)</f>
        <v/>
      </c>
      <c r="K113" s="23"/>
      <c r="L113" s="22"/>
      <c r="M113" s="22"/>
      <c r="N113" s="23"/>
      <c r="O113" s="27" t="str">
        <f aca="true">IF($A113="","",IF(AND(OR($L113="Sent",$L113="Approved"),$K113&lt;&gt;"",$K113&lt;TODAY()),"EXPIRED",""))</f>
        <v/>
      </c>
      <c r="P113" s="24"/>
      <c r="Q113" s="24"/>
    </row>
    <row r="114" customFormat="false" ht="15" hidden="false" customHeight="false" outlineLevel="0" collapsed="false">
      <c r="A114" s="22"/>
      <c r="B114" s="22"/>
      <c r="C114" s="28" t="str">
        <f aca="false">IF($B114="","",IFERROR(INDEX(Proposals!$C$6:$C$205,MATCH($B114,Proposals!$A$6:$A$205,0)),"Proposal not found"))</f>
        <v/>
      </c>
      <c r="D114" s="22"/>
      <c r="E114" s="23"/>
      <c r="F114" s="22"/>
      <c r="G114" s="29"/>
      <c r="H114" s="30"/>
      <c r="I114" s="26" t="str">
        <f aca="false">IF($A114="","",N($G114)*N($H114))</f>
        <v/>
      </c>
      <c r="J114" s="26" t="str">
        <f aca="false">IF($A114="","",N($G114)+$I114)</f>
        <v/>
      </c>
      <c r="K114" s="23"/>
      <c r="L114" s="22"/>
      <c r="M114" s="22"/>
      <c r="N114" s="23"/>
      <c r="O114" s="27" t="str">
        <f aca="true">IF($A114="","",IF(AND(OR($L114="Sent",$L114="Approved"),$K114&lt;&gt;"",$K114&lt;TODAY()),"EXPIRED",""))</f>
        <v/>
      </c>
      <c r="P114" s="24"/>
      <c r="Q114" s="24"/>
    </row>
    <row r="115" customFormat="false" ht="15" hidden="false" customHeight="false" outlineLevel="0" collapsed="false">
      <c r="A115" s="22"/>
      <c r="B115" s="22"/>
      <c r="C115" s="28" t="str">
        <f aca="false">IF($B115="","",IFERROR(INDEX(Proposals!$C$6:$C$205,MATCH($B115,Proposals!$A$6:$A$205,0)),"Proposal not found"))</f>
        <v/>
      </c>
      <c r="D115" s="22"/>
      <c r="E115" s="23"/>
      <c r="F115" s="22"/>
      <c r="G115" s="29"/>
      <c r="H115" s="30"/>
      <c r="I115" s="26" t="str">
        <f aca="false">IF($A115="","",N($G115)*N($H115))</f>
        <v/>
      </c>
      <c r="J115" s="26" t="str">
        <f aca="false">IF($A115="","",N($G115)+$I115)</f>
        <v/>
      </c>
      <c r="K115" s="23"/>
      <c r="L115" s="22"/>
      <c r="M115" s="22"/>
      <c r="N115" s="23"/>
      <c r="O115" s="27" t="str">
        <f aca="true">IF($A115="","",IF(AND(OR($L115="Sent",$L115="Approved"),$K115&lt;&gt;"",$K115&lt;TODAY()),"EXPIRED",""))</f>
        <v/>
      </c>
      <c r="P115" s="24"/>
      <c r="Q115" s="24"/>
    </row>
    <row r="116" customFormat="false" ht="15" hidden="false" customHeight="false" outlineLevel="0" collapsed="false">
      <c r="A116" s="22"/>
      <c r="B116" s="22"/>
      <c r="C116" s="28" t="str">
        <f aca="false">IF($B116="","",IFERROR(INDEX(Proposals!$C$6:$C$205,MATCH($B116,Proposals!$A$6:$A$205,0)),"Proposal not found"))</f>
        <v/>
      </c>
      <c r="D116" s="22"/>
      <c r="E116" s="23"/>
      <c r="F116" s="22"/>
      <c r="G116" s="29"/>
      <c r="H116" s="30"/>
      <c r="I116" s="26" t="str">
        <f aca="false">IF($A116="","",N($G116)*N($H116))</f>
        <v/>
      </c>
      <c r="J116" s="26" t="str">
        <f aca="false">IF($A116="","",N($G116)+$I116)</f>
        <v/>
      </c>
      <c r="K116" s="23"/>
      <c r="L116" s="22"/>
      <c r="M116" s="22"/>
      <c r="N116" s="23"/>
      <c r="O116" s="27" t="str">
        <f aca="true">IF($A116="","",IF(AND(OR($L116="Sent",$L116="Approved"),$K116&lt;&gt;"",$K116&lt;TODAY()),"EXPIRED",""))</f>
        <v/>
      </c>
      <c r="P116" s="24"/>
      <c r="Q116" s="24"/>
    </row>
    <row r="117" customFormat="false" ht="15" hidden="false" customHeight="false" outlineLevel="0" collapsed="false">
      <c r="A117" s="22"/>
      <c r="B117" s="22"/>
      <c r="C117" s="28" t="str">
        <f aca="false">IF($B117="","",IFERROR(INDEX(Proposals!$C$6:$C$205,MATCH($B117,Proposals!$A$6:$A$205,0)),"Proposal not found"))</f>
        <v/>
      </c>
      <c r="D117" s="22"/>
      <c r="E117" s="23"/>
      <c r="F117" s="22"/>
      <c r="G117" s="29"/>
      <c r="H117" s="30"/>
      <c r="I117" s="26" t="str">
        <f aca="false">IF($A117="","",N($G117)*N($H117))</f>
        <v/>
      </c>
      <c r="J117" s="26" t="str">
        <f aca="false">IF($A117="","",N($G117)+$I117)</f>
        <v/>
      </c>
      <c r="K117" s="23"/>
      <c r="L117" s="22"/>
      <c r="M117" s="22"/>
      <c r="N117" s="23"/>
      <c r="O117" s="27" t="str">
        <f aca="true">IF($A117="","",IF(AND(OR($L117="Sent",$L117="Approved"),$K117&lt;&gt;"",$K117&lt;TODAY()),"EXPIRED",""))</f>
        <v/>
      </c>
      <c r="P117" s="24"/>
      <c r="Q117" s="24"/>
    </row>
    <row r="118" customFormat="false" ht="15" hidden="false" customHeight="false" outlineLevel="0" collapsed="false">
      <c r="A118" s="22"/>
      <c r="B118" s="22"/>
      <c r="C118" s="28" t="str">
        <f aca="false">IF($B118="","",IFERROR(INDEX(Proposals!$C$6:$C$205,MATCH($B118,Proposals!$A$6:$A$205,0)),"Proposal not found"))</f>
        <v/>
      </c>
      <c r="D118" s="22"/>
      <c r="E118" s="23"/>
      <c r="F118" s="22"/>
      <c r="G118" s="29"/>
      <c r="H118" s="30"/>
      <c r="I118" s="26" t="str">
        <f aca="false">IF($A118="","",N($G118)*N($H118))</f>
        <v/>
      </c>
      <c r="J118" s="26" t="str">
        <f aca="false">IF($A118="","",N($G118)+$I118)</f>
        <v/>
      </c>
      <c r="K118" s="23"/>
      <c r="L118" s="22"/>
      <c r="M118" s="22"/>
      <c r="N118" s="23"/>
      <c r="O118" s="27" t="str">
        <f aca="true">IF($A118="","",IF(AND(OR($L118="Sent",$L118="Approved"),$K118&lt;&gt;"",$K118&lt;TODAY()),"EXPIRED",""))</f>
        <v/>
      </c>
      <c r="P118" s="24"/>
      <c r="Q118" s="24"/>
    </row>
    <row r="119" customFormat="false" ht="15" hidden="false" customHeight="false" outlineLevel="0" collapsed="false">
      <c r="A119" s="22"/>
      <c r="B119" s="22"/>
      <c r="C119" s="28" t="str">
        <f aca="false">IF($B119="","",IFERROR(INDEX(Proposals!$C$6:$C$205,MATCH($B119,Proposals!$A$6:$A$205,0)),"Proposal not found"))</f>
        <v/>
      </c>
      <c r="D119" s="22"/>
      <c r="E119" s="23"/>
      <c r="F119" s="22"/>
      <c r="G119" s="29"/>
      <c r="H119" s="30"/>
      <c r="I119" s="26" t="str">
        <f aca="false">IF($A119="","",N($G119)*N($H119))</f>
        <v/>
      </c>
      <c r="J119" s="26" t="str">
        <f aca="false">IF($A119="","",N($G119)+$I119)</f>
        <v/>
      </c>
      <c r="K119" s="23"/>
      <c r="L119" s="22"/>
      <c r="M119" s="22"/>
      <c r="N119" s="23"/>
      <c r="O119" s="27" t="str">
        <f aca="true">IF($A119="","",IF(AND(OR($L119="Sent",$L119="Approved"),$K119&lt;&gt;"",$K119&lt;TODAY()),"EXPIRED",""))</f>
        <v/>
      </c>
      <c r="P119" s="24"/>
      <c r="Q119" s="24"/>
    </row>
    <row r="120" customFormat="false" ht="15" hidden="false" customHeight="false" outlineLevel="0" collapsed="false">
      <c r="A120" s="22"/>
      <c r="B120" s="22"/>
      <c r="C120" s="28" t="str">
        <f aca="false">IF($B120="","",IFERROR(INDEX(Proposals!$C$6:$C$205,MATCH($B120,Proposals!$A$6:$A$205,0)),"Proposal not found"))</f>
        <v/>
      </c>
      <c r="D120" s="22"/>
      <c r="E120" s="23"/>
      <c r="F120" s="22"/>
      <c r="G120" s="29"/>
      <c r="H120" s="30"/>
      <c r="I120" s="26" t="str">
        <f aca="false">IF($A120="","",N($G120)*N($H120))</f>
        <v/>
      </c>
      <c r="J120" s="26" t="str">
        <f aca="false">IF($A120="","",N($G120)+$I120)</f>
        <v/>
      </c>
      <c r="K120" s="23"/>
      <c r="L120" s="22"/>
      <c r="M120" s="22"/>
      <c r="N120" s="23"/>
      <c r="O120" s="27" t="str">
        <f aca="true">IF($A120="","",IF(AND(OR($L120="Sent",$L120="Approved"),$K120&lt;&gt;"",$K120&lt;TODAY()),"EXPIRED",""))</f>
        <v/>
      </c>
      <c r="P120" s="24"/>
      <c r="Q120" s="24"/>
    </row>
    <row r="121" customFormat="false" ht="15" hidden="false" customHeight="false" outlineLevel="0" collapsed="false">
      <c r="A121" s="22"/>
      <c r="B121" s="22"/>
      <c r="C121" s="28" t="str">
        <f aca="false">IF($B121="","",IFERROR(INDEX(Proposals!$C$6:$C$205,MATCH($B121,Proposals!$A$6:$A$205,0)),"Proposal not found"))</f>
        <v/>
      </c>
      <c r="D121" s="22"/>
      <c r="E121" s="23"/>
      <c r="F121" s="22"/>
      <c r="G121" s="29"/>
      <c r="H121" s="30"/>
      <c r="I121" s="26" t="str">
        <f aca="false">IF($A121="","",N($G121)*N($H121))</f>
        <v/>
      </c>
      <c r="J121" s="26" t="str">
        <f aca="false">IF($A121="","",N($G121)+$I121)</f>
        <v/>
      </c>
      <c r="K121" s="23"/>
      <c r="L121" s="22"/>
      <c r="M121" s="22"/>
      <c r="N121" s="23"/>
      <c r="O121" s="27" t="str">
        <f aca="true">IF($A121="","",IF(AND(OR($L121="Sent",$L121="Approved"),$K121&lt;&gt;"",$K121&lt;TODAY()),"EXPIRED",""))</f>
        <v/>
      </c>
      <c r="P121" s="24"/>
      <c r="Q121" s="24"/>
    </row>
    <row r="122" customFormat="false" ht="15" hidden="false" customHeight="false" outlineLevel="0" collapsed="false">
      <c r="A122" s="22"/>
      <c r="B122" s="22"/>
      <c r="C122" s="28" t="str">
        <f aca="false">IF($B122="","",IFERROR(INDEX(Proposals!$C$6:$C$205,MATCH($B122,Proposals!$A$6:$A$205,0)),"Proposal not found"))</f>
        <v/>
      </c>
      <c r="D122" s="22"/>
      <c r="E122" s="23"/>
      <c r="F122" s="22"/>
      <c r="G122" s="29"/>
      <c r="H122" s="30"/>
      <c r="I122" s="26" t="str">
        <f aca="false">IF($A122="","",N($G122)*N($H122))</f>
        <v/>
      </c>
      <c r="J122" s="26" t="str">
        <f aca="false">IF($A122="","",N($G122)+$I122)</f>
        <v/>
      </c>
      <c r="K122" s="23"/>
      <c r="L122" s="22"/>
      <c r="M122" s="22"/>
      <c r="N122" s="23"/>
      <c r="O122" s="27" t="str">
        <f aca="true">IF($A122="","",IF(AND(OR($L122="Sent",$L122="Approved"),$K122&lt;&gt;"",$K122&lt;TODAY()),"EXPIRED",""))</f>
        <v/>
      </c>
      <c r="P122" s="24"/>
      <c r="Q122" s="24"/>
    </row>
    <row r="123" customFormat="false" ht="15" hidden="false" customHeight="false" outlineLevel="0" collapsed="false">
      <c r="A123" s="22"/>
      <c r="B123" s="22"/>
      <c r="C123" s="28" t="str">
        <f aca="false">IF($B123="","",IFERROR(INDEX(Proposals!$C$6:$C$205,MATCH($B123,Proposals!$A$6:$A$205,0)),"Proposal not found"))</f>
        <v/>
      </c>
      <c r="D123" s="22"/>
      <c r="E123" s="23"/>
      <c r="F123" s="22"/>
      <c r="G123" s="29"/>
      <c r="H123" s="30"/>
      <c r="I123" s="26" t="str">
        <f aca="false">IF($A123="","",N($G123)*N($H123))</f>
        <v/>
      </c>
      <c r="J123" s="26" t="str">
        <f aca="false">IF($A123="","",N($G123)+$I123)</f>
        <v/>
      </c>
      <c r="K123" s="23"/>
      <c r="L123" s="22"/>
      <c r="M123" s="22"/>
      <c r="N123" s="23"/>
      <c r="O123" s="27" t="str">
        <f aca="true">IF($A123="","",IF(AND(OR($L123="Sent",$L123="Approved"),$K123&lt;&gt;"",$K123&lt;TODAY()),"EXPIRED",""))</f>
        <v/>
      </c>
      <c r="P123" s="24"/>
      <c r="Q123" s="24"/>
    </row>
    <row r="124" customFormat="false" ht="15" hidden="false" customHeight="false" outlineLevel="0" collapsed="false">
      <c r="A124" s="22"/>
      <c r="B124" s="22"/>
      <c r="C124" s="28" t="str">
        <f aca="false">IF($B124="","",IFERROR(INDEX(Proposals!$C$6:$C$205,MATCH($B124,Proposals!$A$6:$A$205,0)),"Proposal not found"))</f>
        <v/>
      </c>
      <c r="D124" s="22"/>
      <c r="E124" s="23"/>
      <c r="F124" s="22"/>
      <c r="G124" s="29"/>
      <c r="H124" s="30"/>
      <c r="I124" s="26" t="str">
        <f aca="false">IF($A124="","",N($G124)*N($H124))</f>
        <v/>
      </c>
      <c r="J124" s="26" t="str">
        <f aca="false">IF($A124="","",N($G124)+$I124)</f>
        <v/>
      </c>
      <c r="K124" s="23"/>
      <c r="L124" s="22"/>
      <c r="M124" s="22"/>
      <c r="N124" s="23"/>
      <c r="O124" s="27" t="str">
        <f aca="true">IF($A124="","",IF(AND(OR($L124="Sent",$L124="Approved"),$K124&lt;&gt;"",$K124&lt;TODAY()),"EXPIRED",""))</f>
        <v/>
      </c>
      <c r="P124" s="24"/>
      <c r="Q124" s="24"/>
    </row>
    <row r="125" customFormat="false" ht="15" hidden="false" customHeight="false" outlineLevel="0" collapsed="false">
      <c r="A125" s="22"/>
      <c r="B125" s="22"/>
      <c r="C125" s="28" t="str">
        <f aca="false">IF($B125="","",IFERROR(INDEX(Proposals!$C$6:$C$205,MATCH($B125,Proposals!$A$6:$A$205,0)),"Proposal not found"))</f>
        <v/>
      </c>
      <c r="D125" s="22"/>
      <c r="E125" s="23"/>
      <c r="F125" s="22"/>
      <c r="G125" s="29"/>
      <c r="H125" s="30"/>
      <c r="I125" s="26" t="str">
        <f aca="false">IF($A125="","",N($G125)*N($H125))</f>
        <v/>
      </c>
      <c r="J125" s="26" t="str">
        <f aca="false">IF($A125="","",N($G125)+$I125)</f>
        <v/>
      </c>
      <c r="K125" s="23"/>
      <c r="L125" s="22"/>
      <c r="M125" s="22"/>
      <c r="N125" s="23"/>
      <c r="O125" s="27" t="str">
        <f aca="true">IF($A125="","",IF(AND(OR($L125="Sent",$L125="Approved"),$K125&lt;&gt;"",$K125&lt;TODAY()),"EXPIRED",""))</f>
        <v/>
      </c>
      <c r="P125" s="24"/>
      <c r="Q125" s="24"/>
    </row>
    <row r="126" customFormat="false" ht="15" hidden="false" customHeight="false" outlineLevel="0" collapsed="false">
      <c r="A126" s="22"/>
      <c r="B126" s="22"/>
      <c r="C126" s="28" t="str">
        <f aca="false">IF($B126="","",IFERROR(INDEX(Proposals!$C$6:$C$205,MATCH($B126,Proposals!$A$6:$A$205,0)),"Proposal not found"))</f>
        <v/>
      </c>
      <c r="D126" s="22"/>
      <c r="E126" s="23"/>
      <c r="F126" s="22"/>
      <c r="G126" s="29"/>
      <c r="H126" s="30"/>
      <c r="I126" s="26" t="str">
        <f aca="false">IF($A126="","",N($G126)*N($H126))</f>
        <v/>
      </c>
      <c r="J126" s="26" t="str">
        <f aca="false">IF($A126="","",N($G126)+$I126)</f>
        <v/>
      </c>
      <c r="K126" s="23"/>
      <c r="L126" s="22"/>
      <c r="M126" s="22"/>
      <c r="N126" s="23"/>
      <c r="O126" s="27" t="str">
        <f aca="true">IF($A126="","",IF(AND(OR($L126="Sent",$L126="Approved"),$K126&lt;&gt;"",$K126&lt;TODAY()),"EXPIRED",""))</f>
        <v/>
      </c>
      <c r="P126" s="24"/>
      <c r="Q126" s="24"/>
    </row>
    <row r="127" customFormat="false" ht="15" hidden="false" customHeight="false" outlineLevel="0" collapsed="false">
      <c r="A127" s="22"/>
      <c r="B127" s="22"/>
      <c r="C127" s="28" t="str">
        <f aca="false">IF($B127="","",IFERROR(INDEX(Proposals!$C$6:$C$205,MATCH($B127,Proposals!$A$6:$A$205,0)),"Proposal not found"))</f>
        <v/>
      </c>
      <c r="D127" s="22"/>
      <c r="E127" s="23"/>
      <c r="F127" s="22"/>
      <c r="G127" s="29"/>
      <c r="H127" s="30"/>
      <c r="I127" s="26" t="str">
        <f aca="false">IF($A127="","",N($G127)*N($H127))</f>
        <v/>
      </c>
      <c r="J127" s="26" t="str">
        <f aca="false">IF($A127="","",N($G127)+$I127)</f>
        <v/>
      </c>
      <c r="K127" s="23"/>
      <c r="L127" s="22"/>
      <c r="M127" s="22"/>
      <c r="N127" s="23"/>
      <c r="O127" s="27" t="str">
        <f aca="true">IF($A127="","",IF(AND(OR($L127="Sent",$L127="Approved"),$K127&lt;&gt;"",$K127&lt;TODAY()),"EXPIRED",""))</f>
        <v/>
      </c>
      <c r="P127" s="24"/>
      <c r="Q127" s="24"/>
    </row>
    <row r="128" customFormat="false" ht="15" hidden="false" customHeight="false" outlineLevel="0" collapsed="false">
      <c r="A128" s="22"/>
      <c r="B128" s="22"/>
      <c r="C128" s="28" t="str">
        <f aca="false">IF($B128="","",IFERROR(INDEX(Proposals!$C$6:$C$205,MATCH($B128,Proposals!$A$6:$A$205,0)),"Proposal not found"))</f>
        <v/>
      </c>
      <c r="D128" s="22"/>
      <c r="E128" s="23"/>
      <c r="F128" s="22"/>
      <c r="G128" s="29"/>
      <c r="H128" s="30"/>
      <c r="I128" s="26" t="str">
        <f aca="false">IF($A128="","",N($G128)*N($H128))</f>
        <v/>
      </c>
      <c r="J128" s="26" t="str">
        <f aca="false">IF($A128="","",N($G128)+$I128)</f>
        <v/>
      </c>
      <c r="K128" s="23"/>
      <c r="L128" s="22"/>
      <c r="M128" s="22"/>
      <c r="N128" s="23"/>
      <c r="O128" s="27" t="str">
        <f aca="true">IF($A128="","",IF(AND(OR($L128="Sent",$L128="Approved"),$K128&lt;&gt;"",$K128&lt;TODAY()),"EXPIRED",""))</f>
        <v/>
      </c>
      <c r="P128" s="24"/>
      <c r="Q128" s="24"/>
    </row>
    <row r="129" customFormat="false" ht="15" hidden="false" customHeight="false" outlineLevel="0" collapsed="false">
      <c r="A129" s="22"/>
      <c r="B129" s="22"/>
      <c r="C129" s="28" t="str">
        <f aca="false">IF($B129="","",IFERROR(INDEX(Proposals!$C$6:$C$205,MATCH($B129,Proposals!$A$6:$A$205,0)),"Proposal not found"))</f>
        <v/>
      </c>
      <c r="D129" s="22"/>
      <c r="E129" s="23"/>
      <c r="F129" s="22"/>
      <c r="G129" s="29"/>
      <c r="H129" s="30"/>
      <c r="I129" s="26" t="str">
        <f aca="false">IF($A129="","",N($G129)*N($H129))</f>
        <v/>
      </c>
      <c r="J129" s="26" t="str">
        <f aca="false">IF($A129="","",N($G129)+$I129)</f>
        <v/>
      </c>
      <c r="K129" s="23"/>
      <c r="L129" s="22"/>
      <c r="M129" s="22"/>
      <c r="N129" s="23"/>
      <c r="O129" s="27" t="str">
        <f aca="true">IF($A129="","",IF(AND(OR($L129="Sent",$L129="Approved"),$K129&lt;&gt;"",$K129&lt;TODAY()),"EXPIRED",""))</f>
        <v/>
      </c>
      <c r="P129" s="24"/>
      <c r="Q129" s="24"/>
    </row>
    <row r="130" customFormat="false" ht="15" hidden="false" customHeight="false" outlineLevel="0" collapsed="false">
      <c r="A130" s="22"/>
      <c r="B130" s="22"/>
      <c r="C130" s="28" t="str">
        <f aca="false">IF($B130="","",IFERROR(INDEX(Proposals!$C$6:$C$205,MATCH($B130,Proposals!$A$6:$A$205,0)),"Proposal not found"))</f>
        <v/>
      </c>
      <c r="D130" s="22"/>
      <c r="E130" s="23"/>
      <c r="F130" s="22"/>
      <c r="G130" s="29"/>
      <c r="H130" s="30"/>
      <c r="I130" s="26" t="str">
        <f aca="false">IF($A130="","",N($G130)*N($H130))</f>
        <v/>
      </c>
      <c r="J130" s="26" t="str">
        <f aca="false">IF($A130="","",N($G130)+$I130)</f>
        <v/>
      </c>
      <c r="K130" s="23"/>
      <c r="L130" s="22"/>
      <c r="M130" s="22"/>
      <c r="N130" s="23"/>
      <c r="O130" s="27" t="str">
        <f aca="true">IF($A130="","",IF(AND(OR($L130="Sent",$L130="Approved"),$K130&lt;&gt;"",$K130&lt;TODAY()),"EXPIRED",""))</f>
        <v/>
      </c>
      <c r="P130" s="24"/>
      <c r="Q130" s="24"/>
    </row>
    <row r="131" customFormat="false" ht="15" hidden="false" customHeight="false" outlineLevel="0" collapsed="false">
      <c r="A131" s="22"/>
      <c r="B131" s="22"/>
      <c r="C131" s="28" t="str">
        <f aca="false">IF($B131="","",IFERROR(INDEX(Proposals!$C$6:$C$205,MATCH($B131,Proposals!$A$6:$A$205,0)),"Proposal not found"))</f>
        <v/>
      </c>
      <c r="D131" s="22"/>
      <c r="E131" s="23"/>
      <c r="F131" s="22"/>
      <c r="G131" s="29"/>
      <c r="H131" s="30"/>
      <c r="I131" s="26" t="str">
        <f aca="false">IF($A131="","",N($G131)*N($H131))</f>
        <v/>
      </c>
      <c r="J131" s="26" t="str">
        <f aca="false">IF($A131="","",N($G131)+$I131)</f>
        <v/>
      </c>
      <c r="K131" s="23"/>
      <c r="L131" s="22"/>
      <c r="M131" s="22"/>
      <c r="N131" s="23"/>
      <c r="O131" s="27" t="str">
        <f aca="true">IF($A131="","",IF(AND(OR($L131="Sent",$L131="Approved"),$K131&lt;&gt;"",$K131&lt;TODAY()),"EXPIRED",""))</f>
        <v/>
      </c>
      <c r="P131" s="24"/>
      <c r="Q131" s="24"/>
    </row>
    <row r="132" customFormat="false" ht="15" hidden="false" customHeight="false" outlineLevel="0" collapsed="false">
      <c r="A132" s="22"/>
      <c r="B132" s="22"/>
      <c r="C132" s="28" t="str">
        <f aca="false">IF($B132="","",IFERROR(INDEX(Proposals!$C$6:$C$205,MATCH($B132,Proposals!$A$6:$A$205,0)),"Proposal not found"))</f>
        <v/>
      </c>
      <c r="D132" s="22"/>
      <c r="E132" s="23"/>
      <c r="F132" s="22"/>
      <c r="G132" s="29"/>
      <c r="H132" s="30"/>
      <c r="I132" s="26" t="str">
        <f aca="false">IF($A132="","",N($G132)*N($H132))</f>
        <v/>
      </c>
      <c r="J132" s="26" t="str">
        <f aca="false">IF($A132="","",N($G132)+$I132)</f>
        <v/>
      </c>
      <c r="K132" s="23"/>
      <c r="L132" s="22"/>
      <c r="M132" s="22"/>
      <c r="N132" s="23"/>
      <c r="O132" s="27" t="str">
        <f aca="true">IF($A132="","",IF(AND(OR($L132="Sent",$L132="Approved"),$K132&lt;&gt;"",$K132&lt;TODAY()),"EXPIRED",""))</f>
        <v/>
      </c>
      <c r="P132" s="24"/>
      <c r="Q132" s="24"/>
    </row>
    <row r="133" customFormat="false" ht="15" hidden="false" customHeight="false" outlineLevel="0" collapsed="false">
      <c r="A133" s="22"/>
      <c r="B133" s="22"/>
      <c r="C133" s="28" t="str">
        <f aca="false">IF($B133="","",IFERROR(INDEX(Proposals!$C$6:$C$205,MATCH($B133,Proposals!$A$6:$A$205,0)),"Proposal not found"))</f>
        <v/>
      </c>
      <c r="D133" s="22"/>
      <c r="E133" s="23"/>
      <c r="F133" s="22"/>
      <c r="G133" s="29"/>
      <c r="H133" s="30"/>
      <c r="I133" s="26" t="str">
        <f aca="false">IF($A133="","",N($G133)*N($H133))</f>
        <v/>
      </c>
      <c r="J133" s="26" t="str">
        <f aca="false">IF($A133="","",N($G133)+$I133)</f>
        <v/>
      </c>
      <c r="K133" s="23"/>
      <c r="L133" s="22"/>
      <c r="M133" s="22"/>
      <c r="N133" s="23"/>
      <c r="O133" s="27" t="str">
        <f aca="true">IF($A133="","",IF(AND(OR($L133="Sent",$L133="Approved"),$K133&lt;&gt;"",$K133&lt;TODAY()),"EXPIRED",""))</f>
        <v/>
      </c>
      <c r="P133" s="24"/>
      <c r="Q133" s="24"/>
    </row>
    <row r="134" customFormat="false" ht="15" hidden="false" customHeight="false" outlineLevel="0" collapsed="false">
      <c r="A134" s="22"/>
      <c r="B134" s="22"/>
      <c r="C134" s="28" t="str">
        <f aca="false">IF($B134="","",IFERROR(INDEX(Proposals!$C$6:$C$205,MATCH($B134,Proposals!$A$6:$A$205,0)),"Proposal not found"))</f>
        <v/>
      </c>
      <c r="D134" s="22"/>
      <c r="E134" s="23"/>
      <c r="F134" s="22"/>
      <c r="G134" s="29"/>
      <c r="H134" s="30"/>
      <c r="I134" s="26" t="str">
        <f aca="false">IF($A134="","",N($G134)*N($H134))</f>
        <v/>
      </c>
      <c r="J134" s="26" t="str">
        <f aca="false">IF($A134="","",N($G134)+$I134)</f>
        <v/>
      </c>
      <c r="K134" s="23"/>
      <c r="L134" s="22"/>
      <c r="M134" s="22"/>
      <c r="N134" s="23"/>
      <c r="O134" s="27" t="str">
        <f aca="true">IF($A134="","",IF(AND(OR($L134="Sent",$L134="Approved"),$K134&lt;&gt;"",$K134&lt;TODAY()),"EXPIRED",""))</f>
        <v/>
      </c>
      <c r="P134" s="24"/>
      <c r="Q134" s="24"/>
    </row>
    <row r="135" customFormat="false" ht="15" hidden="false" customHeight="false" outlineLevel="0" collapsed="false">
      <c r="A135" s="22"/>
      <c r="B135" s="22"/>
      <c r="C135" s="28" t="str">
        <f aca="false">IF($B135="","",IFERROR(INDEX(Proposals!$C$6:$C$205,MATCH($B135,Proposals!$A$6:$A$205,0)),"Proposal not found"))</f>
        <v/>
      </c>
      <c r="D135" s="22"/>
      <c r="E135" s="23"/>
      <c r="F135" s="22"/>
      <c r="G135" s="29"/>
      <c r="H135" s="30"/>
      <c r="I135" s="26" t="str">
        <f aca="false">IF($A135="","",N($G135)*N($H135))</f>
        <v/>
      </c>
      <c r="J135" s="26" t="str">
        <f aca="false">IF($A135="","",N($G135)+$I135)</f>
        <v/>
      </c>
      <c r="K135" s="23"/>
      <c r="L135" s="22"/>
      <c r="M135" s="22"/>
      <c r="N135" s="23"/>
      <c r="O135" s="27" t="str">
        <f aca="true">IF($A135="","",IF(AND(OR($L135="Sent",$L135="Approved"),$K135&lt;&gt;"",$K135&lt;TODAY()),"EXPIRED",""))</f>
        <v/>
      </c>
      <c r="P135" s="24"/>
      <c r="Q135" s="24"/>
    </row>
    <row r="136" customFormat="false" ht="15" hidden="false" customHeight="false" outlineLevel="0" collapsed="false">
      <c r="A136" s="22"/>
      <c r="B136" s="22"/>
      <c r="C136" s="28" t="str">
        <f aca="false">IF($B136="","",IFERROR(INDEX(Proposals!$C$6:$C$205,MATCH($B136,Proposals!$A$6:$A$205,0)),"Proposal not found"))</f>
        <v/>
      </c>
      <c r="D136" s="22"/>
      <c r="E136" s="23"/>
      <c r="F136" s="22"/>
      <c r="G136" s="29"/>
      <c r="H136" s="30"/>
      <c r="I136" s="26" t="str">
        <f aca="false">IF($A136="","",N($G136)*N($H136))</f>
        <v/>
      </c>
      <c r="J136" s="26" t="str">
        <f aca="false">IF($A136="","",N($G136)+$I136)</f>
        <v/>
      </c>
      <c r="K136" s="23"/>
      <c r="L136" s="22"/>
      <c r="M136" s="22"/>
      <c r="N136" s="23"/>
      <c r="O136" s="27" t="str">
        <f aca="true">IF($A136="","",IF(AND(OR($L136="Sent",$L136="Approved"),$K136&lt;&gt;"",$K136&lt;TODAY()),"EXPIRED",""))</f>
        <v/>
      </c>
      <c r="P136" s="24"/>
      <c r="Q136" s="24"/>
    </row>
    <row r="137" customFormat="false" ht="15" hidden="false" customHeight="false" outlineLevel="0" collapsed="false">
      <c r="A137" s="22"/>
      <c r="B137" s="22"/>
      <c r="C137" s="28" t="str">
        <f aca="false">IF($B137="","",IFERROR(INDEX(Proposals!$C$6:$C$205,MATCH($B137,Proposals!$A$6:$A$205,0)),"Proposal not found"))</f>
        <v/>
      </c>
      <c r="D137" s="22"/>
      <c r="E137" s="23"/>
      <c r="F137" s="22"/>
      <c r="G137" s="29"/>
      <c r="H137" s="30"/>
      <c r="I137" s="26" t="str">
        <f aca="false">IF($A137="","",N($G137)*N($H137))</f>
        <v/>
      </c>
      <c r="J137" s="26" t="str">
        <f aca="false">IF($A137="","",N($G137)+$I137)</f>
        <v/>
      </c>
      <c r="K137" s="23"/>
      <c r="L137" s="22"/>
      <c r="M137" s="22"/>
      <c r="N137" s="23"/>
      <c r="O137" s="27" t="str">
        <f aca="true">IF($A137="","",IF(AND(OR($L137="Sent",$L137="Approved"),$K137&lt;&gt;"",$K137&lt;TODAY()),"EXPIRED",""))</f>
        <v/>
      </c>
      <c r="P137" s="24"/>
      <c r="Q137" s="24"/>
    </row>
    <row r="138" customFormat="false" ht="15" hidden="false" customHeight="false" outlineLevel="0" collapsed="false">
      <c r="A138" s="22"/>
      <c r="B138" s="22"/>
      <c r="C138" s="28" t="str">
        <f aca="false">IF($B138="","",IFERROR(INDEX(Proposals!$C$6:$C$205,MATCH($B138,Proposals!$A$6:$A$205,0)),"Proposal not found"))</f>
        <v/>
      </c>
      <c r="D138" s="22"/>
      <c r="E138" s="23"/>
      <c r="F138" s="22"/>
      <c r="G138" s="29"/>
      <c r="H138" s="30"/>
      <c r="I138" s="26" t="str">
        <f aca="false">IF($A138="","",N($G138)*N($H138))</f>
        <v/>
      </c>
      <c r="J138" s="26" t="str">
        <f aca="false">IF($A138="","",N($G138)+$I138)</f>
        <v/>
      </c>
      <c r="K138" s="23"/>
      <c r="L138" s="22"/>
      <c r="M138" s="22"/>
      <c r="N138" s="23"/>
      <c r="O138" s="27" t="str">
        <f aca="true">IF($A138="","",IF(AND(OR($L138="Sent",$L138="Approved"),$K138&lt;&gt;"",$K138&lt;TODAY()),"EXPIRED",""))</f>
        <v/>
      </c>
      <c r="P138" s="24"/>
      <c r="Q138" s="24"/>
    </row>
    <row r="139" customFormat="false" ht="15" hidden="false" customHeight="false" outlineLevel="0" collapsed="false">
      <c r="A139" s="22"/>
      <c r="B139" s="22"/>
      <c r="C139" s="28" t="str">
        <f aca="false">IF($B139="","",IFERROR(INDEX(Proposals!$C$6:$C$205,MATCH($B139,Proposals!$A$6:$A$205,0)),"Proposal not found"))</f>
        <v/>
      </c>
      <c r="D139" s="22"/>
      <c r="E139" s="23"/>
      <c r="F139" s="22"/>
      <c r="G139" s="29"/>
      <c r="H139" s="30"/>
      <c r="I139" s="26" t="str">
        <f aca="false">IF($A139="","",N($G139)*N($H139))</f>
        <v/>
      </c>
      <c r="J139" s="26" t="str">
        <f aca="false">IF($A139="","",N($G139)+$I139)</f>
        <v/>
      </c>
      <c r="K139" s="23"/>
      <c r="L139" s="22"/>
      <c r="M139" s="22"/>
      <c r="N139" s="23"/>
      <c r="O139" s="27" t="str">
        <f aca="true">IF($A139="","",IF(AND(OR($L139="Sent",$L139="Approved"),$K139&lt;&gt;"",$K139&lt;TODAY()),"EXPIRED",""))</f>
        <v/>
      </c>
      <c r="P139" s="24"/>
      <c r="Q139" s="24"/>
    </row>
    <row r="140" customFormat="false" ht="15" hidden="false" customHeight="false" outlineLevel="0" collapsed="false">
      <c r="A140" s="22"/>
      <c r="B140" s="22"/>
      <c r="C140" s="28" t="str">
        <f aca="false">IF($B140="","",IFERROR(INDEX(Proposals!$C$6:$C$205,MATCH($B140,Proposals!$A$6:$A$205,0)),"Proposal not found"))</f>
        <v/>
      </c>
      <c r="D140" s="22"/>
      <c r="E140" s="23"/>
      <c r="F140" s="22"/>
      <c r="G140" s="29"/>
      <c r="H140" s="30"/>
      <c r="I140" s="26" t="str">
        <f aca="false">IF($A140="","",N($G140)*N($H140))</f>
        <v/>
      </c>
      <c r="J140" s="26" t="str">
        <f aca="false">IF($A140="","",N($G140)+$I140)</f>
        <v/>
      </c>
      <c r="K140" s="23"/>
      <c r="L140" s="22"/>
      <c r="M140" s="22"/>
      <c r="N140" s="23"/>
      <c r="O140" s="27" t="str">
        <f aca="true">IF($A140="","",IF(AND(OR($L140="Sent",$L140="Approved"),$K140&lt;&gt;"",$K140&lt;TODAY()),"EXPIRED",""))</f>
        <v/>
      </c>
      <c r="P140" s="24"/>
      <c r="Q140" s="24"/>
    </row>
    <row r="141" customFormat="false" ht="15" hidden="false" customHeight="false" outlineLevel="0" collapsed="false">
      <c r="A141" s="22"/>
      <c r="B141" s="22"/>
      <c r="C141" s="28" t="str">
        <f aca="false">IF($B141="","",IFERROR(INDEX(Proposals!$C$6:$C$205,MATCH($B141,Proposals!$A$6:$A$205,0)),"Proposal not found"))</f>
        <v/>
      </c>
      <c r="D141" s="22"/>
      <c r="E141" s="23"/>
      <c r="F141" s="22"/>
      <c r="G141" s="29"/>
      <c r="H141" s="30"/>
      <c r="I141" s="26" t="str">
        <f aca="false">IF($A141="","",N($G141)*N($H141))</f>
        <v/>
      </c>
      <c r="J141" s="26" t="str">
        <f aca="false">IF($A141="","",N($G141)+$I141)</f>
        <v/>
      </c>
      <c r="K141" s="23"/>
      <c r="L141" s="22"/>
      <c r="M141" s="22"/>
      <c r="N141" s="23"/>
      <c r="O141" s="27" t="str">
        <f aca="true">IF($A141="","",IF(AND(OR($L141="Sent",$L141="Approved"),$K141&lt;&gt;"",$K141&lt;TODAY()),"EXPIRED",""))</f>
        <v/>
      </c>
      <c r="P141" s="24"/>
      <c r="Q141" s="24"/>
    </row>
    <row r="142" customFormat="false" ht="15" hidden="false" customHeight="false" outlineLevel="0" collapsed="false">
      <c r="A142" s="22"/>
      <c r="B142" s="22"/>
      <c r="C142" s="28" t="str">
        <f aca="false">IF($B142="","",IFERROR(INDEX(Proposals!$C$6:$C$205,MATCH($B142,Proposals!$A$6:$A$205,0)),"Proposal not found"))</f>
        <v/>
      </c>
      <c r="D142" s="22"/>
      <c r="E142" s="23"/>
      <c r="F142" s="22"/>
      <c r="G142" s="29"/>
      <c r="H142" s="30"/>
      <c r="I142" s="26" t="str">
        <f aca="false">IF($A142="","",N($G142)*N($H142))</f>
        <v/>
      </c>
      <c r="J142" s="26" t="str">
        <f aca="false">IF($A142="","",N($G142)+$I142)</f>
        <v/>
      </c>
      <c r="K142" s="23"/>
      <c r="L142" s="22"/>
      <c r="M142" s="22"/>
      <c r="N142" s="23"/>
      <c r="O142" s="27" t="str">
        <f aca="true">IF($A142="","",IF(AND(OR($L142="Sent",$L142="Approved"),$K142&lt;&gt;"",$K142&lt;TODAY()),"EXPIRED",""))</f>
        <v/>
      </c>
      <c r="P142" s="24"/>
      <c r="Q142" s="24"/>
    </row>
    <row r="143" customFormat="false" ht="15" hidden="false" customHeight="false" outlineLevel="0" collapsed="false">
      <c r="A143" s="22"/>
      <c r="B143" s="22"/>
      <c r="C143" s="28" t="str">
        <f aca="false">IF($B143="","",IFERROR(INDEX(Proposals!$C$6:$C$205,MATCH($B143,Proposals!$A$6:$A$205,0)),"Proposal not found"))</f>
        <v/>
      </c>
      <c r="D143" s="22"/>
      <c r="E143" s="23"/>
      <c r="F143" s="22"/>
      <c r="G143" s="29"/>
      <c r="H143" s="30"/>
      <c r="I143" s="26" t="str">
        <f aca="false">IF($A143="","",N($G143)*N($H143))</f>
        <v/>
      </c>
      <c r="J143" s="26" t="str">
        <f aca="false">IF($A143="","",N($G143)+$I143)</f>
        <v/>
      </c>
      <c r="K143" s="23"/>
      <c r="L143" s="22"/>
      <c r="M143" s="22"/>
      <c r="N143" s="23"/>
      <c r="O143" s="27" t="str">
        <f aca="true">IF($A143="","",IF(AND(OR($L143="Sent",$L143="Approved"),$K143&lt;&gt;"",$K143&lt;TODAY()),"EXPIRED",""))</f>
        <v/>
      </c>
      <c r="P143" s="24"/>
      <c r="Q143" s="24"/>
    </row>
    <row r="144" customFormat="false" ht="15" hidden="false" customHeight="false" outlineLevel="0" collapsed="false">
      <c r="A144" s="22"/>
      <c r="B144" s="22"/>
      <c r="C144" s="28" t="str">
        <f aca="false">IF($B144="","",IFERROR(INDEX(Proposals!$C$6:$C$205,MATCH($B144,Proposals!$A$6:$A$205,0)),"Proposal not found"))</f>
        <v/>
      </c>
      <c r="D144" s="22"/>
      <c r="E144" s="23"/>
      <c r="F144" s="22"/>
      <c r="G144" s="29"/>
      <c r="H144" s="30"/>
      <c r="I144" s="26" t="str">
        <f aca="false">IF($A144="","",N($G144)*N($H144))</f>
        <v/>
      </c>
      <c r="J144" s="26" t="str">
        <f aca="false">IF($A144="","",N($G144)+$I144)</f>
        <v/>
      </c>
      <c r="K144" s="23"/>
      <c r="L144" s="22"/>
      <c r="M144" s="22"/>
      <c r="N144" s="23"/>
      <c r="O144" s="27" t="str">
        <f aca="true">IF($A144="","",IF(AND(OR($L144="Sent",$L144="Approved"),$K144&lt;&gt;"",$K144&lt;TODAY()),"EXPIRED",""))</f>
        <v/>
      </c>
      <c r="P144" s="24"/>
      <c r="Q144" s="24"/>
    </row>
    <row r="145" customFormat="false" ht="15" hidden="false" customHeight="false" outlineLevel="0" collapsed="false">
      <c r="A145" s="22"/>
      <c r="B145" s="22"/>
      <c r="C145" s="28" t="str">
        <f aca="false">IF($B145="","",IFERROR(INDEX(Proposals!$C$6:$C$205,MATCH($B145,Proposals!$A$6:$A$205,0)),"Proposal not found"))</f>
        <v/>
      </c>
      <c r="D145" s="22"/>
      <c r="E145" s="23"/>
      <c r="F145" s="22"/>
      <c r="G145" s="29"/>
      <c r="H145" s="30"/>
      <c r="I145" s="26" t="str">
        <f aca="false">IF($A145="","",N($G145)*N($H145))</f>
        <v/>
      </c>
      <c r="J145" s="26" t="str">
        <f aca="false">IF($A145="","",N($G145)+$I145)</f>
        <v/>
      </c>
      <c r="K145" s="23"/>
      <c r="L145" s="22"/>
      <c r="M145" s="22"/>
      <c r="N145" s="23"/>
      <c r="O145" s="27" t="str">
        <f aca="true">IF($A145="","",IF(AND(OR($L145="Sent",$L145="Approved"),$K145&lt;&gt;"",$K145&lt;TODAY()),"EXPIRED",""))</f>
        <v/>
      </c>
      <c r="P145" s="24"/>
      <c r="Q145" s="24"/>
    </row>
    <row r="146" customFormat="false" ht="15" hidden="false" customHeight="false" outlineLevel="0" collapsed="false">
      <c r="A146" s="22"/>
      <c r="B146" s="22"/>
      <c r="C146" s="28" t="str">
        <f aca="false">IF($B146="","",IFERROR(INDEX(Proposals!$C$6:$C$205,MATCH($B146,Proposals!$A$6:$A$205,0)),"Proposal not found"))</f>
        <v/>
      </c>
      <c r="D146" s="22"/>
      <c r="E146" s="23"/>
      <c r="F146" s="22"/>
      <c r="G146" s="29"/>
      <c r="H146" s="30"/>
      <c r="I146" s="26" t="str">
        <f aca="false">IF($A146="","",N($G146)*N($H146))</f>
        <v/>
      </c>
      <c r="J146" s="26" t="str">
        <f aca="false">IF($A146="","",N($G146)+$I146)</f>
        <v/>
      </c>
      <c r="K146" s="23"/>
      <c r="L146" s="22"/>
      <c r="M146" s="22"/>
      <c r="N146" s="23"/>
      <c r="O146" s="27" t="str">
        <f aca="true">IF($A146="","",IF(AND(OR($L146="Sent",$L146="Approved"),$K146&lt;&gt;"",$K146&lt;TODAY()),"EXPIRED",""))</f>
        <v/>
      </c>
      <c r="P146" s="24"/>
      <c r="Q146" s="24"/>
    </row>
    <row r="147" customFormat="false" ht="15" hidden="false" customHeight="false" outlineLevel="0" collapsed="false">
      <c r="A147" s="22"/>
      <c r="B147" s="22"/>
      <c r="C147" s="28" t="str">
        <f aca="false">IF($B147="","",IFERROR(INDEX(Proposals!$C$6:$C$205,MATCH($B147,Proposals!$A$6:$A$205,0)),"Proposal not found"))</f>
        <v/>
      </c>
      <c r="D147" s="22"/>
      <c r="E147" s="23"/>
      <c r="F147" s="22"/>
      <c r="G147" s="29"/>
      <c r="H147" s="30"/>
      <c r="I147" s="26" t="str">
        <f aca="false">IF($A147="","",N($G147)*N($H147))</f>
        <v/>
      </c>
      <c r="J147" s="26" t="str">
        <f aca="false">IF($A147="","",N($G147)+$I147)</f>
        <v/>
      </c>
      <c r="K147" s="23"/>
      <c r="L147" s="22"/>
      <c r="M147" s="22"/>
      <c r="N147" s="23"/>
      <c r="O147" s="27" t="str">
        <f aca="true">IF($A147="","",IF(AND(OR($L147="Sent",$L147="Approved"),$K147&lt;&gt;"",$K147&lt;TODAY()),"EXPIRED",""))</f>
        <v/>
      </c>
      <c r="P147" s="24"/>
      <c r="Q147" s="24"/>
    </row>
    <row r="148" customFormat="false" ht="15" hidden="false" customHeight="false" outlineLevel="0" collapsed="false">
      <c r="A148" s="22"/>
      <c r="B148" s="22"/>
      <c r="C148" s="28" t="str">
        <f aca="false">IF($B148="","",IFERROR(INDEX(Proposals!$C$6:$C$205,MATCH($B148,Proposals!$A$6:$A$205,0)),"Proposal not found"))</f>
        <v/>
      </c>
      <c r="D148" s="22"/>
      <c r="E148" s="23"/>
      <c r="F148" s="22"/>
      <c r="G148" s="29"/>
      <c r="H148" s="30"/>
      <c r="I148" s="26" t="str">
        <f aca="false">IF($A148="","",N($G148)*N($H148))</f>
        <v/>
      </c>
      <c r="J148" s="26" t="str">
        <f aca="false">IF($A148="","",N($G148)+$I148)</f>
        <v/>
      </c>
      <c r="K148" s="23"/>
      <c r="L148" s="22"/>
      <c r="M148" s="22"/>
      <c r="N148" s="23"/>
      <c r="O148" s="27" t="str">
        <f aca="true">IF($A148="","",IF(AND(OR($L148="Sent",$L148="Approved"),$K148&lt;&gt;"",$K148&lt;TODAY()),"EXPIRED",""))</f>
        <v/>
      </c>
      <c r="P148" s="24"/>
      <c r="Q148" s="24"/>
    </row>
    <row r="149" customFormat="false" ht="15" hidden="false" customHeight="false" outlineLevel="0" collapsed="false">
      <c r="A149" s="22"/>
      <c r="B149" s="22"/>
      <c r="C149" s="28" t="str">
        <f aca="false">IF($B149="","",IFERROR(INDEX(Proposals!$C$6:$C$205,MATCH($B149,Proposals!$A$6:$A$205,0)),"Proposal not found"))</f>
        <v/>
      </c>
      <c r="D149" s="22"/>
      <c r="E149" s="23"/>
      <c r="F149" s="22"/>
      <c r="G149" s="29"/>
      <c r="H149" s="30"/>
      <c r="I149" s="26" t="str">
        <f aca="false">IF($A149="","",N($G149)*N($H149))</f>
        <v/>
      </c>
      <c r="J149" s="26" t="str">
        <f aca="false">IF($A149="","",N($G149)+$I149)</f>
        <v/>
      </c>
      <c r="K149" s="23"/>
      <c r="L149" s="22"/>
      <c r="M149" s="22"/>
      <c r="N149" s="23"/>
      <c r="O149" s="27" t="str">
        <f aca="true">IF($A149="","",IF(AND(OR($L149="Sent",$L149="Approved"),$K149&lt;&gt;"",$K149&lt;TODAY()),"EXPIRED",""))</f>
        <v/>
      </c>
      <c r="P149" s="24"/>
      <c r="Q149" s="24"/>
    </row>
    <row r="150" customFormat="false" ht="15" hidden="false" customHeight="false" outlineLevel="0" collapsed="false">
      <c r="A150" s="22"/>
      <c r="B150" s="22"/>
      <c r="C150" s="28" t="str">
        <f aca="false">IF($B150="","",IFERROR(INDEX(Proposals!$C$6:$C$205,MATCH($B150,Proposals!$A$6:$A$205,0)),"Proposal not found"))</f>
        <v/>
      </c>
      <c r="D150" s="22"/>
      <c r="E150" s="23"/>
      <c r="F150" s="22"/>
      <c r="G150" s="29"/>
      <c r="H150" s="30"/>
      <c r="I150" s="26" t="str">
        <f aca="false">IF($A150="","",N($G150)*N($H150))</f>
        <v/>
      </c>
      <c r="J150" s="26" t="str">
        <f aca="false">IF($A150="","",N($G150)+$I150)</f>
        <v/>
      </c>
      <c r="K150" s="23"/>
      <c r="L150" s="22"/>
      <c r="M150" s="22"/>
      <c r="N150" s="23"/>
      <c r="O150" s="27" t="str">
        <f aca="true">IF($A150="","",IF(AND(OR($L150="Sent",$L150="Approved"),$K150&lt;&gt;"",$K150&lt;TODAY()),"EXPIRED",""))</f>
        <v/>
      </c>
      <c r="P150" s="24"/>
      <c r="Q150" s="24"/>
    </row>
    <row r="151" customFormat="false" ht="15" hidden="false" customHeight="false" outlineLevel="0" collapsed="false">
      <c r="A151" s="22"/>
      <c r="B151" s="22"/>
      <c r="C151" s="28" t="str">
        <f aca="false">IF($B151="","",IFERROR(INDEX(Proposals!$C$6:$C$205,MATCH($B151,Proposals!$A$6:$A$205,0)),"Proposal not found"))</f>
        <v/>
      </c>
      <c r="D151" s="22"/>
      <c r="E151" s="23"/>
      <c r="F151" s="22"/>
      <c r="G151" s="29"/>
      <c r="H151" s="30"/>
      <c r="I151" s="26" t="str">
        <f aca="false">IF($A151="","",N($G151)*N($H151))</f>
        <v/>
      </c>
      <c r="J151" s="26" t="str">
        <f aca="false">IF($A151="","",N($G151)+$I151)</f>
        <v/>
      </c>
      <c r="K151" s="23"/>
      <c r="L151" s="22"/>
      <c r="M151" s="22"/>
      <c r="N151" s="23"/>
      <c r="O151" s="27" t="str">
        <f aca="true">IF($A151="","",IF(AND(OR($L151="Sent",$L151="Approved"),$K151&lt;&gt;"",$K151&lt;TODAY()),"EXPIRED",""))</f>
        <v/>
      </c>
      <c r="P151" s="24"/>
      <c r="Q151" s="24"/>
    </row>
    <row r="152" customFormat="false" ht="15" hidden="false" customHeight="false" outlineLevel="0" collapsed="false">
      <c r="A152" s="22"/>
      <c r="B152" s="22"/>
      <c r="C152" s="28" t="str">
        <f aca="false">IF($B152="","",IFERROR(INDEX(Proposals!$C$6:$C$205,MATCH($B152,Proposals!$A$6:$A$205,0)),"Proposal not found"))</f>
        <v/>
      </c>
      <c r="D152" s="22"/>
      <c r="E152" s="23"/>
      <c r="F152" s="22"/>
      <c r="G152" s="29"/>
      <c r="H152" s="30"/>
      <c r="I152" s="26" t="str">
        <f aca="false">IF($A152="","",N($G152)*N($H152))</f>
        <v/>
      </c>
      <c r="J152" s="26" t="str">
        <f aca="false">IF($A152="","",N($G152)+$I152)</f>
        <v/>
      </c>
      <c r="K152" s="23"/>
      <c r="L152" s="22"/>
      <c r="M152" s="22"/>
      <c r="N152" s="23"/>
      <c r="O152" s="27" t="str">
        <f aca="true">IF($A152="","",IF(AND(OR($L152="Sent",$L152="Approved"),$K152&lt;&gt;"",$K152&lt;TODAY()),"EXPIRED",""))</f>
        <v/>
      </c>
      <c r="P152" s="24"/>
      <c r="Q152" s="24"/>
    </row>
    <row r="153" customFormat="false" ht="15" hidden="false" customHeight="false" outlineLevel="0" collapsed="false">
      <c r="A153" s="22"/>
      <c r="B153" s="22"/>
      <c r="C153" s="28" t="str">
        <f aca="false">IF($B153="","",IFERROR(INDEX(Proposals!$C$6:$C$205,MATCH($B153,Proposals!$A$6:$A$205,0)),"Proposal not found"))</f>
        <v/>
      </c>
      <c r="D153" s="22"/>
      <c r="E153" s="23"/>
      <c r="F153" s="22"/>
      <c r="G153" s="29"/>
      <c r="H153" s="30"/>
      <c r="I153" s="26" t="str">
        <f aca="false">IF($A153="","",N($G153)*N($H153))</f>
        <v/>
      </c>
      <c r="J153" s="26" t="str">
        <f aca="false">IF($A153="","",N($G153)+$I153)</f>
        <v/>
      </c>
      <c r="K153" s="23"/>
      <c r="L153" s="22"/>
      <c r="M153" s="22"/>
      <c r="N153" s="23"/>
      <c r="O153" s="27" t="str">
        <f aca="true">IF($A153="","",IF(AND(OR($L153="Sent",$L153="Approved"),$K153&lt;&gt;"",$K153&lt;TODAY()),"EXPIRED",""))</f>
        <v/>
      </c>
      <c r="P153" s="24"/>
      <c r="Q153" s="24"/>
    </row>
    <row r="154" customFormat="false" ht="15" hidden="false" customHeight="false" outlineLevel="0" collapsed="false">
      <c r="A154" s="22"/>
      <c r="B154" s="22"/>
      <c r="C154" s="28" t="str">
        <f aca="false">IF($B154="","",IFERROR(INDEX(Proposals!$C$6:$C$205,MATCH($B154,Proposals!$A$6:$A$205,0)),"Proposal not found"))</f>
        <v/>
      </c>
      <c r="D154" s="22"/>
      <c r="E154" s="23"/>
      <c r="F154" s="22"/>
      <c r="G154" s="29"/>
      <c r="H154" s="30"/>
      <c r="I154" s="26" t="str">
        <f aca="false">IF($A154="","",N($G154)*N($H154))</f>
        <v/>
      </c>
      <c r="J154" s="26" t="str">
        <f aca="false">IF($A154="","",N($G154)+$I154)</f>
        <v/>
      </c>
      <c r="K154" s="23"/>
      <c r="L154" s="22"/>
      <c r="M154" s="22"/>
      <c r="N154" s="23"/>
      <c r="O154" s="27" t="str">
        <f aca="true">IF($A154="","",IF(AND(OR($L154="Sent",$L154="Approved"),$K154&lt;&gt;"",$K154&lt;TODAY()),"EXPIRED",""))</f>
        <v/>
      </c>
      <c r="P154" s="24"/>
      <c r="Q154" s="24"/>
    </row>
    <row r="155" customFormat="false" ht="15" hidden="false" customHeight="false" outlineLevel="0" collapsed="false">
      <c r="A155" s="22"/>
      <c r="B155" s="22"/>
      <c r="C155" s="28" t="str">
        <f aca="false">IF($B155="","",IFERROR(INDEX(Proposals!$C$6:$C$205,MATCH($B155,Proposals!$A$6:$A$205,0)),"Proposal not found"))</f>
        <v/>
      </c>
      <c r="D155" s="22"/>
      <c r="E155" s="23"/>
      <c r="F155" s="22"/>
      <c r="G155" s="29"/>
      <c r="H155" s="30"/>
      <c r="I155" s="26" t="str">
        <f aca="false">IF($A155="","",N($G155)*N($H155))</f>
        <v/>
      </c>
      <c r="J155" s="26" t="str">
        <f aca="false">IF($A155="","",N($G155)+$I155)</f>
        <v/>
      </c>
      <c r="K155" s="23"/>
      <c r="L155" s="22"/>
      <c r="M155" s="22"/>
      <c r="N155" s="23"/>
      <c r="O155" s="27" t="str">
        <f aca="true">IF($A155="","",IF(AND(OR($L155="Sent",$L155="Approved"),$K155&lt;&gt;"",$K155&lt;TODAY()),"EXPIRED",""))</f>
        <v/>
      </c>
      <c r="P155" s="24"/>
      <c r="Q155" s="24"/>
    </row>
    <row r="156" customFormat="false" ht="15" hidden="false" customHeight="false" outlineLevel="0" collapsed="false">
      <c r="A156" s="22"/>
      <c r="B156" s="22"/>
      <c r="C156" s="28" t="str">
        <f aca="false">IF($B156="","",IFERROR(INDEX(Proposals!$C$6:$C$205,MATCH($B156,Proposals!$A$6:$A$205,0)),"Proposal not found"))</f>
        <v/>
      </c>
      <c r="D156" s="22"/>
      <c r="E156" s="23"/>
      <c r="F156" s="22"/>
      <c r="G156" s="29"/>
      <c r="H156" s="30"/>
      <c r="I156" s="26" t="str">
        <f aca="false">IF($A156="","",N($G156)*N($H156))</f>
        <v/>
      </c>
      <c r="J156" s="26" t="str">
        <f aca="false">IF($A156="","",N($G156)+$I156)</f>
        <v/>
      </c>
      <c r="K156" s="23"/>
      <c r="L156" s="22"/>
      <c r="M156" s="22"/>
      <c r="N156" s="23"/>
      <c r="O156" s="27" t="str">
        <f aca="true">IF($A156="","",IF(AND(OR($L156="Sent",$L156="Approved"),$K156&lt;&gt;"",$K156&lt;TODAY()),"EXPIRED",""))</f>
        <v/>
      </c>
      <c r="P156" s="24"/>
      <c r="Q156" s="24"/>
    </row>
    <row r="157" customFormat="false" ht="15" hidden="false" customHeight="false" outlineLevel="0" collapsed="false">
      <c r="A157" s="22"/>
      <c r="B157" s="22"/>
      <c r="C157" s="28" t="str">
        <f aca="false">IF($B157="","",IFERROR(INDEX(Proposals!$C$6:$C$205,MATCH($B157,Proposals!$A$6:$A$205,0)),"Proposal not found"))</f>
        <v/>
      </c>
      <c r="D157" s="22"/>
      <c r="E157" s="23"/>
      <c r="F157" s="22"/>
      <c r="G157" s="29"/>
      <c r="H157" s="30"/>
      <c r="I157" s="26" t="str">
        <f aca="false">IF($A157="","",N($G157)*N($H157))</f>
        <v/>
      </c>
      <c r="J157" s="26" t="str">
        <f aca="false">IF($A157="","",N($G157)+$I157)</f>
        <v/>
      </c>
      <c r="K157" s="23"/>
      <c r="L157" s="22"/>
      <c r="M157" s="22"/>
      <c r="N157" s="23"/>
      <c r="O157" s="27" t="str">
        <f aca="true">IF($A157="","",IF(AND(OR($L157="Sent",$L157="Approved"),$K157&lt;&gt;"",$K157&lt;TODAY()),"EXPIRED",""))</f>
        <v/>
      </c>
      <c r="P157" s="24"/>
      <c r="Q157" s="24"/>
    </row>
    <row r="158" customFormat="false" ht="15" hidden="false" customHeight="false" outlineLevel="0" collapsed="false">
      <c r="A158" s="22"/>
      <c r="B158" s="22"/>
      <c r="C158" s="28" t="str">
        <f aca="false">IF($B158="","",IFERROR(INDEX(Proposals!$C$6:$C$205,MATCH($B158,Proposals!$A$6:$A$205,0)),"Proposal not found"))</f>
        <v/>
      </c>
      <c r="D158" s="22"/>
      <c r="E158" s="23"/>
      <c r="F158" s="22"/>
      <c r="G158" s="29"/>
      <c r="H158" s="30"/>
      <c r="I158" s="26" t="str">
        <f aca="false">IF($A158="","",N($G158)*N($H158))</f>
        <v/>
      </c>
      <c r="J158" s="26" t="str">
        <f aca="false">IF($A158="","",N($G158)+$I158)</f>
        <v/>
      </c>
      <c r="K158" s="23"/>
      <c r="L158" s="22"/>
      <c r="M158" s="22"/>
      <c r="N158" s="23"/>
      <c r="O158" s="27" t="str">
        <f aca="true">IF($A158="","",IF(AND(OR($L158="Sent",$L158="Approved"),$K158&lt;&gt;"",$K158&lt;TODAY()),"EXPIRED",""))</f>
        <v/>
      </c>
      <c r="P158" s="24"/>
      <c r="Q158" s="24"/>
    </row>
    <row r="159" customFormat="false" ht="15" hidden="false" customHeight="false" outlineLevel="0" collapsed="false">
      <c r="A159" s="22"/>
      <c r="B159" s="22"/>
      <c r="C159" s="28" t="str">
        <f aca="false">IF($B159="","",IFERROR(INDEX(Proposals!$C$6:$C$205,MATCH($B159,Proposals!$A$6:$A$205,0)),"Proposal not found"))</f>
        <v/>
      </c>
      <c r="D159" s="22"/>
      <c r="E159" s="23"/>
      <c r="F159" s="22"/>
      <c r="G159" s="29"/>
      <c r="H159" s="30"/>
      <c r="I159" s="26" t="str">
        <f aca="false">IF($A159="","",N($G159)*N($H159))</f>
        <v/>
      </c>
      <c r="J159" s="26" t="str">
        <f aca="false">IF($A159="","",N($G159)+$I159)</f>
        <v/>
      </c>
      <c r="K159" s="23"/>
      <c r="L159" s="22"/>
      <c r="M159" s="22"/>
      <c r="N159" s="23"/>
      <c r="O159" s="27" t="str">
        <f aca="true">IF($A159="","",IF(AND(OR($L159="Sent",$L159="Approved"),$K159&lt;&gt;"",$K159&lt;TODAY()),"EXPIRED",""))</f>
        <v/>
      </c>
      <c r="P159" s="24"/>
      <c r="Q159" s="24"/>
    </row>
    <row r="160" customFormat="false" ht="15" hidden="false" customHeight="false" outlineLevel="0" collapsed="false">
      <c r="A160" s="22"/>
      <c r="B160" s="22"/>
      <c r="C160" s="28" t="str">
        <f aca="false">IF($B160="","",IFERROR(INDEX(Proposals!$C$6:$C$205,MATCH($B160,Proposals!$A$6:$A$205,0)),"Proposal not found"))</f>
        <v/>
      </c>
      <c r="D160" s="22"/>
      <c r="E160" s="23"/>
      <c r="F160" s="22"/>
      <c r="G160" s="29"/>
      <c r="H160" s="30"/>
      <c r="I160" s="26" t="str">
        <f aca="false">IF($A160="","",N($G160)*N($H160))</f>
        <v/>
      </c>
      <c r="J160" s="26" t="str">
        <f aca="false">IF($A160="","",N($G160)+$I160)</f>
        <v/>
      </c>
      <c r="K160" s="23"/>
      <c r="L160" s="22"/>
      <c r="M160" s="22"/>
      <c r="N160" s="23"/>
      <c r="O160" s="27" t="str">
        <f aca="true">IF($A160="","",IF(AND(OR($L160="Sent",$L160="Approved"),$K160&lt;&gt;"",$K160&lt;TODAY()),"EXPIRED",""))</f>
        <v/>
      </c>
      <c r="P160" s="24"/>
      <c r="Q160" s="24"/>
    </row>
    <row r="161" customFormat="false" ht="15" hidden="false" customHeight="false" outlineLevel="0" collapsed="false">
      <c r="A161" s="22"/>
      <c r="B161" s="22"/>
      <c r="C161" s="28" t="str">
        <f aca="false">IF($B161="","",IFERROR(INDEX(Proposals!$C$6:$C$205,MATCH($B161,Proposals!$A$6:$A$205,0)),"Proposal not found"))</f>
        <v/>
      </c>
      <c r="D161" s="22"/>
      <c r="E161" s="23"/>
      <c r="F161" s="22"/>
      <c r="G161" s="29"/>
      <c r="H161" s="30"/>
      <c r="I161" s="26" t="str">
        <f aca="false">IF($A161="","",N($G161)*N($H161))</f>
        <v/>
      </c>
      <c r="J161" s="26" t="str">
        <f aca="false">IF($A161="","",N($G161)+$I161)</f>
        <v/>
      </c>
      <c r="K161" s="23"/>
      <c r="L161" s="22"/>
      <c r="M161" s="22"/>
      <c r="N161" s="23"/>
      <c r="O161" s="27" t="str">
        <f aca="true">IF($A161="","",IF(AND(OR($L161="Sent",$L161="Approved"),$K161&lt;&gt;"",$K161&lt;TODAY()),"EXPIRED",""))</f>
        <v/>
      </c>
      <c r="P161" s="24"/>
      <c r="Q161" s="24"/>
    </row>
    <row r="162" customFormat="false" ht="15" hidden="false" customHeight="false" outlineLevel="0" collapsed="false">
      <c r="A162" s="22"/>
      <c r="B162" s="22"/>
      <c r="C162" s="28" t="str">
        <f aca="false">IF($B162="","",IFERROR(INDEX(Proposals!$C$6:$C$205,MATCH($B162,Proposals!$A$6:$A$205,0)),"Proposal not found"))</f>
        <v/>
      </c>
      <c r="D162" s="22"/>
      <c r="E162" s="23"/>
      <c r="F162" s="22"/>
      <c r="G162" s="29"/>
      <c r="H162" s="30"/>
      <c r="I162" s="26" t="str">
        <f aca="false">IF($A162="","",N($G162)*N($H162))</f>
        <v/>
      </c>
      <c r="J162" s="26" t="str">
        <f aca="false">IF($A162="","",N($G162)+$I162)</f>
        <v/>
      </c>
      <c r="K162" s="23"/>
      <c r="L162" s="22"/>
      <c r="M162" s="22"/>
      <c r="N162" s="23"/>
      <c r="O162" s="27" t="str">
        <f aca="true">IF($A162="","",IF(AND(OR($L162="Sent",$L162="Approved"),$K162&lt;&gt;"",$K162&lt;TODAY()),"EXPIRED",""))</f>
        <v/>
      </c>
      <c r="P162" s="24"/>
      <c r="Q162" s="24"/>
    </row>
    <row r="163" customFormat="false" ht="15" hidden="false" customHeight="false" outlineLevel="0" collapsed="false">
      <c r="A163" s="22"/>
      <c r="B163" s="22"/>
      <c r="C163" s="28" t="str">
        <f aca="false">IF($B163="","",IFERROR(INDEX(Proposals!$C$6:$C$205,MATCH($B163,Proposals!$A$6:$A$205,0)),"Proposal not found"))</f>
        <v/>
      </c>
      <c r="D163" s="22"/>
      <c r="E163" s="23"/>
      <c r="F163" s="22"/>
      <c r="G163" s="29"/>
      <c r="H163" s="30"/>
      <c r="I163" s="26" t="str">
        <f aca="false">IF($A163="","",N($G163)*N($H163))</f>
        <v/>
      </c>
      <c r="J163" s="26" t="str">
        <f aca="false">IF($A163="","",N($G163)+$I163)</f>
        <v/>
      </c>
      <c r="K163" s="23"/>
      <c r="L163" s="22"/>
      <c r="M163" s="22"/>
      <c r="N163" s="23"/>
      <c r="O163" s="27" t="str">
        <f aca="true">IF($A163="","",IF(AND(OR($L163="Sent",$L163="Approved"),$K163&lt;&gt;"",$K163&lt;TODAY()),"EXPIRED",""))</f>
        <v/>
      </c>
      <c r="P163" s="24"/>
      <c r="Q163" s="24"/>
    </row>
    <row r="164" customFormat="false" ht="15" hidden="false" customHeight="false" outlineLevel="0" collapsed="false">
      <c r="A164" s="22"/>
      <c r="B164" s="22"/>
      <c r="C164" s="28" t="str">
        <f aca="false">IF($B164="","",IFERROR(INDEX(Proposals!$C$6:$C$205,MATCH($B164,Proposals!$A$6:$A$205,0)),"Proposal not found"))</f>
        <v/>
      </c>
      <c r="D164" s="22"/>
      <c r="E164" s="23"/>
      <c r="F164" s="22"/>
      <c r="G164" s="29"/>
      <c r="H164" s="30"/>
      <c r="I164" s="26" t="str">
        <f aca="false">IF($A164="","",N($G164)*N($H164))</f>
        <v/>
      </c>
      <c r="J164" s="26" t="str">
        <f aca="false">IF($A164="","",N($G164)+$I164)</f>
        <v/>
      </c>
      <c r="K164" s="23"/>
      <c r="L164" s="22"/>
      <c r="M164" s="22"/>
      <c r="N164" s="23"/>
      <c r="O164" s="27" t="str">
        <f aca="true">IF($A164="","",IF(AND(OR($L164="Sent",$L164="Approved"),$K164&lt;&gt;"",$K164&lt;TODAY()),"EXPIRED",""))</f>
        <v/>
      </c>
      <c r="P164" s="24"/>
      <c r="Q164" s="24"/>
    </row>
    <row r="165" customFormat="false" ht="15" hidden="false" customHeight="false" outlineLevel="0" collapsed="false">
      <c r="A165" s="22"/>
      <c r="B165" s="22"/>
      <c r="C165" s="28" t="str">
        <f aca="false">IF($B165="","",IFERROR(INDEX(Proposals!$C$6:$C$205,MATCH($B165,Proposals!$A$6:$A$205,0)),"Proposal not found"))</f>
        <v/>
      </c>
      <c r="D165" s="22"/>
      <c r="E165" s="23"/>
      <c r="F165" s="22"/>
      <c r="G165" s="29"/>
      <c r="H165" s="30"/>
      <c r="I165" s="26" t="str">
        <f aca="false">IF($A165="","",N($G165)*N($H165))</f>
        <v/>
      </c>
      <c r="J165" s="26" t="str">
        <f aca="false">IF($A165="","",N($G165)+$I165)</f>
        <v/>
      </c>
      <c r="K165" s="23"/>
      <c r="L165" s="22"/>
      <c r="M165" s="22"/>
      <c r="N165" s="23"/>
      <c r="O165" s="27" t="str">
        <f aca="true">IF($A165="","",IF(AND(OR($L165="Sent",$L165="Approved"),$K165&lt;&gt;"",$K165&lt;TODAY()),"EXPIRED",""))</f>
        <v/>
      </c>
      <c r="P165" s="24"/>
      <c r="Q165" s="24"/>
    </row>
    <row r="166" customFormat="false" ht="15" hidden="false" customHeight="false" outlineLevel="0" collapsed="false">
      <c r="A166" s="22"/>
      <c r="B166" s="22"/>
      <c r="C166" s="28" t="str">
        <f aca="false">IF($B166="","",IFERROR(INDEX(Proposals!$C$6:$C$205,MATCH($B166,Proposals!$A$6:$A$205,0)),"Proposal not found"))</f>
        <v/>
      </c>
      <c r="D166" s="22"/>
      <c r="E166" s="23"/>
      <c r="F166" s="22"/>
      <c r="G166" s="29"/>
      <c r="H166" s="30"/>
      <c r="I166" s="26" t="str">
        <f aca="false">IF($A166="","",N($G166)*N($H166))</f>
        <v/>
      </c>
      <c r="J166" s="26" t="str">
        <f aca="false">IF($A166="","",N($G166)+$I166)</f>
        <v/>
      </c>
      <c r="K166" s="23"/>
      <c r="L166" s="22"/>
      <c r="M166" s="22"/>
      <c r="N166" s="23"/>
      <c r="O166" s="27" t="str">
        <f aca="true">IF($A166="","",IF(AND(OR($L166="Sent",$L166="Approved"),$K166&lt;&gt;"",$K166&lt;TODAY()),"EXPIRED",""))</f>
        <v/>
      </c>
      <c r="P166" s="24"/>
      <c r="Q166" s="24"/>
    </row>
    <row r="167" customFormat="false" ht="15" hidden="false" customHeight="false" outlineLevel="0" collapsed="false">
      <c r="A167" s="22"/>
      <c r="B167" s="22"/>
      <c r="C167" s="28" t="str">
        <f aca="false">IF($B167="","",IFERROR(INDEX(Proposals!$C$6:$C$205,MATCH($B167,Proposals!$A$6:$A$205,0)),"Proposal not found"))</f>
        <v/>
      </c>
      <c r="D167" s="22"/>
      <c r="E167" s="23"/>
      <c r="F167" s="22"/>
      <c r="G167" s="29"/>
      <c r="H167" s="30"/>
      <c r="I167" s="26" t="str">
        <f aca="false">IF($A167="","",N($G167)*N($H167))</f>
        <v/>
      </c>
      <c r="J167" s="26" t="str">
        <f aca="false">IF($A167="","",N($G167)+$I167)</f>
        <v/>
      </c>
      <c r="K167" s="23"/>
      <c r="L167" s="22"/>
      <c r="M167" s="22"/>
      <c r="N167" s="23"/>
      <c r="O167" s="27" t="str">
        <f aca="true">IF($A167="","",IF(AND(OR($L167="Sent",$L167="Approved"),$K167&lt;&gt;"",$K167&lt;TODAY()),"EXPIRED",""))</f>
        <v/>
      </c>
      <c r="P167" s="24"/>
      <c r="Q167" s="24"/>
    </row>
    <row r="168" customFormat="false" ht="15" hidden="false" customHeight="false" outlineLevel="0" collapsed="false">
      <c r="A168" s="22"/>
      <c r="B168" s="22"/>
      <c r="C168" s="28" t="str">
        <f aca="false">IF($B168="","",IFERROR(INDEX(Proposals!$C$6:$C$205,MATCH($B168,Proposals!$A$6:$A$205,0)),"Proposal not found"))</f>
        <v/>
      </c>
      <c r="D168" s="22"/>
      <c r="E168" s="23"/>
      <c r="F168" s="22"/>
      <c r="G168" s="29"/>
      <c r="H168" s="30"/>
      <c r="I168" s="26" t="str">
        <f aca="false">IF($A168="","",N($G168)*N($H168))</f>
        <v/>
      </c>
      <c r="J168" s="26" t="str">
        <f aca="false">IF($A168="","",N($G168)+$I168)</f>
        <v/>
      </c>
      <c r="K168" s="23"/>
      <c r="L168" s="22"/>
      <c r="M168" s="22"/>
      <c r="N168" s="23"/>
      <c r="O168" s="27" t="str">
        <f aca="true">IF($A168="","",IF(AND(OR($L168="Sent",$L168="Approved"),$K168&lt;&gt;"",$K168&lt;TODAY()),"EXPIRED",""))</f>
        <v/>
      </c>
      <c r="P168" s="24"/>
      <c r="Q168" s="24"/>
    </row>
    <row r="169" customFormat="false" ht="15" hidden="false" customHeight="false" outlineLevel="0" collapsed="false">
      <c r="A169" s="22"/>
      <c r="B169" s="22"/>
      <c r="C169" s="28" t="str">
        <f aca="false">IF($B169="","",IFERROR(INDEX(Proposals!$C$6:$C$205,MATCH($B169,Proposals!$A$6:$A$205,0)),"Proposal not found"))</f>
        <v/>
      </c>
      <c r="D169" s="22"/>
      <c r="E169" s="23"/>
      <c r="F169" s="22"/>
      <c r="G169" s="29"/>
      <c r="H169" s="30"/>
      <c r="I169" s="26" t="str">
        <f aca="false">IF($A169="","",N($G169)*N($H169))</f>
        <v/>
      </c>
      <c r="J169" s="26" t="str">
        <f aca="false">IF($A169="","",N($G169)+$I169)</f>
        <v/>
      </c>
      <c r="K169" s="23"/>
      <c r="L169" s="22"/>
      <c r="M169" s="22"/>
      <c r="N169" s="23"/>
      <c r="O169" s="27" t="str">
        <f aca="true">IF($A169="","",IF(AND(OR($L169="Sent",$L169="Approved"),$K169&lt;&gt;"",$K169&lt;TODAY()),"EXPIRED",""))</f>
        <v/>
      </c>
      <c r="P169" s="24"/>
      <c r="Q169" s="24"/>
    </row>
    <row r="170" customFormat="false" ht="15" hidden="false" customHeight="false" outlineLevel="0" collapsed="false">
      <c r="A170" s="22"/>
      <c r="B170" s="22"/>
      <c r="C170" s="28" t="str">
        <f aca="false">IF($B170="","",IFERROR(INDEX(Proposals!$C$6:$C$205,MATCH($B170,Proposals!$A$6:$A$205,0)),"Proposal not found"))</f>
        <v/>
      </c>
      <c r="D170" s="22"/>
      <c r="E170" s="23"/>
      <c r="F170" s="22"/>
      <c r="G170" s="29"/>
      <c r="H170" s="30"/>
      <c r="I170" s="26" t="str">
        <f aca="false">IF($A170="","",N($G170)*N($H170))</f>
        <v/>
      </c>
      <c r="J170" s="26" t="str">
        <f aca="false">IF($A170="","",N($G170)+$I170)</f>
        <v/>
      </c>
      <c r="K170" s="23"/>
      <c r="L170" s="22"/>
      <c r="M170" s="22"/>
      <c r="N170" s="23"/>
      <c r="O170" s="27" t="str">
        <f aca="true">IF($A170="","",IF(AND(OR($L170="Sent",$L170="Approved"),$K170&lt;&gt;"",$K170&lt;TODAY()),"EXPIRED",""))</f>
        <v/>
      </c>
      <c r="P170" s="24"/>
      <c r="Q170" s="24"/>
    </row>
    <row r="171" customFormat="false" ht="15" hidden="false" customHeight="false" outlineLevel="0" collapsed="false">
      <c r="A171" s="22"/>
      <c r="B171" s="22"/>
      <c r="C171" s="28" t="str">
        <f aca="false">IF($B171="","",IFERROR(INDEX(Proposals!$C$6:$C$205,MATCH($B171,Proposals!$A$6:$A$205,0)),"Proposal not found"))</f>
        <v/>
      </c>
      <c r="D171" s="22"/>
      <c r="E171" s="23"/>
      <c r="F171" s="22"/>
      <c r="G171" s="29"/>
      <c r="H171" s="30"/>
      <c r="I171" s="26" t="str">
        <f aca="false">IF($A171="","",N($G171)*N($H171))</f>
        <v/>
      </c>
      <c r="J171" s="26" t="str">
        <f aca="false">IF($A171="","",N($G171)+$I171)</f>
        <v/>
      </c>
      <c r="K171" s="23"/>
      <c r="L171" s="22"/>
      <c r="M171" s="22"/>
      <c r="N171" s="23"/>
      <c r="O171" s="27" t="str">
        <f aca="true">IF($A171="","",IF(AND(OR($L171="Sent",$L171="Approved"),$K171&lt;&gt;"",$K171&lt;TODAY()),"EXPIRED",""))</f>
        <v/>
      </c>
      <c r="P171" s="24"/>
      <c r="Q171" s="24"/>
    </row>
    <row r="172" customFormat="false" ht="15" hidden="false" customHeight="false" outlineLevel="0" collapsed="false">
      <c r="A172" s="22"/>
      <c r="B172" s="22"/>
      <c r="C172" s="28" t="str">
        <f aca="false">IF($B172="","",IFERROR(INDEX(Proposals!$C$6:$C$205,MATCH($B172,Proposals!$A$6:$A$205,0)),"Proposal not found"))</f>
        <v/>
      </c>
      <c r="D172" s="22"/>
      <c r="E172" s="23"/>
      <c r="F172" s="22"/>
      <c r="G172" s="29"/>
      <c r="H172" s="30"/>
      <c r="I172" s="26" t="str">
        <f aca="false">IF($A172="","",N($G172)*N($H172))</f>
        <v/>
      </c>
      <c r="J172" s="26" t="str">
        <f aca="false">IF($A172="","",N($G172)+$I172)</f>
        <v/>
      </c>
      <c r="K172" s="23"/>
      <c r="L172" s="22"/>
      <c r="M172" s="22"/>
      <c r="N172" s="23"/>
      <c r="O172" s="27" t="str">
        <f aca="true">IF($A172="","",IF(AND(OR($L172="Sent",$L172="Approved"),$K172&lt;&gt;"",$K172&lt;TODAY()),"EXPIRED",""))</f>
        <v/>
      </c>
      <c r="P172" s="24"/>
      <c r="Q172" s="24"/>
    </row>
    <row r="173" customFormat="false" ht="15" hidden="false" customHeight="false" outlineLevel="0" collapsed="false">
      <c r="A173" s="22"/>
      <c r="B173" s="22"/>
      <c r="C173" s="28" t="str">
        <f aca="false">IF($B173="","",IFERROR(INDEX(Proposals!$C$6:$C$205,MATCH($B173,Proposals!$A$6:$A$205,0)),"Proposal not found"))</f>
        <v/>
      </c>
      <c r="D173" s="22"/>
      <c r="E173" s="23"/>
      <c r="F173" s="22"/>
      <c r="G173" s="29"/>
      <c r="H173" s="30"/>
      <c r="I173" s="26" t="str">
        <f aca="false">IF($A173="","",N($G173)*N($H173))</f>
        <v/>
      </c>
      <c r="J173" s="26" t="str">
        <f aca="false">IF($A173="","",N($G173)+$I173)</f>
        <v/>
      </c>
      <c r="K173" s="23"/>
      <c r="L173" s="22"/>
      <c r="M173" s="22"/>
      <c r="N173" s="23"/>
      <c r="O173" s="27" t="str">
        <f aca="true">IF($A173="","",IF(AND(OR($L173="Sent",$L173="Approved"),$K173&lt;&gt;"",$K173&lt;TODAY()),"EXPIRED",""))</f>
        <v/>
      </c>
      <c r="P173" s="24"/>
      <c r="Q173" s="24"/>
    </row>
    <row r="174" customFormat="false" ht="15" hidden="false" customHeight="false" outlineLevel="0" collapsed="false">
      <c r="A174" s="22"/>
      <c r="B174" s="22"/>
      <c r="C174" s="28" t="str">
        <f aca="false">IF($B174="","",IFERROR(INDEX(Proposals!$C$6:$C$205,MATCH($B174,Proposals!$A$6:$A$205,0)),"Proposal not found"))</f>
        <v/>
      </c>
      <c r="D174" s="22"/>
      <c r="E174" s="23"/>
      <c r="F174" s="22"/>
      <c r="G174" s="29"/>
      <c r="H174" s="30"/>
      <c r="I174" s="26" t="str">
        <f aca="false">IF($A174="","",N($G174)*N($H174))</f>
        <v/>
      </c>
      <c r="J174" s="26" t="str">
        <f aca="false">IF($A174="","",N($G174)+$I174)</f>
        <v/>
      </c>
      <c r="K174" s="23"/>
      <c r="L174" s="22"/>
      <c r="M174" s="22"/>
      <c r="N174" s="23"/>
      <c r="O174" s="27" t="str">
        <f aca="true">IF($A174="","",IF(AND(OR($L174="Sent",$L174="Approved"),$K174&lt;&gt;"",$K174&lt;TODAY()),"EXPIRED",""))</f>
        <v/>
      </c>
      <c r="P174" s="24"/>
      <c r="Q174" s="24"/>
    </row>
    <row r="175" customFormat="false" ht="15" hidden="false" customHeight="false" outlineLevel="0" collapsed="false">
      <c r="A175" s="22"/>
      <c r="B175" s="22"/>
      <c r="C175" s="28" t="str">
        <f aca="false">IF($B175="","",IFERROR(INDEX(Proposals!$C$6:$C$205,MATCH($B175,Proposals!$A$6:$A$205,0)),"Proposal not found"))</f>
        <v/>
      </c>
      <c r="D175" s="22"/>
      <c r="E175" s="23"/>
      <c r="F175" s="22"/>
      <c r="G175" s="29"/>
      <c r="H175" s="30"/>
      <c r="I175" s="26" t="str">
        <f aca="false">IF($A175="","",N($G175)*N($H175))</f>
        <v/>
      </c>
      <c r="J175" s="26" t="str">
        <f aca="false">IF($A175="","",N($G175)+$I175)</f>
        <v/>
      </c>
      <c r="K175" s="23"/>
      <c r="L175" s="22"/>
      <c r="M175" s="22"/>
      <c r="N175" s="23"/>
      <c r="O175" s="27" t="str">
        <f aca="true">IF($A175="","",IF(AND(OR($L175="Sent",$L175="Approved"),$K175&lt;&gt;"",$K175&lt;TODAY()),"EXPIRED",""))</f>
        <v/>
      </c>
      <c r="P175" s="24"/>
      <c r="Q175" s="24"/>
    </row>
    <row r="176" customFormat="false" ht="15" hidden="false" customHeight="false" outlineLevel="0" collapsed="false">
      <c r="A176" s="22"/>
      <c r="B176" s="22"/>
      <c r="C176" s="28" t="str">
        <f aca="false">IF($B176="","",IFERROR(INDEX(Proposals!$C$6:$C$205,MATCH($B176,Proposals!$A$6:$A$205,0)),"Proposal not found"))</f>
        <v/>
      </c>
      <c r="D176" s="22"/>
      <c r="E176" s="23"/>
      <c r="F176" s="22"/>
      <c r="G176" s="29"/>
      <c r="H176" s="30"/>
      <c r="I176" s="26" t="str">
        <f aca="false">IF($A176="","",N($G176)*N($H176))</f>
        <v/>
      </c>
      <c r="J176" s="26" t="str">
        <f aca="false">IF($A176="","",N($G176)+$I176)</f>
        <v/>
      </c>
      <c r="K176" s="23"/>
      <c r="L176" s="22"/>
      <c r="M176" s="22"/>
      <c r="N176" s="23"/>
      <c r="O176" s="27" t="str">
        <f aca="true">IF($A176="","",IF(AND(OR($L176="Sent",$L176="Approved"),$K176&lt;&gt;"",$K176&lt;TODAY()),"EXPIRED",""))</f>
        <v/>
      </c>
      <c r="P176" s="24"/>
      <c r="Q176" s="24"/>
    </row>
    <row r="177" customFormat="false" ht="15" hidden="false" customHeight="false" outlineLevel="0" collapsed="false">
      <c r="A177" s="22"/>
      <c r="B177" s="22"/>
      <c r="C177" s="28" t="str">
        <f aca="false">IF($B177="","",IFERROR(INDEX(Proposals!$C$6:$C$205,MATCH($B177,Proposals!$A$6:$A$205,0)),"Proposal not found"))</f>
        <v/>
      </c>
      <c r="D177" s="22"/>
      <c r="E177" s="23"/>
      <c r="F177" s="22"/>
      <c r="G177" s="29"/>
      <c r="H177" s="30"/>
      <c r="I177" s="26" t="str">
        <f aca="false">IF($A177="","",N($G177)*N($H177))</f>
        <v/>
      </c>
      <c r="J177" s="26" t="str">
        <f aca="false">IF($A177="","",N($G177)+$I177)</f>
        <v/>
      </c>
      <c r="K177" s="23"/>
      <c r="L177" s="22"/>
      <c r="M177" s="22"/>
      <c r="N177" s="23"/>
      <c r="O177" s="27" t="str">
        <f aca="true">IF($A177="","",IF(AND(OR($L177="Sent",$L177="Approved"),$K177&lt;&gt;"",$K177&lt;TODAY()),"EXPIRED",""))</f>
        <v/>
      </c>
      <c r="P177" s="24"/>
      <c r="Q177" s="24"/>
    </row>
    <row r="178" customFormat="false" ht="15" hidden="false" customHeight="false" outlineLevel="0" collapsed="false">
      <c r="A178" s="22"/>
      <c r="B178" s="22"/>
      <c r="C178" s="28" t="str">
        <f aca="false">IF($B178="","",IFERROR(INDEX(Proposals!$C$6:$C$205,MATCH($B178,Proposals!$A$6:$A$205,0)),"Proposal not found"))</f>
        <v/>
      </c>
      <c r="D178" s="22"/>
      <c r="E178" s="23"/>
      <c r="F178" s="22"/>
      <c r="G178" s="29"/>
      <c r="H178" s="30"/>
      <c r="I178" s="26" t="str">
        <f aca="false">IF($A178="","",N($G178)*N($H178))</f>
        <v/>
      </c>
      <c r="J178" s="26" t="str">
        <f aca="false">IF($A178="","",N($G178)+$I178)</f>
        <v/>
      </c>
      <c r="K178" s="23"/>
      <c r="L178" s="22"/>
      <c r="M178" s="22"/>
      <c r="N178" s="23"/>
      <c r="O178" s="27" t="str">
        <f aca="true">IF($A178="","",IF(AND(OR($L178="Sent",$L178="Approved"),$K178&lt;&gt;"",$K178&lt;TODAY()),"EXPIRED",""))</f>
        <v/>
      </c>
      <c r="P178" s="24"/>
      <c r="Q178" s="24"/>
    </row>
    <row r="179" customFormat="false" ht="15" hidden="false" customHeight="false" outlineLevel="0" collapsed="false">
      <c r="A179" s="22"/>
      <c r="B179" s="22"/>
      <c r="C179" s="28" t="str">
        <f aca="false">IF($B179="","",IFERROR(INDEX(Proposals!$C$6:$C$205,MATCH($B179,Proposals!$A$6:$A$205,0)),"Proposal not found"))</f>
        <v/>
      </c>
      <c r="D179" s="22"/>
      <c r="E179" s="23"/>
      <c r="F179" s="22"/>
      <c r="G179" s="29"/>
      <c r="H179" s="30"/>
      <c r="I179" s="26" t="str">
        <f aca="false">IF($A179="","",N($G179)*N($H179))</f>
        <v/>
      </c>
      <c r="J179" s="26" t="str">
        <f aca="false">IF($A179="","",N($G179)+$I179)</f>
        <v/>
      </c>
      <c r="K179" s="23"/>
      <c r="L179" s="22"/>
      <c r="M179" s="22"/>
      <c r="N179" s="23"/>
      <c r="O179" s="27" t="str">
        <f aca="true">IF($A179="","",IF(AND(OR($L179="Sent",$L179="Approved"),$K179&lt;&gt;"",$K179&lt;TODAY()),"EXPIRED",""))</f>
        <v/>
      </c>
      <c r="P179" s="24"/>
      <c r="Q179" s="24"/>
    </row>
    <row r="180" customFormat="false" ht="15" hidden="false" customHeight="false" outlineLevel="0" collapsed="false">
      <c r="A180" s="22"/>
      <c r="B180" s="22"/>
      <c r="C180" s="28" t="str">
        <f aca="false">IF($B180="","",IFERROR(INDEX(Proposals!$C$6:$C$205,MATCH($B180,Proposals!$A$6:$A$205,0)),"Proposal not found"))</f>
        <v/>
      </c>
      <c r="D180" s="22"/>
      <c r="E180" s="23"/>
      <c r="F180" s="22"/>
      <c r="G180" s="29"/>
      <c r="H180" s="30"/>
      <c r="I180" s="26" t="str">
        <f aca="false">IF($A180="","",N($G180)*N($H180))</f>
        <v/>
      </c>
      <c r="J180" s="26" t="str">
        <f aca="false">IF($A180="","",N($G180)+$I180)</f>
        <v/>
      </c>
      <c r="K180" s="23"/>
      <c r="L180" s="22"/>
      <c r="M180" s="22"/>
      <c r="N180" s="23"/>
      <c r="O180" s="27" t="str">
        <f aca="true">IF($A180="","",IF(AND(OR($L180="Sent",$L180="Approved"),$K180&lt;&gt;"",$K180&lt;TODAY()),"EXPIRED",""))</f>
        <v/>
      </c>
      <c r="P180" s="24"/>
      <c r="Q180" s="24"/>
    </row>
    <row r="181" customFormat="false" ht="15" hidden="false" customHeight="false" outlineLevel="0" collapsed="false">
      <c r="A181" s="22"/>
      <c r="B181" s="22"/>
      <c r="C181" s="28" t="str">
        <f aca="false">IF($B181="","",IFERROR(INDEX(Proposals!$C$6:$C$205,MATCH($B181,Proposals!$A$6:$A$205,0)),"Proposal not found"))</f>
        <v/>
      </c>
      <c r="D181" s="22"/>
      <c r="E181" s="23"/>
      <c r="F181" s="22"/>
      <c r="G181" s="29"/>
      <c r="H181" s="30"/>
      <c r="I181" s="26" t="str">
        <f aca="false">IF($A181="","",N($G181)*N($H181))</f>
        <v/>
      </c>
      <c r="J181" s="26" t="str">
        <f aca="false">IF($A181="","",N($G181)+$I181)</f>
        <v/>
      </c>
      <c r="K181" s="23"/>
      <c r="L181" s="22"/>
      <c r="M181" s="22"/>
      <c r="N181" s="23"/>
      <c r="O181" s="27" t="str">
        <f aca="true">IF($A181="","",IF(AND(OR($L181="Sent",$L181="Approved"),$K181&lt;&gt;"",$K181&lt;TODAY()),"EXPIRED",""))</f>
        <v/>
      </c>
      <c r="P181" s="24"/>
      <c r="Q181" s="24"/>
    </row>
    <row r="182" customFormat="false" ht="15" hidden="false" customHeight="false" outlineLevel="0" collapsed="false">
      <c r="A182" s="22"/>
      <c r="B182" s="22"/>
      <c r="C182" s="28" t="str">
        <f aca="false">IF($B182="","",IFERROR(INDEX(Proposals!$C$6:$C$205,MATCH($B182,Proposals!$A$6:$A$205,0)),"Proposal not found"))</f>
        <v/>
      </c>
      <c r="D182" s="22"/>
      <c r="E182" s="23"/>
      <c r="F182" s="22"/>
      <c r="G182" s="29"/>
      <c r="H182" s="30"/>
      <c r="I182" s="26" t="str">
        <f aca="false">IF($A182="","",N($G182)*N($H182))</f>
        <v/>
      </c>
      <c r="J182" s="26" t="str">
        <f aca="false">IF($A182="","",N($G182)+$I182)</f>
        <v/>
      </c>
      <c r="K182" s="23"/>
      <c r="L182" s="22"/>
      <c r="M182" s="22"/>
      <c r="N182" s="23"/>
      <c r="O182" s="27" t="str">
        <f aca="true">IF($A182="","",IF(AND(OR($L182="Sent",$L182="Approved"),$K182&lt;&gt;"",$K182&lt;TODAY()),"EXPIRED",""))</f>
        <v/>
      </c>
      <c r="P182" s="24"/>
      <c r="Q182" s="24"/>
    </row>
    <row r="183" customFormat="false" ht="15" hidden="false" customHeight="false" outlineLevel="0" collapsed="false">
      <c r="A183" s="22"/>
      <c r="B183" s="22"/>
      <c r="C183" s="28" t="str">
        <f aca="false">IF($B183="","",IFERROR(INDEX(Proposals!$C$6:$C$205,MATCH($B183,Proposals!$A$6:$A$205,0)),"Proposal not found"))</f>
        <v/>
      </c>
      <c r="D183" s="22"/>
      <c r="E183" s="23"/>
      <c r="F183" s="22"/>
      <c r="G183" s="29"/>
      <c r="H183" s="30"/>
      <c r="I183" s="26" t="str">
        <f aca="false">IF($A183="","",N($G183)*N($H183))</f>
        <v/>
      </c>
      <c r="J183" s="26" t="str">
        <f aca="false">IF($A183="","",N($G183)+$I183)</f>
        <v/>
      </c>
      <c r="K183" s="23"/>
      <c r="L183" s="22"/>
      <c r="M183" s="22"/>
      <c r="N183" s="23"/>
      <c r="O183" s="27" t="str">
        <f aca="true">IF($A183="","",IF(AND(OR($L183="Sent",$L183="Approved"),$K183&lt;&gt;"",$K183&lt;TODAY()),"EXPIRED",""))</f>
        <v/>
      </c>
      <c r="P183" s="24"/>
      <c r="Q183" s="24"/>
    </row>
    <row r="184" customFormat="false" ht="15" hidden="false" customHeight="false" outlineLevel="0" collapsed="false">
      <c r="A184" s="22"/>
      <c r="B184" s="22"/>
      <c r="C184" s="28" t="str">
        <f aca="false">IF($B184="","",IFERROR(INDEX(Proposals!$C$6:$C$205,MATCH($B184,Proposals!$A$6:$A$205,0)),"Proposal not found"))</f>
        <v/>
      </c>
      <c r="D184" s="22"/>
      <c r="E184" s="23"/>
      <c r="F184" s="22"/>
      <c r="G184" s="29"/>
      <c r="H184" s="30"/>
      <c r="I184" s="26" t="str">
        <f aca="false">IF($A184="","",N($G184)*N($H184))</f>
        <v/>
      </c>
      <c r="J184" s="26" t="str">
        <f aca="false">IF($A184="","",N($G184)+$I184)</f>
        <v/>
      </c>
      <c r="K184" s="23"/>
      <c r="L184" s="22"/>
      <c r="M184" s="22"/>
      <c r="N184" s="23"/>
      <c r="O184" s="27" t="str">
        <f aca="true">IF($A184="","",IF(AND(OR($L184="Sent",$L184="Approved"),$K184&lt;&gt;"",$K184&lt;TODAY()),"EXPIRED",""))</f>
        <v/>
      </c>
      <c r="P184" s="24"/>
      <c r="Q184" s="24"/>
    </row>
    <row r="185" customFormat="false" ht="15" hidden="false" customHeight="false" outlineLevel="0" collapsed="false">
      <c r="A185" s="22"/>
      <c r="B185" s="22"/>
      <c r="C185" s="28" t="str">
        <f aca="false">IF($B185="","",IFERROR(INDEX(Proposals!$C$6:$C$205,MATCH($B185,Proposals!$A$6:$A$205,0)),"Proposal not found"))</f>
        <v/>
      </c>
      <c r="D185" s="22"/>
      <c r="E185" s="23"/>
      <c r="F185" s="22"/>
      <c r="G185" s="29"/>
      <c r="H185" s="30"/>
      <c r="I185" s="26" t="str">
        <f aca="false">IF($A185="","",N($G185)*N($H185))</f>
        <v/>
      </c>
      <c r="J185" s="26" t="str">
        <f aca="false">IF($A185="","",N($G185)+$I185)</f>
        <v/>
      </c>
      <c r="K185" s="23"/>
      <c r="L185" s="22"/>
      <c r="M185" s="22"/>
      <c r="N185" s="23"/>
      <c r="O185" s="27" t="str">
        <f aca="true">IF($A185="","",IF(AND(OR($L185="Sent",$L185="Approved"),$K185&lt;&gt;"",$K185&lt;TODAY()),"EXPIRED",""))</f>
        <v/>
      </c>
      <c r="P185" s="24"/>
      <c r="Q185" s="24"/>
    </row>
    <row r="186" customFormat="false" ht="15" hidden="false" customHeight="false" outlineLevel="0" collapsed="false">
      <c r="A186" s="22"/>
      <c r="B186" s="22"/>
      <c r="C186" s="28" t="str">
        <f aca="false">IF($B186="","",IFERROR(INDEX(Proposals!$C$6:$C$205,MATCH($B186,Proposals!$A$6:$A$205,0)),"Proposal not found"))</f>
        <v/>
      </c>
      <c r="D186" s="22"/>
      <c r="E186" s="23"/>
      <c r="F186" s="22"/>
      <c r="G186" s="29"/>
      <c r="H186" s="30"/>
      <c r="I186" s="26" t="str">
        <f aca="false">IF($A186="","",N($G186)*N($H186))</f>
        <v/>
      </c>
      <c r="J186" s="26" t="str">
        <f aca="false">IF($A186="","",N($G186)+$I186)</f>
        <v/>
      </c>
      <c r="K186" s="23"/>
      <c r="L186" s="22"/>
      <c r="M186" s="22"/>
      <c r="N186" s="23"/>
      <c r="O186" s="27" t="str">
        <f aca="true">IF($A186="","",IF(AND(OR($L186="Sent",$L186="Approved"),$K186&lt;&gt;"",$K186&lt;TODAY()),"EXPIRED",""))</f>
        <v/>
      </c>
      <c r="P186" s="24"/>
      <c r="Q186" s="24"/>
    </row>
    <row r="187" customFormat="false" ht="15" hidden="false" customHeight="false" outlineLevel="0" collapsed="false">
      <c r="A187" s="22"/>
      <c r="B187" s="22"/>
      <c r="C187" s="28" t="str">
        <f aca="false">IF($B187="","",IFERROR(INDEX(Proposals!$C$6:$C$205,MATCH($B187,Proposals!$A$6:$A$205,0)),"Proposal not found"))</f>
        <v/>
      </c>
      <c r="D187" s="22"/>
      <c r="E187" s="23"/>
      <c r="F187" s="22"/>
      <c r="G187" s="29"/>
      <c r="H187" s="30"/>
      <c r="I187" s="26" t="str">
        <f aca="false">IF($A187="","",N($G187)*N($H187))</f>
        <v/>
      </c>
      <c r="J187" s="26" t="str">
        <f aca="false">IF($A187="","",N($G187)+$I187)</f>
        <v/>
      </c>
      <c r="K187" s="23"/>
      <c r="L187" s="22"/>
      <c r="M187" s="22"/>
      <c r="N187" s="23"/>
      <c r="O187" s="27" t="str">
        <f aca="true">IF($A187="","",IF(AND(OR($L187="Sent",$L187="Approved"),$K187&lt;&gt;"",$K187&lt;TODAY()),"EXPIRED",""))</f>
        <v/>
      </c>
      <c r="P187" s="24"/>
      <c r="Q187" s="24"/>
    </row>
    <row r="188" customFormat="false" ht="15" hidden="false" customHeight="false" outlineLevel="0" collapsed="false">
      <c r="A188" s="22"/>
      <c r="B188" s="22"/>
      <c r="C188" s="28" t="str">
        <f aca="false">IF($B188="","",IFERROR(INDEX(Proposals!$C$6:$C$205,MATCH($B188,Proposals!$A$6:$A$205,0)),"Proposal not found"))</f>
        <v/>
      </c>
      <c r="D188" s="22"/>
      <c r="E188" s="23"/>
      <c r="F188" s="22"/>
      <c r="G188" s="29"/>
      <c r="H188" s="30"/>
      <c r="I188" s="26" t="str">
        <f aca="false">IF($A188="","",N($G188)*N($H188))</f>
        <v/>
      </c>
      <c r="J188" s="26" t="str">
        <f aca="false">IF($A188="","",N($G188)+$I188)</f>
        <v/>
      </c>
      <c r="K188" s="23"/>
      <c r="L188" s="22"/>
      <c r="M188" s="22"/>
      <c r="N188" s="23"/>
      <c r="O188" s="27" t="str">
        <f aca="true">IF($A188="","",IF(AND(OR($L188="Sent",$L188="Approved"),$K188&lt;&gt;"",$K188&lt;TODAY()),"EXPIRED",""))</f>
        <v/>
      </c>
      <c r="P188" s="24"/>
      <c r="Q188" s="24"/>
    </row>
    <row r="189" customFormat="false" ht="15" hidden="false" customHeight="false" outlineLevel="0" collapsed="false">
      <c r="A189" s="22"/>
      <c r="B189" s="22"/>
      <c r="C189" s="28" t="str">
        <f aca="false">IF($B189="","",IFERROR(INDEX(Proposals!$C$6:$C$205,MATCH($B189,Proposals!$A$6:$A$205,0)),"Proposal not found"))</f>
        <v/>
      </c>
      <c r="D189" s="22"/>
      <c r="E189" s="23"/>
      <c r="F189" s="22"/>
      <c r="G189" s="29"/>
      <c r="H189" s="30"/>
      <c r="I189" s="26" t="str">
        <f aca="false">IF($A189="","",N($G189)*N($H189))</f>
        <v/>
      </c>
      <c r="J189" s="26" t="str">
        <f aca="false">IF($A189="","",N($G189)+$I189)</f>
        <v/>
      </c>
      <c r="K189" s="23"/>
      <c r="L189" s="22"/>
      <c r="M189" s="22"/>
      <c r="N189" s="23"/>
      <c r="O189" s="27" t="str">
        <f aca="true">IF($A189="","",IF(AND(OR($L189="Sent",$L189="Approved"),$K189&lt;&gt;"",$K189&lt;TODAY()),"EXPIRED",""))</f>
        <v/>
      </c>
      <c r="P189" s="24"/>
      <c r="Q189" s="24"/>
    </row>
    <row r="190" customFormat="false" ht="15" hidden="false" customHeight="false" outlineLevel="0" collapsed="false">
      <c r="A190" s="22"/>
      <c r="B190" s="22"/>
      <c r="C190" s="28" t="str">
        <f aca="false">IF($B190="","",IFERROR(INDEX(Proposals!$C$6:$C$205,MATCH($B190,Proposals!$A$6:$A$205,0)),"Proposal not found"))</f>
        <v/>
      </c>
      <c r="D190" s="22"/>
      <c r="E190" s="23"/>
      <c r="F190" s="22"/>
      <c r="G190" s="29"/>
      <c r="H190" s="30"/>
      <c r="I190" s="26" t="str">
        <f aca="false">IF($A190="","",N($G190)*N($H190))</f>
        <v/>
      </c>
      <c r="J190" s="26" t="str">
        <f aca="false">IF($A190="","",N($G190)+$I190)</f>
        <v/>
      </c>
      <c r="K190" s="23"/>
      <c r="L190" s="22"/>
      <c r="M190" s="22"/>
      <c r="N190" s="23"/>
      <c r="O190" s="27" t="str">
        <f aca="true">IF($A190="","",IF(AND(OR($L190="Sent",$L190="Approved"),$K190&lt;&gt;"",$K190&lt;TODAY()),"EXPIRED",""))</f>
        <v/>
      </c>
      <c r="P190" s="24"/>
      <c r="Q190" s="24"/>
    </row>
    <row r="191" customFormat="false" ht="15" hidden="false" customHeight="false" outlineLevel="0" collapsed="false">
      <c r="A191" s="22"/>
      <c r="B191" s="22"/>
      <c r="C191" s="28" t="str">
        <f aca="false">IF($B191="","",IFERROR(INDEX(Proposals!$C$6:$C$205,MATCH($B191,Proposals!$A$6:$A$205,0)),"Proposal not found"))</f>
        <v/>
      </c>
      <c r="D191" s="22"/>
      <c r="E191" s="23"/>
      <c r="F191" s="22"/>
      <c r="G191" s="29"/>
      <c r="H191" s="30"/>
      <c r="I191" s="26" t="str">
        <f aca="false">IF($A191="","",N($G191)*N($H191))</f>
        <v/>
      </c>
      <c r="J191" s="26" t="str">
        <f aca="false">IF($A191="","",N($G191)+$I191)</f>
        <v/>
      </c>
      <c r="K191" s="23"/>
      <c r="L191" s="22"/>
      <c r="M191" s="22"/>
      <c r="N191" s="23"/>
      <c r="O191" s="27" t="str">
        <f aca="true">IF($A191="","",IF(AND(OR($L191="Sent",$L191="Approved"),$K191&lt;&gt;"",$K191&lt;TODAY()),"EXPIRED",""))</f>
        <v/>
      </c>
      <c r="P191" s="24"/>
      <c r="Q191" s="24"/>
    </row>
    <row r="192" customFormat="false" ht="15" hidden="false" customHeight="false" outlineLevel="0" collapsed="false">
      <c r="A192" s="22"/>
      <c r="B192" s="22"/>
      <c r="C192" s="28" t="str">
        <f aca="false">IF($B192="","",IFERROR(INDEX(Proposals!$C$6:$C$205,MATCH($B192,Proposals!$A$6:$A$205,0)),"Proposal not found"))</f>
        <v/>
      </c>
      <c r="D192" s="22"/>
      <c r="E192" s="23"/>
      <c r="F192" s="22"/>
      <c r="G192" s="29"/>
      <c r="H192" s="30"/>
      <c r="I192" s="26" t="str">
        <f aca="false">IF($A192="","",N($G192)*N($H192))</f>
        <v/>
      </c>
      <c r="J192" s="26" t="str">
        <f aca="false">IF($A192="","",N($G192)+$I192)</f>
        <v/>
      </c>
      <c r="K192" s="23"/>
      <c r="L192" s="22"/>
      <c r="M192" s="22"/>
      <c r="N192" s="23"/>
      <c r="O192" s="27" t="str">
        <f aca="true">IF($A192="","",IF(AND(OR($L192="Sent",$L192="Approved"),$K192&lt;&gt;"",$K192&lt;TODAY()),"EXPIRED",""))</f>
        <v/>
      </c>
      <c r="P192" s="24"/>
      <c r="Q192" s="24"/>
    </row>
    <row r="193" customFormat="false" ht="15" hidden="false" customHeight="false" outlineLevel="0" collapsed="false">
      <c r="A193" s="22"/>
      <c r="B193" s="22"/>
      <c r="C193" s="28" t="str">
        <f aca="false">IF($B193="","",IFERROR(INDEX(Proposals!$C$6:$C$205,MATCH($B193,Proposals!$A$6:$A$205,0)),"Proposal not found"))</f>
        <v/>
      </c>
      <c r="D193" s="22"/>
      <c r="E193" s="23"/>
      <c r="F193" s="22"/>
      <c r="G193" s="29"/>
      <c r="H193" s="30"/>
      <c r="I193" s="26" t="str">
        <f aca="false">IF($A193="","",N($G193)*N($H193))</f>
        <v/>
      </c>
      <c r="J193" s="26" t="str">
        <f aca="false">IF($A193="","",N($G193)+$I193)</f>
        <v/>
      </c>
      <c r="K193" s="23"/>
      <c r="L193" s="22"/>
      <c r="M193" s="22"/>
      <c r="N193" s="23"/>
      <c r="O193" s="27" t="str">
        <f aca="true">IF($A193="","",IF(AND(OR($L193="Sent",$L193="Approved"),$K193&lt;&gt;"",$K193&lt;TODAY()),"EXPIRED",""))</f>
        <v/>
      </c>
      <c r="P193" s="24"/>
      <c r="Q193" s="24"/>
    </row>
    <row r="194" customFormat="false" ht="15" hidden="false" customHeight="false" outlineLevel="0" collapsed="false">
      <c r="A194" s="22"/>
      <c r="B194" s="22"/>
      <c r="C194" s="28" t="str">
        <f aca="false">IF($B194="","",IFERROR(INDEX(Proposals!$C$6:$C$205,MATCH($B194,Proposals!$A$6:$A$205,0)),"Proposal not found"))</f>
        <v/>
      </c>
      <c r="D194" s="22"/>
      <c r="E194" s="23"/>
      <c r="F194" s="22"/>
      <c r="G194" s="29"/>
      <c r="H194" s="30"/>
      <c r="I194" s="26" t="str">
        <f aca="false">IF($A194="","",N($G194)*N($H194))</f>
        <v/>
      </c>
      <c r="J194" s="26" t="str">
        <f aca="false">IF($A194="","",N($G194)+$I194)</f>
        <v/>
      </c>
      <c r="K194" s="23"/>
      <c r="L194" s="22"/>
      <c r="M194" s="22"/>
      <c r="N194" s="23"/>
      <c r="O194" s="27" t="str">
        <f aca="true">IF($A194="","",IF(AND(OR($L194="Sent",$L194="Approved"),$K194&lt;&gt;"",$K194&lt;TODAY()),"EXPIRED",""))</f>
        <v/>
      </c>
      <c r="P194" s="24"/>
      <c r="Q194" s="24"/>
    </row>
    <row r="195" customFormat="false" ht="15" hidden="false" customHeight="false" outlineLevel="0" collapsed="false">
      <c r="A195" s="22"/>
      <c r="B195" s="22"/>
      <c r="C195" s="28" t="str">
        <f aca="false">IF($B195="","",IFERROR(INDEX(Proposals!$C$6:$C$205,MATCH($B195,Proposals!$A$6:$A$205,0)),"Proposal not found"))</f>
        <v/>
      </c>
      <c r="D195" s="22"/>
      <c r="E195" s="23"/>
      <c r="F195" s="22"/>
      <c r="G195" s="29"/>
      <c r="H195" s="30"/>
      <c r="I195" s="26" t="str">
        <f aca="false">IF($A195="","",N($G195)*N($H195))</f>
        <v/>
      </c>
      <c r="J195" s="26" t="str">
        <f aca="false">IF($A195="","",N($G195)+$I195)</f>
        <v/>
      </c>
      <c r="K195" s="23"/>
      <c r="L195" s="22"/>
      <c r="M195" s="22"/>
      <c r="N195" s="23"/>
      <c r="O195" s="27" t="str">
        <f aca="true">IF($A195="","",IF(AND(OR($L195="Sent",$L195="Approved"),$K195&lt;&gt;"",$K195&lt;TODAY()),"EXPIRED",""))</f>
        <v/>
      </c>
      <c r="P195" s="24"/>
      <c r="Q195" s="24"/>
    </row>
    <row r="196" customFormat="false" ht="15" hidden="false" customHeight="false" outlineLevel="0" collapsed="false">
      <c r="A196" s="22"/>
      <c r="B196" s="22"/>
      <c r="C196" s="28" t="str">
        <f aca="false">IF($B196="","",IFERROR(INDEX(Proposals!$C$6:$C$205,MATCH($B196,Proposals!$A$6:$A$205,0)),"Proposal not found"))</f>
        <v/>
      </c>
      <c r="D196" s="22"/>
      <c r="E196" s="23"/>
      <c r="F196" s="22"/>
      <c r="G196" s="29"/>
      <c r="H196" s="30"/>
      <c r="I196" s="26" t="str">
        <f aca="false">IF($A196="","",N($G196)*N($H196))</f>
        <v/>
      </c>
      <c r="J196" s="26" t="str">
        <f aca="false">IF($A196="","",N($G196)+$I196)</f>
        <v/>
      </c>
      <c r="K196" s="23"/>
      <c r="L196" s="22"/>
      <c r="M196" s="22"/>
      <c r="N196" s="23"/>
      <c r="O196" s="27" t="str">
        <f aca="true">IF($A196="","",IF(AND(OR($L196="Sent",$L196="Approved"),$K196&lt;&gt;"",$K196&lt;TODAY()),"EXPIRED",""))</f>
        <v/>
      </c>
      <c r="P196" s="24"/>
      <c r="Q196" s="24"/>
    </row>
    <row r="197" customFormat="false" ht="15" hidden="false" customHeight="false" outlineLevel="0" collapsed="false">
      <c r="A197" s="22"/>
      <c r="B197" s="22"/>
      <c r="C197" s="28" t="str">
        <f aca="false">IF($B197="","",IFERROR(INDEX(Proposals!$C$6:$C$205,MATCH($B197,Proposals!$A$6:$A$205,0)),"Proposal not found"))</f>
        <v/>
      </c>
      <c r="D197" s="22"/>
      <c r="E197" s="23"/>
      <c r="F197" s="22"/>
      <c r="G197" s="29"/>
      <c r="H197" s="30"/>
      <c r="I197" s="26" t="str">
        <f aca="false">IF($A197="","",N($G197)*N($H197))</f>
        <v/>
      </c>
      <c r="J197" s="26" t="str">
        <f aca="false">IF($A197="","",N($G197)+$I197)</f>
        <v/>
      </c>
      <c r="K197" s="23"/>
      <c r="L197" s="22"/>
      <c r="M197" s="22"/>
      <c r="N197" s="23"/>
      <c r="O197" s="27" t="str">
        <f aca="true">IF($A197="","",IF(AND(OR($L197="Sent",$L197="Approved"),$K197&lt;&gt;"",$K197&lt;TODAY()),"EXPIRED",""))</f>
        <v/>
      </c>
      <c r="P197" s="24"/>
      <c r="Q197" s="24"/>
    </row>
    <row r="198" customFormat="false" ht="15" hidden="false" customHeight="false" outlineLevel="0" collapsed="false">
      <c r="A198" s="22"/>
      <c r="B198" s="22"/>
      <c r="C198" s="28" t="str">
        <f aca="false">IF($B198="","",IFERROR(INDEX(Proposals!$C$6:$C$205,MATCH($B198,Proposals!$A$6:$A$205,0)),"Proposal not found"))</f>
        <v/>
      </c>
      <c r="D198" s="22"/>
      <c r="E198" s="23"/>
      <c r="F198" s="22"/>
      <c r="G198" s="29"/>
      <c r="H198" s="30"/>
      <c r="I198" s="26" t="str">
        <f aca="false">IF($A198="","",N($G198)*N($H198))</f>
        <v/>
      </c>
      <c r="J198" s="26" t="str">
        <f aca="false">IF($A198="","",N($G198)+$I198)</f>
        <v/>
      </c>
      <c r="K198" s="23"/>
      <c r="L198" s="22"/>
      <c r="M198" s="22"/>
      <c r="N198" s="23"/>
      <c r="O198" s="27" t="str">
        <f aca="true">IF($A198="","",IF(AND(OR($L198="Sent",$L198="Approved"),$K198&lt;&gt;"",$K198&lt;TODAY()),"EXPIRED",""))</f>
        <v/>
      </c>
      <c r="P198" s="24"/>
      <c r="Q198" s="24"/>
    </row>
    <row r="199" customFormat="false" ht="15" hidden="false" customHeight="false" outlineLevel="0" collapsed="false">
      <c r="A199" s="22"/>
      <c r="B199" s="22"/>
      <c r="C199" s="28" t="str">
        <f aca="false">IF($B199="","",IFERROR(INDEX(Proposals!$C$6:$C$205,MATCH($B199,Proposals!$A$6:$A$205,0)),"Proposal not found"))</f>
        <v/>
      </c>
      <c r="D199" s="22"/>
      <c r="E199" s="23"/>
      <c r="F199" s="22"/>
      <c r="G199" s="29"/>
      <c r="H199" s="30"/>
      <c r="I199" s="26" t="str">
        <f aca="false">IF($A199="","",N($G199)*N($H199))</f>
        <v/>
      </c>
      <c r="J199" s="26" t="str">
        <f aca="false">IF($A199="","",N($G199)+$I199)</f>
        <v/>
      </c>
      <c r="K199" s="23"/>
      <c r="L199" s="22"/>
      <c r="M199" s="22"/>
      <c r="N199" s="23"/>
      <c r="O199" s="27" t="str">
        <f aca="true">IF($A199="","",IF(AND(OR($L199="Sent",$L199="Approved"),$K199&lt;&gt;"",$K199&lt;TODAY()),"EXPIRED",""))</f>
        <v/>
      </c>
      <c r="P199" s="24"/>
      <c r="Q199" s="24"/>
    </row>
    <row r="200" customFormat="false" ht="15" hidden="false" customHeight="false" outlineLevel="0" collapsed="false">
      <c r="A200" s="22"/>
      <c r="B200" s="22"/>
      <c r="C200" s="28" t="str">
        <f aca="false">IF($B200="","",IFERROR(INDEX(Proposals!$C$6:$C$205,MATCH($B200,Proposals!$A$6:$A$205,0)),"Proposal not found"))</f>
        <v/>
      </c>
      <c r="D200" s="22"/>
      <c r="E200" s="23"/>
      <c r="F200" s="22"/>
      <c r="G200" s="29"/>
      <c r="H200" s="30"/>
      <c r="I200" s="26" t="str">
        <f aca="false">IF($A200="","",N($G200)*N($H200))</f>
        <v/>
      </c>
      <c r="J200" s="26" t="str">
        <f aca="false">IF($A200="","",N($G200)+$I200)</f>
        <v/>
      </c>
      <c r="K200" s="23"/>
      <c r="L200" s="22"/>
      <c r="M200" s="22"/>
      <c r="N200" s="23"/>
      <c r="O200" s="27" t="str">
        <f aca="true">IF($A200="","",IF(AND(OR($L200="Sent",$L200="Approved"),$K200&lt;&gt;"",$K200&lt;TODAY()),"EXPIRED",""))</f>
        <v/>
      </c>
      <c r="P200" s="24"/>
      <c r="Q200" s="24"/>
    </row>
    <row r="201" customFormat="false" ht="15" hidden="false" customHeight="false" outlineLevel="0" collapsed="false">
      <c r="A201" s="22"/>
      <c r="B201" s="22"/>
      <c r="C201" s="28" t="str">
        <f aca="false">IF($B201="","",IFERROR(INDEX(Proposals!$C$6:$C$205,MATCH($B201,Proposals!$A$6:$A$205,0)),"Proposal not found"))</f>
        <v/>
      </c>
      <c r="D201" s="22"/>
      <c r="E201" s="23"/>
      <c r="F201" s="22"/>
      <c r="G201" s="29"/>
      <c r="H201" s="30"/>
      <c r="I201" s="26" t="str">
        <f aca="false">IF($A201="","",N($G201)*N($H201))</f>
        <v/>
      </c>
      <c r="J201" s="26" t="str">
        <f aca="false">IF($A201="","",N($G201)+$I201)</f>
        <v/>
      </c>
      <c r="K201" s="23"/>
      <c r="L201" s="22"/>
      <c r="M201" s="22"/>
      <c r="N201" s="23"/>
      <c r="O201" s="27" t="str">
        <f aca="true">IF($A201="","",IF(AND(OR($L201="Sent",$L201="Approved"),$K201&lt;&gt;"",$K201&lt;TODAY()),"EXPIRED",""))</f>
        <v/>
      </c>
      <c r="P201" s="24"/>
      <c r="Q201" s="24"/>
    </row>
    <row r="202" customFormat="false" ht="15" hidden="false" customHeight="false" outlineLevel="0" collapsed="false">
      <c r="A202" s="22"/>
      <c r="B202" s="22"/>
      <c r="C202" s="28" t="str">
        <f aca="false">IF($B202="","",IFERROR(INDEX(Proposals!$C$6:$C$205,MATCH($B202,Proposals!$A$6:$A$205,0)),"Proposal not found"))</f>
        <v/>
      </c>
      <c r="D202" s="22"/>
      <c r="E202" s="23"/>
      <c r="F202" s="22"/>
      <c r="G202" s="29"/>
      <c r="H202" s="30"/>
      <c r="I202" s="26" t="str">
        <f aca="false">IF($A202="","",N($G202)*N($H202))</f>
        <v/>
      </c>
      <c r="J202" s="26" t="str">
        <f aca="false">IF($A202="","",N($G202)+$I202)</f>
        <v/>
      </c>
      <c r="K202" s="23"/>
      <c r="L202" s="22"/>
      <c r="M202" s="22"/>
      <c r="N202" s="23"/>
      <c r="O202" s="27" t="str">
        <f aca="true">IF($A202="","",IF(AND(OR($L202="Sent",$L202="Approved"),$K202&lt;&gt;"",$K202&lt;TODAY()),"EXPIRED",""))</f>
        <v/>
      </c>
      <c r="P202" s="24"/>
      <c r="Q202" s="24"/>
    </row>
    <row r="203" customFormat="false" ht="15" hidden="false" customHeight="false" outlineLevel="0" collapsed="false">
      <c r="A203" s="22"/>
      <c r="B203" s="22"/>
      <c r="C203" s="28" t="str">
        <f aca="false">IF($B203="","",IFERROR(INDEX(Proposals!$C$6:$C$205,MATCH($B203,Proposals!$A$6:$A$205,0)),"Proposal not found"))</f>
        <v/>
      </c>
      <c r="D203" s="22"/>
      <c r="E203" s="23"/>
      <c r="F203" s="22"/>
      <c r="G203" s="29"/>
      <c r="H203" s="30"/>
      <c r="I203" s="26" t="str">
        <f aca="false">IF($A203="","",N($G203)*N($H203))</f>
        <v/>
      </c>
      <c r="J203" s="26" t="str">
        <f aca="false">IF($A203="","",N($G203)+$I203)</f>
        <v/>
      </c>
      <c r="K203" s="23"/>
      <c r="L203" s="22"/>
      <c r="M203" s="22"/>
      <c r="N203" s="23"/>
      <c r="O203" s="27" t="str">
        <f aca="true">IF($A203="","",IF(AND(OR($L203="Sent",$L203="Approved"),$K203&lt;&gt;"",$K203&lt;TODAY()),"EXPIRED",""))</f>
        <v/>
      </c>
      <c r="P203" s="24"/>
      <c r="Q203" s="24"/>
    </row>
    <row r="204" customFormat="false" ht="15" hidden="false" customHeight="false" outlineLevel="0" collapsed="false">
      <c r="A204" s="22"/>
      <c r="B204" s="22"/>
      <c r="C204" s="28" t="str">
        <f aca="false">IF($B204="","",IFERROR(INDEX(Proposals!$C$6:$C$205,MATCH($B204,Proposals!$A$6:$A$205,0)),"Proposal not found"))</f>
        <v/>
      </c>
      <c r="D204" s="22"/>
      <c r="E204" s="23"/>
      <c r="F204" s="22"/>
      <c r="G204" s="29"/>
      <c r="H204" s="30"/>
      <c r="I204" s="26" t="str">
        <f aca="false">IF($A204="","",N($G204)*N($H204))</f>
        <v/>
      </c>
      <c r="J204" s="26" t="str">
        <f aca="false">IF($A204="","",N($G204)+$I204)</f>
        <v/>
      </c>
      <c r="K204" s="23"/>
      <c r="L204" s="22"/>
      <c r="M204" s="22"/>
      <c r="N204" s="23"/>
      <c r="O204" s="27" t="str">
        <f aca="true">IF($A204="","",IF(AND(OR($L204="Sent",$L204="Approved"),$K204&lt;&gt;"",$K204&lt;TODAY()),"EXPIRED",""))</f>
        <v/>
      </c>
      <c r="P204" s="24"/>
      <c r="Q204" s="24"/>
    </row>
    <row r="205" customFormat="false" ht="15" hidden="false" customHeight="false" outlineLevel="0" collapsed="false">
      <c r="A205" s="22"/>
      <c r="B205" s="22"/>
      <c r="C205" s="28" t="str">
        <f aca="false">IF($B205="","",IFERROR(INDEX(Proposals!$C$6:$C$205,MATCH($B205,Proposals!$A$6:$A$205,0)),"Proposal not found"))</f>
        <v/>
      </c>
      <c r="D205" s="22"/>
      <c r="E205" s="23"/>
      <c r="F205" s="22"/>
      <c r="G205" s="29"/>
      <c r="H205" s="30"/>
      <c r="I205" s="26" t="str">
        <f aca="false">IF($A205="","",N($G205)*N($H205))</f>
        <v/>
      </c>
      <c r="J205" s="26" t="str">
        <f aca="false">IF($A205="","",N($G205)+$I205)</f>
        <v/>
      </c>
      <c r="K205" s="23"/>
      <c r="L205" s="22"/>
      <c r="M205" s="22"/>
      <c r="N205" s="23"/>
      <c r="O205" s="27" t="str">
        <f aca="true">IF($A205="","",IF(AND(OR($L205="Sent",$L205="Approved"),$K205&lt;&gt;"",$K205&lt;TODAY()),"EXPIRED",""))</f>
        <v/>
      </c>
      <c r="P205" s="24"/>
      <c r="Q205" s="24"/>
    </row>
  </sheetData>
  <autoFilter ref="A5:Q205"/>
  <conditionalFormatting sqref="A6:A205">
    <cfRule type="expression" priority="2" aboveAverage="0" equalAverage="0" bottom="0" percent="0" rank="0" text="" dxfId="0">
      <formula>AND($A6&lt;&gt;"",COUNTIF($A$6:$A$205,$A6)&gt;1)</formula>
    </cfRule>
  </conditionalFormatting>
  <conditionalFormatting sqref="L6:L205">
    <cfRule type="expression" priority="3" aboveAverage="0" equalAverage="0" bottom="0" percent="0" rank="0" text="" dxfId="1">
      <formula>$L6="Accepted"</formula>
    </cfRule>
    <cfRule type="expression" priority="4" aboveAverage="0" equalAverage="0" bottom="0" percent="0" rank="0" text="" dxfId="9">
      <formula>OR($L6="Rejected",$L6="Expired",$L6="Superseded",$L6="Void")</formula>
    </cfRule>
  </conditionalFormatting>
  <conditionalFormatting sqref="O6:O205">
    <cfRule type="expression" priority="5" aboveAverage="0" equalAverage="0" bottom="0" percent="0" rank="0" text="" dxfId="0">
      <formula>$O6="EXPIRED"</formula>
    </cfRule>
  </conditionalFormatting>
  <conditionalFormatting sqref="C6:C205">
    <cfRule type="expression" priority="6" aboveAverage="0" equalAverage="0" bottom="0" percent="0" rank="0" text="" dxfId="10">
      <formula>$C6="Proposal not found"</formula>
    </cfRule>
  </conditionalFormatting>
  <dataValidations count="6">
    <dataValidation allowBlank="true" error="Use the format QUO-YYYY-### (example QUO-2026-001). Copy the 'Next Quotation ID' from the Dashboard." errorStyle="stop" errorTitle="Invalid ID format" operator="between" showDropDown="false" showErrorMessage="false" showInputMessage="false" sqref="A6:A205" type="custom">
      <formula1>AND(LEFT(A6,4)="QUO-",LEN(A6)=12)</formula1>
      <formula2>0</formula2>
    </dataValidation>
    <dataValidation allowBlank="true" error="Pick an existing Proposal ID (add the proposal first)." errorStyle="stop" errorTitle="Check value" operator="between" showDropDown="false" showErrorMessage="false" showInputMessage="false" sqref="B6:B205" type="list">
      <formula1>Proposals!$A$6:$A$205</formula1>
      <formula2>0</formula2>
    </dataValidation>
    <dataValidation allowBlank="true" error="Pick a status from the list." errorStyle="stop" errorTitle="Check value" operator="between" showDropDown="false" showErrorMessage="false" showInputMessage="false" sqref="L6:L205" type="list">
      <formula1>Lists!$B$2:$B$10</formula1>
      <formula2>0</formula2>
    </dataValidation>
    <dataValidation allowBlank="true" error="Pick a currency from the list." errorStyle="stop" errorTitle="Check value" operator="between" showDropDown="false" showErrorMessage="false" showInputMessage="false" sqref="F6:F205" type="list">
      <formula1>Lists!$C$2:$C$8</formula1>
      <formula2>0</formula2>
    </dataValidation>
    <dataValidation allowBlank="true" error="Enter the rate as a fraction or percent between 0% and 100% (e.g. 12%)." errorStyle="stop" errorTitle="Tax rate" operator="between" showDropDown="false" showErrorMessage="false" showInputMessage="false" sqref="H6:H205" type="decimal">
      <formula1>0</formula1>
      <formula2>1</formula2>
    </dataValidation>
    <dataValidation allowBlank="true" error="Enter a non-negative amount." errorStyle="stop" errorTitle="Subtotal" operator="greaterThanOrEqual" showDropDown="false" showErrorMessage="false" showInputMessage="false" sqref="G6:G2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6" t="s">
        <v>116</v>
      </c>
    </row>
    <row r="3" customFormat="false" ht="15" hidden="false" customHeight="false" outlineLevel="0" collapsed="false">
      <c r="A3" s="6" t="s">
        <v>78</v>
      </c>
    </row>
    <row r="5" customFormat="false" ht="31.5" hidden="false" customHeight="true" outlineLevel="0" collapsed="false">
      <c r="A5" s="21" t="s">
        <v>82</v>
      </c>
      <c r="B5" s="21" t="s">
        <v>117</v>
      </c>
      <c r="C5" s="21" t="s">
        <v>118</v>
      </c>
      <c r="D5" s="21" t="s">
        <v>119</v>
      </c>
      <c r="E5" s="21" t="s">
        <v>71</v>
      </c>
      <c r="F5" s="21" t="s">
        <v>120</v>
      </c>
      <c r="G5" s="21" t="s">
        <v>121</v>
      </c>
      <c r="H5" s="21" t="s">
        <v>90</v>
      </c>
    </row>
    <row r="6" customFormat="false" ht="23.85" hidden="false" customHeight="false" outlineLevel="0" collapsed="false">
      <c r="A6" s="22" t="s">
        <v>93</v>
      </c>
      <c r="B6" s="24" t="s">
        <v>92</v>
      </c>
      <c r="C6" s="24" t="s">
        <v>122</v>
      </c>
      <c r="D6" s="22" t="s">
        <v>95</v>
      </c>
      <c r="E6" s="22" t="s">
        <v>123</v>
      </c>
      <c r="F6" s="23" t="n">
        <v>46266</v>
      </c>
      <c r="G6" s="25" t="n">
        <f aca="false">IF($A6="","",COUNTIF(Proposals!$D$6:$D$205,$A6))</f>
        <v>1</v>
      </c>
      <c r="H6" s="24" t="s">
        <v>124</v>
      </c>
    </row>
    <row r="7" customFormat="false" ht="15" hidden="false" customHeight="false" outlineLevel="0" collapsed="false">
      <c r="A7" s="22"/>
      <c r="B7" s="24"/>
      <c r="C7" s="24"/>
      <c r="D7" s="22"/>
      <c r="E7" s="22"/>
      <c r="F7" s="23"/>
      <c r="G7" s="25" t="str">
        <f aca="false">IF($A7="","",COUNTIF(Proposals!$D$6:$D$205,$A7))</f>
        <v/>
      </c>
      <c r="H7" s="24"/>
    </row>
    <row r="8" customFormat="false" ht="15" hidden="false" customHeight="false" outlineLevel="0" collapsed="false">
      <c r="A8" s="22"/>
      <c r="B8" s="24"/>
      <c r="C8" s="24"/>
      <c r="D8" s="22"/>
      <c r="E8" s="22"/>
      <c r="F8" s="23"/>
      <c r="G8" s="25" t="str">
        <f aca="false">IF($A8="","",COUNTIF(Proposals!$D$6:$D$205,$A8))</f>
        <v/>
      </c>
      <c r="H8" s="24"/>
    </row>
    <row r="9" customFormat="false" ht="15" hidden="false" customHeight="false" outlineLevel="0" collapsed="false">
      <c r="A9" s="22"/>
      <c r="B9" s="24"/>
      <c r="C9" s="24"/>
      <c r="D9" s="22"/>
      <c r="E9" s="22"/>
      <c r="F9" s="23"/>
      <c r="G9" s="25" t="str">
        <f aca="false">IF($A9="","",COUNTIF(Proposals!$D$6:$D$205,$A9))</f>
        <v/>
      </c>
      <c r="H9" s="24"/>
    </row>
    <row r="10" customFormat="false" ht="15" hidden="false" customHeight="false" outlineLevel="0" collapsed="false">
      <c r="A10" s="22"/>
      <c r="B10" s="24"/>
      <c r="C10" s="24"/>
      <c r="D10" s="22"/>
      <c r="E10" s="22"/>
      <c r="F10" s="23"/>
      <c r="G10" s="25" t="str">
        <f aca="false">IF($A10="","",COUNTIF(Proposals!$D$6:$D$205,$A10))</f>
        <v/>
      </c>
      <c r="H10" s="24"/>
    </row>
    <row r="11" customFormat="false" ht="15" hidden="false" customHeight="false" outlineLevel="0" collapsed="false">
      <c r="A11" s="22"/>
      <c r="B11" s="24"/>
      <c r="C11" s="24"/>
      <c r="D11" s="22"/>
      <c r="E11" s="22"/>
      <c r="F11" s="23"/>
      <c r="G11" s="25" t="str">
        <f aca="false">IF($A11="","",COUNTIF(Proposals!$D$6:$D$205,$A11))</f>
        <v/>
      </c>
      <c r="H11" s="24"/>
    </row>
    <row r="12" customFormat="false" ht="15" hidden="false" customHeight="false" outlineLevel="0" collapsed="false">
      <c r="A12" s="22"/>
      <c r="B12" s="24"/>
      <c r="C12" s="24"/>
      <c r="D12" s="22"/>
      <c r="E12" s="22"/>
      <c r="F12" s="23"/>
      <c r="G12" s="25" t="str">
        <f aca="false">IF($A12="","",COUNTIF(Proposals!$D$6:$D$205,$A12))</f>
        <v/>
      </c>
      <c r="H12" s="24"/>
    </row>
    <row r="13" customFormat="false" ht="15" hidden="false" customHeight="false" outlineLevel="0" collapsed="false">
      <c r="A13" s="22"/>
      <c r="B13" s="24"/>
      <c r="C13" s="24"/>
      <c r="D13" s="22"/>
      <c r="E13" s="22"/>
      <c r="F13" s="23"/>
      <c r="G13" s="25" t="str">
        <f aca="false">IF($A13="","",COUNTIF(Proposals!$D$6:$D$205,$A13))</f>
        <v/>
      </c>
      <c r="H13" s="24"/>
    </row>
    <row r="14" customFormat="false" ht="15" hidden="false" customHeight="false" outlineLevel="0" collapsed="false">
      <c r="A14" s="22"/>
      <c r="B14" s="24"/>
      <c r="C14" s="24"/>
      <c r="D14" s="22"/>
      <c r="E14" s="22"/>
      <c r="F14" s="23"/>
      <c r="G14" s="25" t="str">
        <f aca="false">IF($A14="","",COUNTIF(Proposals!$D$6:$D$205,$A14))</f>
        <v/>
      </c>
      <c r="H14" s="24"/>
    </row>
    <row r="15" customFormat="false" ht="15" hidden="false" customHeight="false" outlineLevel="0" collapsed="false">
      <c r="A15" s="22"/>
      <c r="B15" s="24"/>
      <c r="C15" s="24"/>
      <c r="D15" s="22"/>
      <c r="E15" s="22"/>
      <c r="F15" s="23"/>
      <c r="G15" s="25" t="str">
        <f aca="false">IF($A15="","",COUNTIF(Proposals!$D$6:$D$205,$A15))</f>
        <v/>
      </c>
      <c r="H15" s="24"/>
    </row>
    <row r="16" customFormat="false" ht="15" hidden="false" customHeight="false" outlineLevel="0" collapsed="false">
      <c r="A16" s="22"/>
      <c r="B16" s="24"/>
      <c r="C16" s="24"/>
      <c r="D16" s="22"/>
      <c r="E16" s="22"/>
      <c r="F16" s="23"/>
      <c r="G16" s="25" t="str">
        <f aca="false">IF($A16="","",COUNTIF(Proposals!$D$6:$D$205,$A16))</f>
        <v/>
      </c>
      <c r="H16" s="24"/>
    </row>
    <row r="17" customFormat="false" ht="15" hidden="false" customHeight="false" outlineLevel="0" collapsed="false">
      <c r="A17" s="22"/>
      <c r="B17" s="24"/>
      <c r="C17" s="24"/>
      <c r="D17" s="22"/>
      <c r="E17" s="22"/>
      <c r="F17" s="23"/>
      <c r="G17" s="25" t="str">
        <f aca="false">IF($A17="","",COUNTIF(Proposals!$D$6:$D$205,$A17))</f>
        <v/>
      </c>
      <c r="H17" s="24"/>
    </row>
    <row r="18" customFormat="false" ht="15" hidden="false" customHeight="false" outlineLevel="0" collapsed="false">
      <c r="A18" s="22"/>
      <c r="B18" s="24"/>
      <c r="C18" s="24"/>
      <c r="D18" s="22"/>
      <c r="E18" s="22"/>
      <c r="F18" s="23"/>
      <c r="G18" s="25" t="str">
        <f aca="false">IF($A18="","",COUNTIF(Proposals!$D$6:$D$205,$A18))</f>
        <v/>
      </c>
      <c r="H18" s="24"/>
    </row>
    <row r="19" customFormat="false" ht="15" hidden="false" customHeight="false" outlineLevel="0" collapsed="false">
      <c r="A19" s="22"/>
      <c r="B19" s="24"/>
      <c r="C19" s="24"/>
      <c r="D19" s="22"/>
      <c r="E19" s="22"/>
      <c r="F19" s="23"/>
      <c r="G19" s="25" t="str">
        <f aca="false">IF($A19="","",COUNTIF(Proposals!$D$6:$D$205,$A19))</f>
        <v/>
      </c>
      <c r="H19" s="24"/>
    </row>
    <row r="20" customFormat="false" ht="15" hidden="false" customHeight="false" outlineLevel="0" collapsed="false">
      <c r="A20" s="22"/>
      <c r="B20" s="24"/>
      <c r="C20" s="24"/>
      <c r="D20" s="22"/>
      <c r="E20" s="22"/>
      <c r="F20" s="23"/>
      <c r="G20" s="25" t="str">
        <f aca="false">IF($A20="","",COUNTIF(Proposals!$D$6:$D$205,$A20))</f>
        <v/>
      </c>
      <c r="H20" s="24"/>
    </row>
    <row r="21" customFormat="false" ht="15" hidden="false" customHeight="false" outlineLevel="0" collapsed="false">
      <c r="A21" s="22"/>
      <c r="B21" s="24"/>
      <c r="C21" s="24"/>
      <c r="D21" s="22"/>
      <c r="E21" s="22"/>
      <c r="F21" s="23"/>
      <c r="G21" s="25" t="str">
        <f aca="false">IF($A21="","",COUNTIF(Proposals!$D$6:$D$205,$A21))</f>
        <v/>
      </c>
      <c r="H21" s="24"/>
    </row>
    <row r="22" customFormat="false" ht="15" hidden="false" customHeight="false" outlineLevel="0" collapsed="false">
      <c r="A22" s="22"/>
      <c r="B22" s="24"/>
      <c r="C22" s="24"/>
      <c r="D22" s="22"/>
      <c r="E22" s="22"/>
      <c r="F22" s="23"/>
      <c r="G22" s="25" t="str">
        <f aca="false">IF($A22="","",COUNTIF(Proposals!$D$6:$D$205,$A22))</f>
        <v/>
      </c>
      <c r="H22" s="24"/>
    </row>
    <row r="23" customFormat="false" ht="15" hidden="false" customHeight="false" outlineLevel="0" collapsed="false">
      <c r="A23" s="22"/>
      <c r="B23" s="24"/>
      <c r="C23" s="24"/>
      <c r="D23" s="22"/>
      <c r="E23" s="22"/>
      <c r="F23" s="23"/>
      <c r="G23" s="25" t="str">
        <f aca="false">IF($A23="","",COUNTIF(Proposals!$D$6:$D$205,$A23))</f>
        <v/>
      </c>
      <c r="H23" s="24"/>
    </row>
    <row r="24" customFormat="false" ht="15" hidden="false" customHeight="false" outlineLevel="0" collapsed="false">
      <c r="A24" s="22"/>
      <c r="B24" s="24"/>
      <c r="C24" s="24"/>
      <c r="D24" s="22"/>
      <c r="E24" s="22"/>
      <c r="F24" s="23"/>
      <c r="G24" s="25" t="str">
        <f aca="false">IF($A24="","",COUNTIF(Proposals!$D$6:$D$205,$A24))</f>
        <v/>
      </c>
      <c r="H24" s="24"/>
    </row>
    <row r="25" customFormat="false" ht="15" hidden="false" customHeight="false" outlineLevel="0" collapsed="false">
      <c r="A25" s="22"/>
      <c r="B25" s="24"/>
      <c r="C25" s="24"/>
      <c r="D25" s="22"/>
      <c r="E25" s="22"/>
      <c r="F25" s="23"/>
      <c r="G25" s="25" t="str">
        <f aca="false">IF($A25="","",COUNTIF(Proposals!$D$6:$D$205,$A25))</f>
        <v/>
      </c>
      <c r="H25" s="24"/>
    </row>
    <row r="26" customFormat="false" ht="15" hidden="false" customHeight="false" outlineLevel="0" collapsed="false">
      <c r="A26" s="22"/>
      <c r="B26" s="24"/>
      <c r="C26" s="24"/>
      <c r="D26" s="22"/>
      <c r="E26" s="22"/>
      <c r="F26" s="23"/>
      <c r="G26" s="25" t="str">
        <f aca="false">IF($A26="","",COUNTIF(Proposals!$D$6:$D$205,$A26))</f>
        <v/>
      </c>
      <c r="H26" s="24"/>
    </row>
    <row r="27" customFormat="false" ht="15" hidden="false" customHeight="false" outlineLevel="0" collapsed="false">
      <c r="A27" s="22"/>
      <c r="B27" s="24"/>
      <c r="C27" s="24"/>
      <c r="D27" s="22"/>
      <c r="E27" s="22"/>
      <c r="F27" s="23"/>
      <c r="G27" s="25" t="str">
        <f aca="false">IF($A27="","",COUNTIF(Proposals!$D$6:$D$205,$A27))</f>
        <v/>
      </c>
      <c r="H27" s="24"/>
    </row>
    <row r="28" customFormat="false" ht="15" hidden="false" customHeight="false" outlineLevel="0" collapsed="false">
      <c r="A28" s="22"/>
      <c r="B28" s="24"/>
      <c r="C28" s="24"/>
      <c r="D28" s="22"/>
      <c r="E28" s="22"/>
      <c r="F28" s="23"/>
      <c r="G28" s="25" t="str">
        <f aca="false">IF($A28="","",COUNTIF(Proposals!$D$6:$D$205,$A28))</f>
        <v/>
      </c>
      <c r="H28" s="24"/>
    </row>
    <row r="29" customFormat="false" ht="15" hidden="false" customHeight="false" outlineLevel="0" collapsed="false">
      <c r="A29" s="22"/>
      <c r="B29" s="24"/>
      <c r="C29" s="24"/>
      <c r="D29" s="22"/>
      <c r="E29" s="22"/>
      <c r="F29" s="23"/>
      <c r="G29" s="25" t="str">
        <f aca="false">IF($A29="","",COUNTIF(Proposals!$D$6:$D$205,$A29))</f>
        <v/>
      </c>
      <c r="H29" s="24"/>
    </row>
    <row r="30" customFormat="false" ht="15" hidden="false" customHeight="false" outlineLevel="0" collapsed="false">
      <c r="A30" s="22"/>
      <c r="B30" s="24"/>
      <c r="C30" s="24"/>
      <c r="D30" s="22"/>
      <c r="E30" s="22"/>
      <c r="F30" s="23"/>
      <c r="G30" s="25" t="str">
        <f aca="false">IF($A30="","",COUNTIF(Proposals!$D$6:$D$205,$A30))</f>
        <v/>
      </c>
      <c r="H30" s="24"/>
    </row>
    <row r="31" customFormat="false" ht="15" hidden="false" customHeight="false" outlineLevel="0" collapsed="false">
      <c r="A31" s="22"/>
      <c r="B31" s="24"/>
      <c r="C31" s="24"/>
      <c r="D31" s="22"/>
      <c r="E31" s="22"/>
      <c r="F31" s="23"/>
      <c r="G31" s="25" t="str">
        <f aca="false">IF($A31="","",COUNTIF(Proposals!$D$6:$D$205,$A31))</f>
        <v/>
      </c>
      <c r="H31" s="24"/>
    </row>
    <row r="32" customFormat="false" ht="15" hidden="false" customHeight="false" outlineLevel="0" collapsed="false">
      <c r="A32" s="22"/>
      <c r="B32" s="24"/>
      <c r="C32" s="24"/>
      <c r="D32" s="22"/>
      <c r="E32" s="22"/>
      <c r="F32" s="23"/>
      <c r="G32" s="25" t="str">
        <f aca="false">IF($A32="","",COUNTIF(Proposals!$D$6:$D$205,$A32))</f>
        <v/>
      </c>
      <c r="H32" s="24"/>
    </row>
    <row r="33" customFormat="false" ht="15" hidden="false" customHeight="false" outlineLevel="0" collapsed="false">
      <c r="A33" s="22"/>
      <c r="B33" s="24"/>
      <c r="C33" s="24"/>
      <c r="D33" s="22"/>
      <c r="E33" s="22"/>
      <c r="F33" s="23"/>
      <c r="G33" s="25" t="str">
        <f aca="false">IF($A33="","",COUNTIF(Proposals!$D$6:$D$205,$A33))</f>
        <v/>
      </c>
      <c r="H33" s="24"/>
    </row>
    <row r="34" customFormat="false" ht="15" hidden="false" customHeight="false" outlineLevel="0" collapsed="false">
      <c r="A34" s="22"/>
      <c r="B34" s="24"/>
      <c r="C34" s="24"/>
      <c r="D34" s="22"/>
      <c r="E34" s="22"/>
      <c r="F34" s="23"/>
      <c r="G34" s="25" t="str">
        <f aca="false">IF($A34="","",COUNTIF(Proposals!$D$6:$D$205,$A34))</f>
        <v/>
      </c>
      <c r="H34" s="24"/>
    </row>
    <row r="35" customFormat="false" ht="15" hidden="false" customHeight="false" outlineLevel="0" collapsed="false">
      <c r="A35" s="22"/>
      <c r="B35" s="24"/>
      <c r="C35" s="24"/>
      <c r="D35" s="22"/>
      <c r="E35" s="22"/>
      <c r="F35" s="23"/>
      <c r="G35" s="25" t="str">
        <f aca="false">IF($A35="","",COUNTIF(Proposals!$D$6:$D$205,$A35))</f>
        <v/>
      </c>
      <c r="H35" s="24"/>
    </row>
    <row r="36" customFormat="false" ht="15" hidden="false" customHeight="false" outlineLevel="0" collapsed="false">
      <c r="A36" s="22"/>
      <c r="B36" s="24"/>
      <c r="C36" s="24"/>
      <c r="D36" s="22"/>
      <c r="E36" s="22"/>
      <c r="F36" s="23"/>
      <c r="G36" s="25" t="str">
        <f aca="false">IF($A36="","",COUNTIF(Proposals!$D$6:$D$205,$A36))</f>
        <v/>
      </c>
      <c r="H36" s="24"/>
    </row>
    <row r="37" customFormat="false" ht="15" hidden="false" customHeight="false" outlineLevel="0" collapsed="false">
      <c r="A37" s="22"/>
      <c r="B37" s="24"/>
      <c r="C37" s="24"/>
      <c r="D37" s="22"/>
      <c r="E37" s="22"/>
      <c r="F37" s="23"/>
      <c r="G37" s="25" t="str">
        <f aca="false">IF($A37="","",COUNTIF(Proposals!$D$6:$D$205,$A37))</f>
        <v/>
      </c>
      <c r="H37" s="24"/>
    </row>
    <row r="38" customFormat="false" ht="15" hidden="false" customHeight="false" outlineLevel="0" collapsed="false">
      <c r="A38" s="22"/>
      <c r="B38" s="24"/>
      <c r="C38" s="24"/>
      <c r="D38" s="22"/>
      <c r="E38" s="22"/>
      <c r="F38" s="23"/>
      <c r="G38" s="25" t="str">
        <f aca="false">IF($A38="","",COUNTIF(Proposals!$D$6:$D$205,$A38))</f>
        <v/>
      </c>
      <c r="H38" s="24"/>
    </row>
    <row r="39" customFormat="false" ht="15" hidden="false" customHeight="false" outlineLevel="0" collapsed="false">
      <c r="A39" s="22"/>
      <c r="B39" s="24"/>
      <c r="C39" s="24"/>
      <c r="D39" s="22"/>
      <c r="E39" s="22"/>
      <c r="F39" s="23"/>
      <c r="G39" s="25" t="str">
        <f aca="false">IF($A39="","",COUNTIF(Proposals!$D$6:$D$205,$A39))</f>
        <v/>
      </c>
      <c r="H39" s="24"/>
    </row>
    <row r="40" customFormat="false" ht="15" hidden="false" customHeight="false" outlineLevel="0" collapsed="false">
      <c r="A40" s="22"/>
      <c r="B40" s="24"/>
      <c r="C40" s="24"/>
      <c r="D40" s="22"/>
      <c r="E40" s="22"/>
      <c r="F40" s="23"/>
      <c r="G40" s="25" t="str">
        <f aca="false">IF($A40="","",COUNTIF(Proposals!$D$6:$D$205,$A40))</f>
        <v/>
      </c>
      <c r="H40" s="24"/>
    </row>
    <row r="41" customFormat="false" ht="15" hidden="false" customHeight="false" outlineLevel="0" collapsed="false">
      <c r="A41" s="22"/>
      <c r="B41" s="24"/>
      <c r="C41" s="24"/>
      <c r="D41" s="22"/>
      <c r="E41" s="22"/>
      <c r="F41" s="23"/>
      <c r="G41" s="25" t="str">
        <f aca="false">IF($A41="","",COUNTIF(Proposals!$D$6:$D$205,$A41))</f>
        <v/>
      </c>
      <c r="H41" s="24"/>
    </row>
    <row r="42" customFormat="false" ht="15" hidden="false" customHeight="false" outlineLevel="0" collapsed="false">
      <c r="A42" s="22"/>
      <c r="B42" s="24"/>
      <c r="C42" s="24"/>
      <c r="D42" s="22"/>
      <c r="E42" s="22"/>
      <c r="F42" s="23"/>
      <c r="G42" s="25" t="str">
        <f aca="false">IF($A42="","",COUNTIF(Proposals!$D$6:$D$205,$A42))</f>
        <v/>
      </c>
      <c r="H42" s="24"/>
    </row>
    <row r="43" customFormat="false" ht="15" hidden="false" customHeight="false" outlineLevel="0" collapsed="false">
      <c r="A43" s="22"/>
      <c r="B43" s="24"/>
      <c r="C43" s="24"/>
      <c r="D43" s="22"/>
      <c r="E43" s="22"/>
      <c r="F43" s="23"/>
      <c r="G43" s="25" t="str">
        <f aca="false">IF($A43="","",COUNTIF(Proposals!$D$6:$D$205,$A43))</f>
        <v/>
      </c>
      <c r="H43" s="24"/>
    </row>
    <row r="44" customFormat="false" ht="15" hidden="false" customHeight="false" outlineLevel="0" collapsed="false">
      <c r="A44" s="22"/>
      <c r="B44" s="24"/>
      <c r="C44" s="24"/>
      <c r="D44" s="22"/>
      <c r="E44" s="22"/>
      <c r="F44" s="23"/>
      <c r="G44" s="25" t="str">
        <f aca="false">IF($A44="","",COUNTIF(Proposals!$D$6:$D$205,$A44))</f>
        <v/>
      </c>
      <c r="H44" s="24"/>
    </row>
    <row r="45" customFormat="false" ht="15" hidden="false" customHeight="false" outlineLevel="0" collapsed="false">
      <c r="A45" s="22"/>
      <c r="B45" s="24"/>
      <c r="C45" s="24"/>
      <c r="D45" s="22"/>
      <c r="E45" s="22"/>
      <c r="F45" s="23"/>
      <c r="G45" s="25" t="str">
        <f aca="false">IF($A45="","",COUNTIF(Proposals!$D$6:$D$205,$A45))</f>
        <v/>
      </c>
      <c r="H45" s="24"/>
    </row>
    <row r="46" customFormat="false" ht="15" hidden="false" customHeight="false" outlineLevel="0" collapsed="false">
      <c r="A46" s="22"/>
      <c r="B46" s="24"/>
      <c r="C46" s="24"/>
      <c r="D46" s="22"/>
      <c r="E46" s="22"/>
      <c r="F46" s="23"/>
      <c r="G46" s="25" t="str">
        <f aca="false">IF($A46="","",COUNTIF(Proposals!$D$6:$D$205,$A46))</f>
        <v/>
      </c>
      <c r="H46" s="24"/>
    </row>
    <row r="47" customFormat="false" ht="15" hidden="false" customHeight="false" outlineLevel="0" collapsed="false">
      <c r="A47" s="22"/>
      <c r="B47" s="24"/>
      <c r="C47" s="24"/>
      <c r="D47" s="22"/>
      <c r="E47" s="22"/>
      <c r="F47" s="23"/>
      <c r="G47" s="25" t="str">
        <f aca="false">IF($A47="","",COUNTIF(Proposals!$D$6:$D$205,$A47))</f>
        <v/>
      </c>
      <c r="H47" s="24"/>
    </row>
    <row r="48" customFormat="false" ht="15" hidden="false" customHeight="false" outlineLevel="0" collapsed="false">
      <c r="A48" s="22"/>
      <c r="B48" s="24"/>
      <c r="C48" s="24"/>
      <c r="D48" s="22"/>
      <c r="E48" s="22"/>
      <c r="F48" s="23"/>
      <c r="G48" s="25" t="str">
        <f aca="false">IF($A48="","",COUNTIF(Proposals!$D$6:$D$205,$A48))</f>
        <v/>
      </c>
      <c r="H48" s="24"/>
    </row>
    <row r="49" customFormat="false" ht="15" hidden="false" customHeight="false" outlineLevel="0" collapsed="false">
      <c r="A49" s="22"/>
      <c r="B49" s="24"/>
      <c r="C49" s="24"/>
      <c r="D49" s="22"/>
      <c r="E49" s="22"/>
      <c r="F49" s="23"/>
      <c r="G49" s="25" t="str">
        <f aca="false">IF($A49="","",COUNTIF(Proposals!$D$6:$D$205,$A49))</f>
        <v/>
      </c>
      <c r="H49" s="24"/>
    </row>
    <row r="50" customFormat="false" ht="15" hidden="false" customHeight="false" outlineLevel="0" collapsed="false">
      <c r="A50" s="22"/>
      <c r="B50" s="24"/>
      <c r="C50" s="24"/>
      <c r="D50" s="22"/>
      <c r="E50" s="22"/>
      <c r="F50" s="23"/>
      <c r="G50" s="25" t="str">
        <f aca="false">IF($A50="","",COUNTIF(Proposals!$D$6:$D$205,$A50))</f>
        <v/>
      </c>
      <c r="H50" s="24"/>
    </row>
    <row r="51" customFormat="false" ht="15" hidden="false" customHeight="false" outlineLevel="0" collapsed="false">
      <c r="A51" s="22"/>
      <c r="B51" s="24"/>
      <c r="C51" s="24"/>
      <c r="D51" s="22"/>
      <c r="E51" s="22"/>
      <c r="F51" s="23"/>
      <c r="G51" s="25" t="str">
        <f aca="false">IF($A51="","",COUNTIF(Proposals!$D$6:$D$205,$A51))</f>
        <v/>
      </c>
      <c r="H51" s="24"/>
    </row>
    <row r="52" customFormat="false" ht="15" hidden="false" customHeight="false" outlineLevel="0" collapsed="false">
      <c r="A52" s="22"/>
      <c r="B52" s="24"/>
      <c r="C52" s="24"/>
      <c r="D52" s="22"/>
      <c r="E52" s="22"/>
      <c r="F52" s="23"/>
      <c r="G52" s="25" t="str">
        <f aca="false">IF($A52="","",COUNTIF(Proposals!$D$6:$D$205,$A52))</f>
        <v/>
      </c>
      <c r="H52" s="24"/>
    </row>
    <row r="53" customFormat="false" ht="15" hidden="false" customHeight="false" outlineLevel="0" collapsed="false">
      <c r="A53" s="22"/>
      <c r="B53" s="24"/>
      <c r="C53" s="24"/>
      <c r="D53" s="22"/>
      <c r="E53" s="22"/>
      <c r="F53" s="23"/>
      <c r="G53" s="25" t="str">
        <f aca="false">IF($A53="","",COUNTIF(Proposals!$D$6:$D$205,$A53))</f>
        <v/>
      </c>
      <c r="H53" s="24"/>
    </row>
    <row r="54" customFormat="false" ht="15" hidden="false" customHeight="false" outlineLevel="0" collapsed="false">
      <c r="A54" s="22"/>
      <c r="B54" s="24"/>
      <c r="C54" s="24"/>
      <c r="D54" s="22"/>
      <c r="E54" s="22"/>
      <c r="F54" s="23"/>
      <c r="G54" s="25" t="str">
        <f aca="false">IF($A54="","",COUNTIF(Proposals!$D$6:$D$205,$A54))</f>
        <v/>
      </c>
      <c r="H54" s="24"/>
    </row>
    <row r="55" customFormat="false" ht="15" hidden="false" customHeight="false" outlineLevel="0" collapsed="false">
      <c r="A55" s="22"/>
      <c r="B55" s="24"/>
      <c r="C55" s="24"/>
      <c r="D55" s="22"/>
      <c r="E55" s="22"/>
      <c r="F55" s="23"/>
      <c r="G55" s="25" t="str">
        <f aca="false">IF($A55="","",COUNTIF(Proposals!$D$6:$D$205,$A55))</f>
        <v/>
      </c>
      <c r="H55" s="24"/>
    </row>
    <row r="56" customFormat="false" ht="15" hidden="false" customHeight="false" outlineLevel="0" collapsed="false">
      <c r="A56" s="22"/>
      <c r="B56" s="24"/>
      <c r="C56" s="24"/>
      <c r="D56" s="22"/>
      <c r="E56" s="22"/>
      <c r="F56" s="23"/>
      <c r="G56" s="25" t="str">
        <f aca="false">IF($A56="","",COUNTIF(Proposals!$D$6:$D$205,$A56))</f>
        <v/>
      </c>
      <c r="H56" s="24"/>
    </row>
    <row r="57" customFormat="false" ht="15" hidden="false" customHeight="false" outlineLevel="0" collapsed="false">
      <c r="A57" s="22"/>
      <c r="B57" s="24"/>
      <c r="C57" s="24"/>
      <c r="D57" s="22"/>
      <c r="E57" s="22"/>
      <c r="F57" s="23"/>
      <c r="G57" s="25" t="str">
        <f aca="false">IF($A57="","",COUNTIF(Proposals!$D$6:$D$205,$A57))</f>
        <v/>
      </c>
      <c r="H57" s="24"/>
    </row>
    <row r="58" customFormat="false" ht="15" hidden="false" customHeight="false" outlineLevel="0" collapsed="false">
      <c r="A58" s="22"/>
      <c r="B58" s="24"/>
      <c r="C58" s="24"/>
      <c r="D58" s="22"/>
      <c r="E58" s="22"/>
      <c r="F58" s="23"/>
      <c r="G58" s="25" t="str">
        <f aca="false">IF($A58="","",COUNTIF(Proposals!$D$6:$D$205,$A58))</f>
        <v/>
      </c>
      <c r="H58" s="24"/>
    </row>
    <row r="59" customFormat="false" ht="15" hidden="false" customHeight="false" outlineLevel="0" collapsed="false">
      <c r="A59" s="22"/>
      <c r="B59" s="24"/>
      <c r="C59" s="24"/>
      <c r="D59" s="22"/>
      <c r="E59" s="22"/>
      <c r="F59" s="23"/>
      <c r="G59" s="25" t="str">
        <f aca="false">IF($A59="","",COUNTIF(Proposals!$D$6:$D$205,$A59))</f>
        <v/>
      </c>
      <c r="H59" s="24"/>
    </row>
    <row r="60" customFormat="false" ht="15" hidden="false" customHeight="false" outlineLevel="0" collapsed="false">
      <c r="A60" s="22"/>
      <c r="B60" s="24"/>
      <c r="C60" s="24"/>
      <c r="D60" s="22"/>
      <c r="E60" s="22"/>
      <c r="F60" s="23"/>
      <c r="G60" s="25" t="str">
        <f aca="false">IF($A60="","",COUNTIF(Proposals!$D$6:$D$205,$A60))</f>
        <v/>
      </c>
      <c r="H60" s="24"/>
    </row>
    <row r="61" customFormat="false" ht="15" hidden="false" customHeight="false" outlineLevel="0" collapsed="false">
      <c r="A61" s="22"/>
      <c r="B61" s="24"/>
      <c r="C61" s="24"/>
      <c r="D61" s="22"/>
      <c r="E61" s="22"/>
      <c r="F61" s="23"/>
      <c r="G61" s="25" t="str">
        <f aca="false">IF($A61="","",COUNTIF(Proposals!$D$6:$D$205,$A61))</f>
        <v/>
      </c>
      <c r="H61" s="24"/>
    </row>
    <row r="62" customFormat="false" ht="15" hidden="false" customHeight="false" outlineLevel="0" collapsed="false">
      <c r="A62" s="22"/>
      <c r="B62" s="24"/>
      <c r="C62" s="24"/>
      <c r="D62" s="22"/>
      <c r="E62" s="22"/>
      <c r="F62" s="23"/>
      <c r="G62" s="25" t="str">
        <f aca="false">IF($A62="","",COUNTIF(Proposals!$D$6:$D$205,$A62))</f>
        <v/>
      </c>
      <c r="H62" s="24"/>
    </row>
    <row r="63" customFormat="false" ht="15" hidden="false" customHeight="false" outlineLevel="0" collapsed="false">
      <c r="A63" s="22"/>
      <c r="B63" s="24"/>
      <c r="C63" s="24"/>
      <c r="D63" s="22"/>
      <c r="E63" s="22"/>
      <c r="F63" s="23"/>
      <c r="G63" s="25" t="str">
        <f aca="false">IF($A63="","",COUNTIF(Proposals!$D$6:$D$205,$A63))</f>
        <v/>
      </c>
      <c r="H63" s="24"/>
    </row>
    <row r="64" customFormat="false" ht="15" hidden="false" customHeight="false" outlineLevel="0" collapsed="false">
      <c r="A64" s="22"/>
      <c r="B64" s="24"/>
      <c r="C64" s="24"/>
      <c r="D64" s="22"/>
      <c r="E64" s="22"/>
      <c r="F64" s="23"/>
      <c r="G64" s="25" t="str">
        <f aca="false">IF($A64="","",COUNTIF(Proposals!$D$6:$D$205,$A64))</f>
        <v/>
      </c>
      <c r="H64" s="24"/>
    </row>
    <row r="65" customFormat="false" ht="15" hidden="false" customHeight="false" outlineLevel="0" collapsed="false">
      <c r="A65" s="22"/>
      <c r="B65" s="24"/>
      <c r="C65" s="24"/>
      <c r="D65" s="22"/>
      <c r="E65" s="22"/>
      <c r="F65" s="23"/>
      <c r="G65" s="25" t="str">
        <f aca="false">IF($A65="","",COUNTIF(Proposals!$D$6:$D$205,$A65))</f>
        <v/>
      </c>
      <c r="H65" s="24"/>
    </row>
    <row r="66" customFormat="false" ht="15" hidden="false" customHeight="false" outlineLevel="0" collapsed="false">
      <c r="A66" s="22"/>
      <c r="B66" s="24"/>
      <c r="C66" s="24"/>
      <c r="D66" s="22"/>
      <c r="E66" s="22"/>
      <c r="F66" s="23"/>
      <c r="G66" s="25" t="str">
        <f aca="false">IF($A66="","",COUNTIF(Proposals!$D$6:$D$205,$A66))</f>
        <v/>
      </c>
      <c r="H66" s="24"/>
    </row>
    <row r="67" customFormat="false" ht="15" hidden="false" customHeight="false" outlineLevel="0" collapsed="false">
      <c r="A67" s="22"/>
      <c r="B67" s="24"/>
      <c r="C67" s="24"/>
      <c r="D67" s="22"/>
      <c r="E67" s="22"/>
      <c r="F67" s="23"/>
      <c r="G67" s="25" t="str">
        <f aca="false">IF($A67="","",COUNTIF(Proposals!$D$6:$D$205,$A67))</f>
        <v/>
      </c>
      <c r="H67" s="24"/>
    </row>
    <row r="68" customFormat="false" ht="15" hidden="false" customHeight="false" outlineLevel="0" collapsed="false">
      <c r="A68" s="22"/>
      <c r="B68" s="24"/>
      <c r="C68" s="24"/>
      <c r="D68" s="22"/>
      <c r="E68" s="22"/>
      <c r="F68" s="23"/>
      <c r="G68" s="25" t="str">
        <f aca="false">IF($A68="","",COUNTIF(Proposals!$D$6:$D$205,$A68))</f>
        <v/>
      </c>
      <c r="H68" s="24"/>
    </row>
    <row r="69" customFormat="false" ht="15" hidden="false" customHeight="false" outlineLevel="0" collapsed="false">
      <c r="A69" s="22"/>
      <c r="B69" s="24"/>
      <c r="C69" s="24"/>
      <c r="D69" s="22"/>
      <c r="E69" s="22"/>
      <c r="F69" s="23"/>
      <c r="G69" s="25" t="str">
        <f aca="false">IF($A69="","",COUNTIF(Proposals!$D$6:$D$205,$A69))</f>
        <v/>
      </c>
      <c r="H69" s="24"/>
    </row>
    <row r="70" customFormat="false" ht="15" hidden="false" customHeight="false" outlineLevel="0" collapsed="false">
      <c r="A70" s="22"/>
      <c r="B70" s="24"/>
      <c r="C70" s="24"/>
      <c r="D70" s="22"/>
      <c r="E70" s="22"/>
      <c r="F70" s="23"/>
      <c r="G70" s="25" t="str">
        <f aca="false">IF($A70="","",COUNTIF(Proposals!$D$6:$D$205,$A70))</f>
        <v/>
      </c>
      <c r="H70" s="24"/>
    </row>
    <row r="71" customFormat="false" ht="15" hidden="false" customHeight="false" outlineLevel="0" collapsed="false">
      <c r="A71" s="22"/>
      <c r="B71" s="24"/>
      <c r="C71" s="24"/>
      <c r="D71" s="22"/>
      <c r="E71" s="22"/>
      <c r="F71" s="23"/>
      <c r="G71" s="25" t="str">
        <f aca="false">IF($A71="","",COUNTIF(Proposals!$D$6:$D$205,$A71))</f>
        <v/>
      </c>
      <c r="H71" s="24"/>
    </row>
    <row r="72" customFormat="false" ht="15" hidden="false" customHeight="false" outlineLevel="0" collapsed="false">
      <c r="A72" s="22"/>
      <c r="B72" s="24"/>
      <c r="C72" s="24"/>
      <c r="D72" s="22"/>
      <c r="E72" s="22"/>
      <c r="F72" s="23"/>
      <c r="G72" s="25" t="str">
        <f aca="false">IF($A72="","",COUNTIF(Proposals!$D$6:$D$205,$A72))</f>
        <v/>
      </c>
      <c r="H72" s="24"/>
    </row>
    <row r="73" customFormat="false" ht="15" hidden="false" customHeight="false" outlineLevel="0" collapsed="false">
      <c r="A73" s="22"/>
      <c r="B73" s="24"/>
      <c r="C73" s="24"/>
      <c r="D73" s="22"/>
      <c r="E73" s="22"/>
      <c r="F73" s="23"/>
      <c r="G73" s="25" t="str">
        <f aca="false">IF($A73="","",COUNTIF(Proposals!$D$6:$D$205,$A73))</f>
        <v/>
      </c>
      <c r="H73" s="24"/>
    </row>
    <row r="74" customFormat="false" ht="15" hidden="false" customHeight="false" outlineLevel="0" collapsed="false">
      <c r="A74" s="22"/>
      <c r="B74" s="24"/>
      <c r="C74" s="24"/>
      <c r="D74" s="22"/>
      <c r="E74" s="22"/>
      <c r="F74" s="23"/>
      <c r="G74" s="25" t="str">
        <f aca="false">IF($A74="","",COUNTIF(Proposals!$D$6:$D$205,$A74))</f>
        <v/>
      </c>
      <c r="H74" s="24"/>
    </row>
    <row r="75" customFormat="false" ht="15" hidden="false" customHeight="false" outlineLevel="0" collapsed="false">
      <c r="A75" s="22"/>
      <c r="B75" s="24"/>
      <c r="C75" s="24"/>
      <c r="D75" s="22"/>
      <c r="E75" s="22"/>
      <c r="F75" s="23"/>
      <c r="G75" s="25" t="str">
        <f aca="false">IF($A75="","",COUNTIF(Proposals!$D$6:$D$205,$A75))</f>
        <v/>
      </c>
      <c r="H75" s="24"/>
    </row>
    <row r="76" customFormat="false" ht="15" hidden="false" customHeight="false" outlineLevel="0" collapsed="false">
      <c r="A76" s="22"/>
      <c r="B76" s="24"/>
      <c r="C76" s="24"/>
      <c r="D76" s="22"/>
      <c r="E76" s="22"/>
      <c r="F76" s="23"/>
      <c r="G76" s="25" t="str">
        <f aca="false">IF($A76="","",COUNTIF(Proposals!$D$6:$D$205,$A76))</f>
        <v/>
      </c>
      <c r="H76" s="24"/>
    </row>
    <row r="77" customFormat="false" ht="15" hidden="false" customHeight="false" outlineLevel="0" collapsed="false">
      <c r="A77" s="22"/>
      <c r="B77" s="24"/>
      <c r="C77" s="24"/>
      <c r="D77" s="22"/>
      <c r="E77" s="22"/>
      <c r="F77" s="23"/>
      <c r="G77" s="25" t="str">
        <f aca="false">IF($A77="","",COUNTIF(Proposals!$D$6:$D$205,$A77))</f>
        <v/>
      </c>
      <c r="H77" s="24"/>
    </row>
    <row r="78" customFormat="false" ht="15" hidden="false" customHeight="false" outlineLevel="0" collapsed="false">
      <c r="A78" s="22"/>
      <c r="B78" s="24"/>
      <c r="C78" s="24"/>
      <c r="D78" s="22"/>
      <c r="E78" s="22"/>
      <c r="F78" s="23"/>
      <c r="G78" s="25" t="str">
        <f aca="false">IF($A78="","",COUNTIF(Proposals!$D$6:$D$205,$A78))</f>
        <v/>
      </c>
      <c r="H78" s="24"/>
    </row>
    <row r="79" customFormat="false" ht="15" hidden="false" customHeight="false" outlineLevel="0" collapsed="false">
      <c r="A79" s="22"/>
      <c r="B79" s="24"/>
      <c r="C79" s="24"/>
      <c r="D79" s="22"/>
      <c r="E79" s="22"/>
      <c r="F79" s="23"/>
      <c r="G79" s="25" t="str">
        <f aca="false">IF($A79="","",COUNTIF(Proposals!$D$6:$D$205,$A79))</f>
        <v/>
      </c>
      <c r="H79" s="24"/>
    </row>
    <row r="80" customFormat="false" ht="15" hidden="false" customHeight="false" outlineLevel="0" collapsed="false">
      <c r="A80" s="22"/>
      <c r="B80" s="24"/>
      <c r="C80" s="24"/>
      <c r="D80" s="22"/>
      <c r="E80" s="22"/>
      <c r="F80" s="23"/>
      <c r="G80" s="25" t="str">
        <f aca="false">IF($A80="","",COUNTIF(Proposals!$D$6:$D$205,$A80))</f>
        <v/>
      </c>
      <c r="H80" s="24"/>
    </row>
    <row r="81" customFormat="false" ht="15" hidden="false" customHeight="false" outlineLevel="0" collapsed="false">
      <c r="A81" s="22"/>
      <c r="B81" s="24"/>
      <c r="C81" s="24"/>
      <c r="D81" s="22"/>
      <c r="E81" s="22"/>
      <c r="F81" s="23"/>
      <c r="G81" s="25" t="str">
        <f aca="false">IF($A81="","",COUNTIF(Proposals!$D$6:$D$205,$A81))</f>
        <v/>
      </c>
      <c r="H81" s="24"/>
    </row>
    <row r="82" customFormat="false" ht="15" hidden="false" customHeight="false" outlineLevel="0" collapsed="false">
      <c r="A82" s="22"/>
      <c r="B82" s="24"/>
      <c r="C82" s="24"/>
      <c r="D82" s="22"/>
      <c r="E82" s="22"/>
      <c r="F82" s="23"/>
      <c r="G82" s="25" t="str">
        <f aca="false">IF($A82="","",COUNTIF(Proposals!$D$6:$D$205,$A82))</f>
        <v/>
      </c>
      <c r="H82" s="24"/>
    </row>
    <row r="83" customFormat="false" ht="15" hidden="false" customHeight="false" outlineLevel="0" collapsed="false">
      <c r="A83" s="22"/>
      <c r="B83" s="24"/>
      <c r="C83" s="24"/>
      <c r="D83" s="22"/>
      <c r="E83" s="22"/>
      <c r="F83" s="23"/>
      <c r="G83" s="25" t="str">
        <f aca="false">IF($A83="","",COUNTIF(Proposals!$D$6:$D$205,$A83))</f>
        <v/>
      </c>
      <c r="H83" s="24"/>
    </row>
    <row r="84" customFormat="false" ht="15" hidden="false" customHeight="false" outlineLevel="0" collapsed="false">
      <c r="A84" s="22"/>
      <c r="B84" s="24"/>
      <c r="C84" s="24"/>
      <c r="D84" s="22"/>
      <c r="E84" s="22"/>
      <c r="F84" s="23"/>
      <c r="G84" s="25" t="str">
        <f aca="false">IF($A84="","",COUNTIF(Proposals!$D$6:$D$205,$A84))</f>
        <v/>
      </c>
      <c r="H84" s="24"/>
    </row>
    <row r="85" customFormat="false" ht="15" hidden="false" customHeight="false" outlineLevel="0" collapsed="false">
      <c r="A85" s="22"/>
      <c r="B85" s="24"/>
      <c r="C85" s="24"/>
      <c r="D85" s="22"/>
      <c r="E85" s="22"/>
      <c r="F85" s="23"/>
      <c r="G85" s="25" t="str">
        <f aca="false">IF($A85="","",COUNTIF(Proposals!$D$6:$D$205,$A85))</f>
        <v/>
      </c>
      <c r="H85" s="24"/>
    </row>
    <row r="86" customFormat="false" ht="15" hidden="false" customHeight="false" outlineLevel="0" collapsed="false">
      <c r="A86" s="22"/>
      <c r="B86" s="24"/>
      <c r="C86" s="24"/>
      <c r="D86" s="22"/>
      <c r="E86" s="22"/>
      <c r="F86" s="23"/>
      <c r="G86" s="25" t="str">
        <f aca="false">IF($A86="","",COUNTIF(Proposals!$D$6:$D$205,$A86))</f>
        <v/>
      </c>
      <c r="H86" s="24"/>
    </row>
    <row r="87" customFormat="false" ht="15" hidden="false" customHeight="false" outlineLevel="0" collapsed="false">
      <c r="A87" s="22"/>
      <c r="B87" s="24"/>
      <c r="C87" s="24"/>
      <c r="D87" s="22"/>
      <c r="E87" s="22"/>
      <c r="F87" s="23"/>
      <c r="G87" s="25" t="str">
        <f aca="false">IF($A87="","",COUNTIF(Proposals!$D$6:$D$205,$A87))</f>
        <v/>
      </c>
      <c r="H87" s="24"/>
    </row>
    <row r="88" customFormat="false" ht="15" hidden="false" customHeight="false" outlineLevel="0" collapsed="false">
      <c r="A88" s="22"/>
      <c r="B88" s="24"/>
      <c r="C88" s="24"/>
      <c r="D88" s="22"/>
      <c r="E88" s="22"/>
      <c r="F88" s="23"/>
      <c r="G88" s="25" t="str">
        <f aca="false">IF($A88="","",COUNTIF(Proposals!$D$6:$D$205,$A88))</f>
        <v/>
      </c>
      <c r="H88" s="24"/>
    </row>
    <row r="89" customFormat="false" ht="15" hidden="false" customHeight="false" outlineLevel="0" collapsed="false">
      <c r="A89" s="22"/>
      <c r="B89" s="24"/>
      <c r="C89" s="24"/>
      <c r="D89" s="22"/>
      <c r="E89" s="22"/>
      <c r="F89" s="23"/>
      <c r="G89" s="25" t="str">
        <f aca="false">IF($A89="","",COUNTIF(Proposals!$D$6:$D$205,$A89))</f>
        <v/>
      </c>
      <c r="H89" s="24"/>
    </row>
    <row r="90" customFormat="false" ht="15" hidden="false" customHeight="false" outlineLevel="0" collapsed="false">
      <c r="A90" s="22"/>
      <c r="B90" s="24"/>
      <c r="C90" s="24"/>
      <c r="D90" s="22"/>
      <c r="E90" s="22"/>
      <c r="F90" s="23"/>
      <c r="G90" s="25" t="str">
        <f aca="false">IF($A90="","",COUNTIF(Proposals!$D$6:$D$205,$A90))</f>
        <v/>
      </c>
      <c r="H90" s="24"/>
    </row>
    <row r="91" customFormat="false" ht="15" hidden="false" customHeight="false" outlineLevel="0" collapsed="false">
      <c r="A91" s="22"/>
      <c r="B91" s="24"/>
      <c r="C91" s="24"/>
      <c r="D91" s="22"/>
      <c r="E91" s="22"/>
      <c r="F91" s="23"/>
      <c r="G91" s="25" t="str">
        <f aca="false">IF($A91="","",COUNTIF(Proposals!$D$6:$D$205,$A91))</f>
        <v/>
      </c>
      <c r="H91" s="24"/>
    </row>
    <row r="92" customFormat="false" ht="15" hidden="false" customHeight="false" outlineLevel="0" collapsed="false">
      <c r="A92" s="22"/>
      <c r="B92" s="24"/>
      <c r="C92" s="24"/>
      <c r="D92" s="22"/>
      <c r="E92" s="22"/>
      <c r="F92" s="23"/>
      <c r="G92" s="25" t="str">
        <f aca="false">IF($A92="","",COUNTIF(Proposals!$D$6:$D$205,$A92))</f>
        <v/>
      </c>
      <c r="H92" s="24"/>
    </row>
    <row r="93" customFormat="false" ht="15" hidden="false" customHeight="false" outlineLevel="0" collapsed="false">
      <c r="A93" s="22"/>
      <c r="B93" s="24"/>
      <c r="C93" s="24"/>
      <c r="D93" s="22"/>
      <c r="E93" s="22"/>
      <c r="F93" s="23"/>
      <c r="G93" s="25" t="str">
        <f aca="false">IF($A93="","",COUNTIF(Proposals!$D$6:$D$205,$A93))</f>
        <v/>
      </c>
      <c r="H93" s="24"/>
    </row>
    <row r="94" customFormat="false" ht="15" hidden="false" customHeight="false" outlineLevel="0" collapsed="false">
      <c r="A94" s="22"/>
      <c r="B94" s="24"/>
      <c r="C94" s="24"/>
      <c r="D94" s="22"/>
      <c r="E94" s="22"/>
      <c r="F94" s="23"/>
      <c r="G94" s="25" t="str">
        <f aca="false">IF($A94="","",COUNTIF(Proposals!$D$6:$D$205,$A94))</f>
        <v/>
      </c>
      <c r="H94" s="24"/>
    </row>
    <row r="95" customFormat="false" ht="15" hidden="false" customHeight="false" outlineLevel="0" collapsed="false">
      <c r="A95" s="22"/>
      <c r="B95" s="24"/>
      <c r="C95" s="24"/>
      <c r="D95" s="22"/>
      <c r="E95" s="22"/>
      <c r="F95" s="23"/>
      <c r="G95" s="25" t="str">
        <f aca="false">IF($A95="","",COUNTIF(Proposals!$D$6:$D$205,$A95))</f>
        <v/>
      </c>
      <c r="H95" s="24"/>
    </row>
    <row r="96" customFormat="false" ht="15" hidden="false" customHeight="false" outlineLevel="0" collapsed="false">
      <c r="A96" s="22"/>
      <c r="B96" s="24"/>
      <c r="C96" s="24"/>
      <c r="D96" s="22"/>
      <c r="E96" s="22"/>
      <c r="F96" s="23"/>
      <c r="G96" s="25" t="str">
        <f aca="false">IF($A96="","",COUNTIF(Proposals!$D$6:$D$205,$A96))</f>
        <v/>
      </c>
      <c r="H96" s="24"/>
    </row>
    <row r="97" customFormat="false" ht="15" hidden="false" customHeight="false" outlineLevel="0" collapsed="false">
      <c r="A97" s="22"/>
      <c r="B97" s="24"/>
      <c r="C97" s="24"/>
      <c r="D97" s="22"/>
      <c r="E97" s="22"/>
      <c r="F97" s="23"/>
      <c r="G97" s="25" t="str">
        <f aca="false">IF($A97="","",COUNTIF(Proposals!$D$6:$D$205,$A97))</f>
        <v/>
      </c>
      <c r="H97" s="24"/>
    </row>
    <row r="98" customFormat="false" ht="15" hidden="false" customHeight="false" outlineLevel="0" collapsed="false">
      <c r="A98" s="22"/>
      <c r="B98" s="24"/>
      <c r="C98" s="24"/>
      <c r="D98" s="22"/>
      <c r="E98" s="22"/>
      <c r="F98" s="23"/>
      <c r="G98" s="25" t="str">
        <f aca="false">IF($A98="","",COUNTIF(Proposals!$D$6:$D$205,$A98))</f>
        <v/>
      </c>
      <c r="H98" s="24"/>
    </row>
    <row r="99" customFormat="false" ht="15" hidden="false" customHeight="false" outlineLevel="0" collapsed="false">
      <c r="A99" s="22"/>
      <c r="B99" s="24"/>
      <c r="C99" s="24"/>
      <c r="D99" s="22"/>
      <c r="E99" s="22"/>
      <c r="F99" s="23"/>
      <c r="G99" s="25" t="str">
        <f aca="false">IF($A99="","",COUNTIF(Proposals!$D$6:$D$205,$A99))</f>
        <v/>
      </c>
      <c r="H99" s="24"/>
    </row>
    <row r="100" customFormat="false" ht="15" hidden="false" customHeight="false" outlineLevel="0" collapsed="false">
      <c r="A100" s="22"/>
      <c r="B100" s="24"/>
      <c r="C100" s="24"/>
      <c r="D100" s="22"/>
      <c r="E100" s="22"/>
      <c r="F100" s="23"/>
      <c r="G100" s="25" t="str">
        <f aca="false">IF($A100="","",COUNTIF(Proposals!$D$6:$D$205,$A100))</f>
        <v/>
      </c>
      <c r="H100" s="24"/>
    </row>
    <row r="101" customFormat="false" ht="15" hidden="false" customHeight="false" outlineLevel="0" collapsed="false">
      <c r="A101" s="22"/>
      <c r="B101" s="24"/>
      <c r="C101" s="24"/>
      <c r="D101" s="22"/>
      <c r="E101" s="22"/>
      <c r="F101" s="23"/>
      <c r="G101" s="25" t="str">
        <f aca="false">IF($A101="","",COUNTIF(Proposals!$D$6:$D$205,$A101))</f>
        <v/>
      </c>
      <c r="H101" s="24"/>
    </row>
    <row r="102" customFormat="false" ht="15" hidden="false" customHeight="false" outlineLevel="0" collapsed="false">
      <c r="A102" s="22"/>
      <c r="B102" s="24"/>
      <c r="C102" s="24"/>
      <c r="D102" s="22"/>
      <c r="E102" s="22"/>
      <c r="F102" s="23"/>
      <c r="G102" s="25" t="str">
        <f aca="false">IF($A102="","",COUNTIF(Proposals!$D$6:$D$205,$A102))</f>
        <v/>
      </c>
      <c r="H102" s="24"/>
    </row>
    <row r="103" customFormat="false" ht="15" hidden="false" customHeight="false" outlineLevel="0" collapsed="false">
      <c r="A103" s="22"/>
      <c r="B103" s="24"/>
      <c r="C103" s="24"/>
      <c r="D103" s="22"/>
      <c r="E103" s="22"/>
      <c r="F103" s="23"/>
      <c r="G103" s="25" t="str">
        <f aca="false">IF($A103="","",COUNTIF(Proposals!$D$6:$D$205,$A103))</f>
        <v/>
      </c>
      <c r="H103" s="24"/>
    </row>
    <row r="104" customFormat="false" ht="15" hidden="false" customHeight="false" outlineLevel="0" collapsed="false">
      <c r="A104" s="22"/>
      <c r="B104" s="24"/>
      <c r="C104" s="24"/>
      <c r="D104" s="22"/>
      <c r="E104" s="22"/>
      <c r="F104" s="23"/>
      <c r="G104" s="25" t="str">
        <f aca="false">IF($A104="","",COUNTIF(Proposals!$D$6:$D$205,$A104))</f>
        <v/>
      </c>
      <c r="H104" s="24"/>
    </row>
    <row r="105" customFormat="false" ht="15" hidden="false" customHeight="false" outlineLevel="0" collapsed="false">
      <c r="A105" s="22"/>
      <c r="B105" s="24"/>
      <c r="C105" s="24"/>
      <c r="D105" s="22"/>
      <c r="E105" s="22"/>
      <c r="F105" s="23"/>
      <c r="G105" s="25" t="str">
        <f aca="false">IF($A105="","",COUNTIF(Proposals!$D$6:$D$205,$A105))</f>
        <v/>
      </c>
      <c r="H105" s="24"/>
    </row>
  </sheetData>
  <conditionalFormatting sqref="A6:A105">
    <cfRule type="expression" priority="2" aboveAverage="0" equalAverage="0" bottom="0" percent="0" rank="0" text="" dxfId="0">
      <formula>AND($A6&lt;&gt;"",COUNTIF($A$6:$A$105,$A6)&gt;1)</formula>
    </cfRule>
  </conditionalFormatting>
  <dataValidations count="2">
    <dataValidation allowBlank="true" error="Client code must be 3 to 5 capital letters, for example NWB." errorStyle="stop" errorTitle="Invalid ID format" operator="between" showDropDown="false" showErrorMessage="false" showInputMessage="false" sqref="A6:A105" type="custom">
      <formula1>AND(LEN(A6)&gt;=3,LEN(A6)&lt;=5,EXACT(A6,UPPER(A6)))</formula1>
      <formula2>0</formula2>
    </dataValidation>
    <dataValidation allowBlank="true" error="Pick a status from the list." errorStyle="stop" errorTitle="Check value" operator="between" showDropDown="false" showErrorMessage="false" showInputMessage="false" sqref="E6:E105" type="list">
      <formula1>Lists!$D$2:$D$5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5" hidden="false" customHeight="false" outlineLevel="0" collapsed="false">
      <c r="A1" s="31" t="s">
        <v>125</v>
      </c>
      <c r="B1" s="31" t="s">
        <v>126</v>
      </c>
      <c r="C1" s="31" t="s">
        <v>41</v>
      </c>
      <c r="D1" s="31" t="s">
        <v>127</v>
      </c>
      <c r="F1" s="6" t="s">
        <v>128</v>
      </c>
    </row>
    <row r="2" customFormat="false" ht="15" hidden="false" customHeight="false" outlineLevel="0" collapsed="false">
      <c r="A2" s="32" t="s">
        <v>129</v>
      </c>
      <c r="B2" s="32" t="s">
        <v>129</v>
      </c>
      <c r="C2" s="32" t="s">
        <v>130</v>
      </c>
      <c r="D2" s="32" t="s">
        <v>131</v>
      </c>
    </row>
    <row r="3" customFormat="false" ht="15" hidden="false" customHeight="false" outlineLevel="0" collapsed="false">
      <c r="A3" s="32" t="s">
        <v>132</v>
      </c>
      <c r="B3" s="32" t="s">
        <v>132</v>
      </c>
      <c r="C3" s="32" t="s">
        <v>112</v>
      </c>
      <c r="D3" s="32" t="s">
        <v>123</v>
      </c>
    </row>
    <row r="4" customFormat="false" ht="15" hidden="false" customHeight="false" outlineLevel="0" collapsed="false">
      <c r="A4" s="32" t="s">
        <v>133</v>
      </c>
      <c r="B4" s="32" t="s">
        <v>133</v>
      </c>
      <c r="C4" s="32" t="s">
        <v>134</v>
      </c>
      <c r="D4" s="32" t="s">
        <v>135</v>
      </c>
    </row>
    <row r="5" customFormat="false" ht="15" hidden="false" customHeight="false" outlineLevel="0" collapsed="false">
      <c r="A5" s="32" t="s">
        <v>136</v>
      </c>
      <c r="B5" s="32" t="s">
        <v>136</v>
      </c>
      <c r="C5" s="32" t="s">
        <v>137</v>
      </c>
      <c r="D5" s="32" t="s">
        <v>138</v>
      </c>
    </row>
    <row r="6" customFormat="false" ht="15" hidden="false" customHeight="false" outlineLevel="0" collapsed="false">
      <c r="A6" s="32" t="s">
        <v>96</v>
      </c>
      <c r="B6" s="32" t="s">
        <v>113</v>
      </c>
      <c r="C6" s="32" t="s">
        <v>139</v>
      </c>
    </row>
    <row r="7" customFormat="false" ht="15" hidden="false" customHeight="false" outlineLevel="0" collapsed="false">
      <c r="A7" s="32" t="s">
        <v>140</v>
      </c>
      <c r="B7" s="32" t="s">
        <v>141</v>
      </c>
      <c r="C7" s="32" t="s">
        <v>142</v>
      </c>
    </row>
    <row r="8" customFormat="false" ht="15" hidden="false" customHeight="false" outlineLevel="0" collapsed="false">
      <c r="A8" s="32" t="s">
        <v>143</v>
      </c>
      <c r="B8" s="32" t="s">
        <v>144</v>
      </c>
      <c r="C8" s="32" t="s">
        <v>145</v>
      </c>
    </row>
    <row r="9" customFormat="false" ht="15" hidden="false" customHeight="false" outlineLevel="0" collapsed="false">
      <c r="A9" s="32" t="s">
        <v>146</v>
      </c>
      <c r="B9" s="32" t="s">
        <v>147</v>
      </c>
    </row>
    <row r="10" customFormat="false" ht="15" hidden="false" customHeight="false" outlineLevel="0" collapsed="false">
      <c r="B10" s="3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2026-10-01T03:21:10Z</dcterms:created>
  <dc:creator>Knotica Solutions Inc</dc:creator>
  <dc:description/>
  <dc:language>en-US</dc:language>
  <cp:lastModifiedBy/>
  <dcterms:modified xsi:type="dcterms:W3CDTF">2026-10-01T03:21:10Z</dcterms:modified>
  <cp:revision>0</cp:revision>
  <dc:subject/>
  <dc:title>Knotica Solutions Inc Document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