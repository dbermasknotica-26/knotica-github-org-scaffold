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shboard" sheetId="2" state="visible" r:id="rId4"/>
    <sheet name="Invoices" sheetId="3" state="visible" r:id="rId5"/>
    <sheet name="Payments" sheetId="4" state="visible" r:id="rId6"/>
    <sheet name="Credit Notes" sheetId="5" state="visible" r:id="rId7"/>
    <sheet name="Clients" sheetId="6" state="visible" r:id="rId8"/>
    <sheet name="Lists" sheetId="7" state="visible" r:id="rId9"/>
  </sheets>
  <definedNames>
    <definedName function="false" hidden="false" localSheetId="5" name="_xlnm.Print_Titles" vbProcedure="false">Clients!$5:$5</definedName>
    <definedName function="false" hidden="false" localSheetId="4" name="_xlnm.Print_Titles" vbProcedure="false">'Credit Notes'!$5:$5</definedName>
    <definedName function="false" hidden="false" localSheetId="2" name="_xlnm.Print_Titles" vbProcedure="false">Invoices!$5:$5</definedName>
    <definedName function="false" hidden="false" localSheetId="3" name="_xlnm.Print_Titles" vbProcedure="false">Payments!$5:$5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<sst xmlns="http://schemas.openxmlformats.org/spreadsheetml/2006/main" count="294" uniqueCount="242">
  <si>
    <t xml:space="preserve">Knotica Solutions Inc: Billing Register (Invoices, Payments and Credit Notes)</t>
  </si>
  <si>
    <t xml:space="preserve">Purpose</t>
  </si>
  <si>
    <t xml:space="preserve">Operational register for invoice (INV-YYYY-###), payment acknowledgement (RCT-YYYY-###) and credit note (CN-YYYY-###) IDs, balances, ageing and client billing profiles. It is NOT the accounting ledger: reconcile it to your accounting system and bank every month.</t>
  </si>
  <si>
    <t xml:space="preserve">Sheets</t>
  </si>
  <si>
    <t xml:space="preserve">Dashboard (next IDs, integrity checks, receivables, ageing) | Invoices | Payments | Credit Notes | Clients (billing profile per client) | Lists (dropdown options).</t>
  </si>
  <si>
    <t xml:space="preserve">HOW TO ADD AN INVOICE</t>
  </si>
  <si>
    <t xml:space="preserve">1</t>
  </si>
  <si>
    <t xml:space="preserve">Add the client to Clients first (code, name, payment terms, currency, PO rule).</t>
  </si>
  <si>
    <t xml:space="preserve">2</t>
  </si>
  <si>
    <t xml:space="preserve">Open Dashboard and copy the 'Next Invoice ID'. In Invoices, go to the first empty row and paste it as a value (Paste Special &gt; Values).</t>
  </si>
  <si>
    <t xml:space="preserve">3</t>
  </si>
  <si>
    <t xml:space="preserve">Fill the blue cells: client code, quotation / change request, billing type, issue date, currency, subtotal, tax rate. Terms, due date, tax amount, total and balance calculate. Terms come from the client's profile; overwrite the yellow cell only for a one-off.</t>
  </si>
  <si>
    <t xml:space="preserve">4</t>
  </si>
  <si>
    <t xml:space="preserve">Keep Workflow Status at Draft while preparing. Set it to Issued when the invoice is sent to the client.</t>
  </si>
  <si>
    <t xml:space="preserve">5</t>
  </si>
  <si>
    <t xml:space="preserve">File the document in billing/invoices/&lt;year&gt;/ with the same ID, and copy the PDF to the client's 07-billing folder.</t>
  </si>
  <si>
    <t xml:space="preserve">HOW TO RECORD A PAYMENT</t>
  </si>
  <si>
    <t xml:space="preserve">Copy the 'Next Payment ID' from the Dashboard and paste it as a value in the first empty row of Payments.</t>
  </si>
  <si>
    <t xml:space="preserve">Choose the Invoice ID from the dropdown. Enter the amount received, any tax withheld by the client, and any bank charges or short payment you absorb. 'Amount Applied' adds the three.</t>
  </si>
  <si>
    <t xml:space="preserve">Enter the bank or remittance REFERENCE only. Never enter bank account or card numbers.</t>
  </si>
  <si>
    <t xml:space="preserve">A part payment leaves the balance open. When the balance reaches zero the Payment Status becomes Paid.</t>
  </si>
  <si>
    <t xml:space="preserve">HOW TO ISSUE A CREDIT NOTE</t>
  </si>
  <si>
    <t xml:space="preserve">Take the 'Next Credit Note ID', pick the related invoice, enter the credit amount (including tax), reason and status.</t>
  </si>
  <si>
    <t xml:space="preserve">A credit note reduces the invoice balance only when its Status is Issued. Management approves it first (Approved By).</t>
  </si>
  <si>
    <t xml:space="preserve">HOW STATUS AND BALANCES WORK</t>
  </si>
  <si>
    <t xml:space="preserve">Workflow Status (you set)</t>
  </si>
  <si>
    <t xml:space="preserve">Draft &gt; Issued &gt; Disputed (if the client disputes) &gt; Void (cancelled number).</t>
  </si>
  <si>
    <t xml:space="preserve">Payment Status (calculated)</t>
  </si>
  <si>
    <t xml:space="preserve">Outstanding, Part-paid, Overdue, Part-paid overdue, Paid, Overpaid. Disputed and Void override the calculation.</t>
  </si>
  <si>
    <t xml:space="preserve">Balance Due</t>
  </si>
  <si>
    <t xml:space="preserve">Invoice total - issued credit notes - payments applied. Payments applied = amount received + tax withheld by client + bank charges absorbed.</t>
  </si>
  <si>
    <t xml:space="preserve">Receivables</t>
  </si>
  <si>
    <t xml:space="preserve">Only Issued and Disputed invoices count as receivables. Draft and Void never do. Overdue means the due date has passed and a balance remains.</t>
  </si>
  <si>
    <t xml:space="preserve">RULES</t>
  </si>
  <si>
    <t xml:space="preserve">Never delete a row</t>
  </si>
  <si>
    <t xml:space="preserve">Set Workflow Status to Void instead. The 'Next ID' formulas count existing IDs for the year, so deleting rows can create duplicates.</t>
  </si>
  <si>
    <t xml:space="preserve">IDs are permanent</t>
  </si>
  <si>
    <t xml:space="preserve">Do not edit an ID after it is issued. Duplicates are highlighted red and counted on the Dashboard.</t>
  </si>
  <si>
    <t xml:space="preserve">Issued invoices are final</t>
  </si>
  <si>
    <t xml:space="preserve">Correct an issued invoice with a credit note (and a new invoice if needed). Do not change its amounts.</t>
  </si>
  <si>
    <t xml:space="preserve">One editor at a time</t>
  </si>
  <si>
    <t xml:space="preserve">This is a binary file in Git: two people editing at once cause a conflict. Assign one register owner, or keep the live file in SharePoint / Google Drive and put a copy in the repo.</t>
  </si>
  <si>
    <t xml:space="preserve">One currency per payment</t>
  </si>
  <si>
    <t xml:space="preserve">A payment must be in the same currency as its invoice. Dashboard totals add amounts without currency conversion.</t>
  </si>
  <si>
    <t xml:space="preserve">No sensitive data</t>
  </si>
  <si>
    <t xml:space="preserve">Never record bank account numbers, card numbers or passwords. Contacts by role where possible.</t>
  </si>
  <si>
    <t xml:space="preserve">Capacity</t>
  </si>
  <si>
    <t xml:space="preserve">500 invoices, 500 payments, 200 credit notes, 100 clients. Extend the formulas down (or start a new yearly file) before you reach the end.</t>
  </si>
  <si>
    <t xml:space="preserve">COLOUR LEGEND</t>
  </si>
  <si>
    <t xml:space="preserve">Blue text</t>
  </si>
  <si>
    <t xml:space="preserve">Cell you type into.</t>
  </si>
  <si>
    <t xml:space="preserve">Black text on grey</t>
  </si>
  <si>
    <t xml:space="preserve">Formula. Do not overwrite.</t>
  </si>
  <si>
    <t xml:space="preserve">Yellow fill</t>
  </si>
  <si>
    <t xml:space="preserve">Key assumption or value you may override (reporting year, default payment terms, invoice terms).</t>
  </si>
  <si>
    <t xml:space="preserve">ASSUMPTIONS</t>
  </si>
  <si>
    <t xml:space="preserve">Default terms (30 days)</t>
  </si>
  <si>
    <t xml:space="preserve">Dashboard cell B6. An assumption for you to confirm. Management sets the real standard in handbook/policies/billing-policy.md.</t>
  </si>
  <si>
    <t xml:space="preserve">Example rows</t>
  </si>
  <si>
    <t xml:space="preserve">Row 6 on Invoices, Payments, Credit Notes and Clients is an example (Northwind Bank). The 10% tax rate is an illustration only. Overwrite the examples with real entries.</t>
  </si>
  <si>
    <t xml:space="preserve">Knotica Solutions Inc: Billing Dashboard</t>
  </si>
  <si>
    <t xml:space="preserve">Everything on this sheet is calculated from the Invoices, Payments, Credit Notes and Clients sheets. Single currency assumed (no conversion).</t>
  </si>
  <si>
    <t xml:space="preserve">Settings and next IDs</t>
  </si>
  <si>
    <t xml:space="preserve">Reporting year (overwrite with a number to change)</t>
  </si>
  <si>
    <t xml:space="preserve">Default payment terms in days (used when a client has none)</t>
  </si>
  <si>
    <t xml:space="preserve">Assumption: edit to your standard terms</t>
  </si>
  <si>
    <t xml:space="preserve">Next Invoice ID (copy into the Invoices sheet)</t>
  </si>
  <si>
    <t xml:space="preserve">Next Payment ID (copy into the Payments sheet)</t>
  </si>
  <si>
    <t xml:space="preserve">Next Credit Note ID (copy into the Credit Notes sheet)</t>
  </si>
  <si>
    <t xml:space="preserve">Integrity checks (all should be 0)</t>
  </si>
  <si>
    <t xml:space="preserve">Duplicate invoice IDs</t>
  </si>
  <si>
    <t xml:space="preserve">Duplicate payment IDs</t>
  </si>
  <si>
    <t xml:space="preserve">Duplicate credit note IDs</t>
  </si>
  <si>
    <t xml:space="preserve">Invoices with an unknown client code</t>
  </si>
  <si>
    <t xml:space="preserve">Payments pointing to a missing invoice</t>
  </si>
  <si>
    <t xml:space="preserve">Credit notes pointing to a missing invoice</t>
  </si>
  <si>
    <t xml:space="preserve">Payments recorded against Draft or Void invoices</t>
  </si>
  <si>
    <t xml:space="preserve">Overpaid invoices (balance below zero)</t>
  </si>
  <si>
    <t xml:space="preserve">Issued invoices missing issue date or subtotal</t>
  </si>
  <si>
    <t xml:space="preserve">Receivables (all years; Issued and Disputed invoices only)</t>
  </si>
  <si>
    <t xml:space="preserve">Open invoices (balance above zero)</t>
  </si>
  <si>
    <t xml:space="preserve">Outstanding receivables (positive balances)</t>
  </si>
  <si>
    <t xml:space="preserve">Overdue invoices</t>
  </si>
  <si>
    <t xml:space="preserve">Overdue amount</t>
  </si>
  <si>
    <t xml:space="preserve">Disputed amount outstanding</t>
  </si>
  <si>
    <t xml:space="preserve">Overdue share of receivables</t>
  </si>
  <si>
    <t xml:space="preserve">Overpayments held as client credit</t>
  </si>
  <si>
    <t xml:space="preserve">Apply to next invoice or refund</t>
  </si>
  <si>
    <t xml:space="preserve">Key figures for the reporting year</t>
  </si>
  <si>
    <t xml:space="preserve">Invoices issued</t>
  </si>
  <si>
    <t xml:space="preserve">Total invoiced (incl. tax)</t>
  </si>
  <si>
    <t xml:space="preserve">Cash received in the year</t>
  </si>
  <si>
    <t xml:space="preserve">By date received</t>
  </si>
  <si>
    <t xml:space="preserve">Tax withheld by clients recorded in the year</t>
  </si>
  <si>
    <t xml:space="preserve">Credit notes issued in the year</t>
  </si>
  <si>
    <t xml:space="preserve">Collected on this year's invoices</t>
  </si>
  <si>
    <t xml:space="preserve">Payments applied, incl. withheld tax</t>
  </si>
  <si>
    <t xml:space="preserve">Collection rate on this year's invoices</t>
  </si>
  <si>
    <t xml:space="preserve">Receivables ageing</t>
  </si>
  <si>
    <t xml:space="preserve">Ageing bucket</t>
  </si>
  <si>
    <t xml:space="preserve">Invoices</t>
  </si>
  <si>
    <t xml:space="preserve">Balance due</t>
  </si>
  <si>
    <t xml:space="preserve">Not yet due</t>
  </si>
  <si>
    <t xml:space="preserve">1 to 30 days</t>
  </si>
  <si>
    <t xml:space="preserve">31 to 60 days</t>
  </si>
  <si>
    <t xml:space="preserve">61 to 90 days</t>
  </si>
  <si>
    <t xml:space="preserve">Over 90 days</t>
  </si>
  <si>
    <t xml:space="preserve">Total</t>
  </si>
  <si>
    <t xml:space="preserve">Invoices by payment status (all years)</t>
  </si>
  <si>
    <t xml:space="preserve">Payment status</t>
  </si>
  <si>
    <t xml:space="preserve">Invoice total</t>
  </si>
  <si>
    <t xml:space="preserve">Draft</t>
  </si>
  <si>
    <t xml:space="preserve">Outstanding</t>
  </si>
  <si>
    <t xml:space="preserve">Part-paid</t>
  </si>
  <si>
    <t xml:space="preserve">Overdue</t>
  </si>
  <si>
    <t xml:space="preserve">Part-paid, overdue</t>
  </si>
  <si>
    <t xml:space="preserve">Disputed</t>
  </si>
  <si>
    <t xml:space="preserve">Paid</t>
  </si>
  <si>
    <t xml:space="preserve">Overpaid</t>
  </si>
  <si>
    <t xml:space="preserve">Void</t>
  </si>
  <si>
    <t xml:space="preserve">Draft and Void invoices never count as receivables. Balance due for Draft shows the full draft total.</t>
  </si>
  <si>
    <t xml:space="preserve">Knotica Solutions Inc: Invoice Register</t>
  </si>
  <si>
    <t xml:space="preserve">One row per invoice. IDs follow INV-YYYY-###. Never delete rows: set Workflow Status to Void.</t>
  </si>
  <si>
    <t xml:space="preserve">Blue = type here   |   Black on grey = formula (do not edit)   |   Yellow = may be overridden</t>
  </si>
  <si>
    <t xml:space="preserve">Invoice ID</t>
  </si>
  <si>
    <t xml:space="preserve">Client Code</t>
  </si>
  <si>
    <t xml:space="preserve">Client Name</t>
  </si>
  <si>
    <t xml:space="preserve">Project / Contract Ref</t>
  </si>
  <si>
    <t xml:space="preserve">Related Quotation / CR</t>
  </si>
  <si>
    <t xml:space="preserve">Client PO / Ref</t>
  </si>
  <si>
    <t xml:space="preserve">Billing Type</t>
  </si>
  <si>
    <t xml:space="preserve">Description</t>
  </si>
  <si>
    <t xml:space="preserve">Issue Date</t>
  </si>
  <si>
    <t xml:space="preserve">Terms (days)</t>
  </si>
  <si>
    <t xml:space="preserve">Due Date</t>
  </si>
  <si>
    <t xml:space="preserve">Currency</t>
  </si>
  <si>
    <t xml:space="preserve">Subtotal</t>
  </si>
  <si>
    <t xml:space="preserve">Tax Rate</t>
  </si>
  <si>
    <t xml:space="preserve">Tax Amount</t>
  </si>
  <si>
    <t xml:space="preserve">Invoice Total</t>
  </si>
  <si>
    <t xml:space="preserve">Credits Applied</t>
  </si>
  <si>
    <t xml:space="preserve">Payments Applied</t>
  </si>
  <si>
    <t xml:space="preserve">Workflow Status</t>
  </si>
  <si>
    <t xml:space="preserve">Payment Status</t>
  </si>
  <si>
    <t xml:space="preserve">Days Overdue</t>
  </si>
  <si>
    <t xml:space="preserve">Ageing Bucket</t>
  </si>
  <si>
    <t xml:space="preserve">Approved By</t>
  </si>
  <si>
    <t xml:space="preserve">Date Sent</t>
  </si>
  <si>
    <t xml:space="preserve">Repo Path / Link</t>
  </si>
  <si>
    <t xml:space="preserve">Notes</t>
  </si>
  <si>
    <t xml:space="preserve">INV-2026-001</t>
  </si>
  <si>
    <t xml:space="preserve">NWB</t>
  </si>
  <si>
    <t xml:space="preserve">cl-nwb-core-migration</t>
  </si>
  <si>
    <t xml:space="preserve">QUO-2026-001</t>
  </si>
  <si>
    <t xml:space="preserve">PO-4500123</t>
  </si>
  <si>
    <t xml:space="preserve">Deposit / advance</t>
  </si>
  <si>
    <t xml:space="preserve">Deposit: 50% of core migration assessment</t>
  </si>
  <si>
    <t xml:space="preserve">USD</t>
  </si>
  <si>
    <t xml:space="preserve">Issued</t>
  </si>
  <si>
    <t xml:space="preserve">Jane Doe</t>
  </si>
  <si>
    <t xml:space="preserve">billing/invoices/2026/INV-2026-001-nwb-deposit.md</t>
  </si>
  <si>
    <t xml:space="preserve">EXAMPLE ROW: overwrite with your first real entry. Tax rate is an example value only.</t>
  </si>
  <si>
    <t xml:space="preserve">Knotica Solutions Inc: Payment Register</t>
  </si>
  <si>
    <t xml:space="preserve">One row per payment received. IDs follow RCT-YYYY-###. Never delete rows. Never record bank account or card numbers.</t>
  </si>
  <si>
    <t xml:space="preserve">Payment ID</t>
  </si>
  <si>
    <t xml:space="preserve">Date Received</t>
  </si>
  <si>
    <t xml:space="preserve">Amount Received</t>
  </si>
  <si>
    <t xml:space="preserve">Tax Withheld by Client</t>
  </si>
  <si>
    <t xml:space="preserve">Bank Charges / Short Payment Absorbed</t>
  </si>
  <si>
    <t xml:space="preserve">Amount Applied to Invoice</t>
  </si>
  <si>
    <t xml:space="preserve">Method</t>
  </si>
  <si>
    <t xml:space="preserve">Bank / Remittance Reference</t>
  </si>
  <si>
    <t xml:space="preserve">Withholding Certificate</t>
  </si>
  <si>
    <t xml:space="preserve">Recorded By</t>
  </si>
  <si>
    <t xml:space="preserve">RCT-2026-001</t>
  </si>
  <si>
    <t xml:space="preserve">Bank transfer</t>
  </si>
  <si>
    <t xml:space="preserve">REMIT-88231</t>
  </si>
  <si>
    <t xml:space="preserve">Not applicable</t>
  </si>
  <si>
    <t xml:space="preserve">billing/payments/2026/RCT-2026-001-nwb-deposit.md</t>
  </si>
  <si>
    <t xml:space="preserve">EXAMPLE ROW: overwrite with your first real entry. Part payment: balance stays open.</t>
  </si>
  <si>
    <t xml:space="preserve">Knotica Solutions Inc: Credit Note Register</t>
  </si>
  <si>
    <t xml:space="preserve">One row per credit note. IDs follow CN-YYYY-###. A credit note reduces an invoice balance only when its Status is Issued.</t>
  </si>
  <si>
    <t xml:space="preserve">Credit Note ID</t>
  </si>
  <si>
    <t xml:space="preserve">Related Invoice ID</t>
  </si>
  <si>
    <t xml:space="preserve">Date Issued</t>
  </si>
  <si>
    <t xml:space="preserve">Credit Amount (incl. tax)</t>
  </si>
  <si>
    <t xml:space="preserve">Reason</t>
  </si>
  <si>
    <t xml:space="preserve">Status</t>
  </si>
  <si>
    <t xml:space="preserve">CN-2026-001</t>
  </si>
  <si>
    <t xml:space="preserve">Service credit (SLA)</t>
  </si>
  <si>
    <t xml:space="preserve">billing/credit-notes/2026/CN-2026-001-nwb-service-credit.md</t>
  </si>
  <si>
    <t xml:space="preserve">EXAMPLE ROW: overwrite with your first real entry. Status Draft, so it does not reduce the balance yet.</t>
  </si>
  <si>
    <t xml:space="preserve">Knotica Solutions Inc: Client Billing Profiles</t>
  </si>
  <si>
    <t xml:space="preserve">One row per client. Client codes match the Document Register in the sales repo (3 to 5 capital letters, never reused). No bank or card details here.</t>
  </si>
  <si>
    <t xml:space="preserve">Billing Contact (name / role)</t>
  </si>
  <si>
    <t xml:space="preserve">Billing Channel</t>
  </si>
  <si>
    <t xml:space="preserve">Payment Terms (days)</t>
  </si>
  <si>
    <t xml:space="preserve">Default Currency</t>
  </si>
  <si>
    <t xml:space="preserve">PO Required?</t>
  </si>
  <si>
    <t xml:space="preserve">Billing Status</t>
  </si>
  <si>
    <t xml:space="preserve">Tax / Withholding Notes</t>
  </si>
  <si>
    <t xml:space="preserve">Invoices Issued</t>
  </si>
  <si>
    <t xml:space="preserve">Net Balance Due</t>
  </si>
  <si>
    <t xml:space="preserve">Overdue Amount</t>
  </si>
  <si>
    <t xml:space="preserve">Northwind Bank</t>
  </si>
  <si>
    <t xml:space="preserve">Accounts Payable Manager</t>
  </si>
  <si>
    <t xml:space="preserve">Email</t>
  </si>
  <si>
    <t xml:space="preserve">Yes</t>
  </si>
  <si>
    <t xml:space="preserve">Good standing</t>
  </si>
  <si>
    <t xml:space="preserve">Client withholds tax at source: request the certificate with each remittance.</t>
  </si>
  <si>
    <t xml:space="preserve">EXAMPLE ROW: overwrite with your first real client</t>
  </si>
  <si>
    <t xml:space="preserve">Payment Method</t>
  </si>
  <si>
    <t xml:space="preserve">Credit Note Reason</t>
  </si>
  <si>
    <t xml:space="preserve">Credit Note Status</t>
  </si>
  <si>
    <t xml:space="preserve">Client Billing Status</t>
  </si>
  <si>
    <t xml:space="preserve">Yes / No</t>
  </si>
  <si>
    <t xml:space="preserve">Edit the lists to change dropdown options. Keep the first row as the header. Do not rename Workflow Status or Credit Note Status values: formulas depend on Draft, Issued, Disputed and Void.</t>
  </si>
  <si>
    <t xml:space="preserve">Milestone</t>
  </si>
  <si>
    <t xml:space="preserve">PHP</t>
  </si>
  <si>
    <t xml:space="preserve">Billing error</t>
  </si>
  <si>
    <t xml:space="preserve">Time and materials</t>
  </si>
  <si>
    <t xml:space="preserve">Online payment</t>
  </si>
  <si>
    <t xml:space="preserve">Scope reduction</t>
  </si>
  <si>
    <t xml:space="preserve">Approved</t>
  </si>
  <si>
    <t xml:space="preserve">Watch</t>
  </si>
  <si>
    <t xml:space="preserve">No</t>
  </si>
  <si>
    <t xml:space="preserve">Fixed monthly / retainer</t>
  </si>
  <si>
    <t xml:space="preserve">EUR</t>
  </si>
  <si>
    <t xml:space="preserve">Cheque</t>
  </si>
  <si>
    <t xml:space="preserve">No, requested</t>
  </si>
  <si>
    <t xml:space="preserve">On hold</t>
  </si>
  <si>
    <t xml:space="preserve">SGD</t>
  </si>
  <si>
    <t xml:space="preserve">Cash</t>
  </si>
  <si>
    <t xml:space="preserve">Goodwill</t>
  </si>
  <si>
    <t xml:space="preserve">Closed</t>
  </si>
  <si>
    <t xml:space="preserve">Support plan</t>
  </si>
  <si>
    <t xml:space="preserve">AUD</t>
  </si>
  <si>
    <t xml:space="preserve">Other</t>
  </si>
  <si>
    <t xml:space="preserve">Cancelled service</t>
  </si>
  <si>
    <t xml:space="preserve">Expense recharge</t>
  </si>
  <si>
    <t xml:space="preserve">GBP</t>
  </si>
  <si>
    <t xml:space="preserve">Change request</t>
  </si>
</sst>
</file>

<file path=xl/styles.xml><?xml version="1.0" encoding="utf-8"?>
<styleSheet xmlns="http://schemas.openxmlformats.org/spreadsheetml/2006/main">
  <numFmts count="5">
    <numFmt numFmtId="164" formatCode="General"/>
    <numFmt numFmtId="165" formatCode="0"/>
    <numFmt numFmtId="166" formatCode="#,##0.00;\(#,##0.00\);\-"/>
    <numFmt numFmtId="167" formatCode="0.0%"/>
    <numFmt numFmtId="168" formatCode="yyyy\-mm\-dd"/>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sz val="10"/>
      <color rgb="FF595959"/>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b val="true"/>
      <sz val="10"/>
      <color rgb="FFFFFFFF"/>
      <name val="Arial"/>
      <family val="0"/>
      <charset val="1"/>
    </font>
  </fonts>
  <fills count="6">
    <fill>
      <patternFill patternType="none"/>
    </fill>
    <fill>
      <patternFill patternType="gray125"/>
    </fill>
    <fill>
      <patternFill patternType="solid">
        <fgColor rgb="FFD9E1F2"/>
        <bgColor rgb="FFE7E6E6"/>
      </patternFill>
    </fill>
    <fill>
      <patternFill patternType="solid">
        <fgColor rgb="FFFFFF00"/>
        <bgColor rgb="FFFFFF00"/>
      </patternFill>
    </fill>
    <fill>
      <patternFill patternType="solid">
        <fgColor rgb="FF1F3864"/>
        <bgColor rgb="FF333333"/>
      </patternFill>
    </fill>
    <fill>
      <patternFill patternType="solid">
        <fgColor rgb="FFF2F2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9C0006"/>
      </font>
      <fill>
        <patternFill>
          <bgColor rgb="FFFFC7CE"/>
        </patternFill>
      </fill>
    </dxf>
    <dxf>
      <fill>
        <patternFill>
          <bgColor rgb="FFC6EFCE"/>
        </patternFill>
      </fill>
    </dxf>
    <dxf>
      <font>
        <color rgb="FF9C0006"/>
      </font>
    </dxf>
    <dxf>
      <font>
        <color rgb="FF9C5700"/>
      </font>
      <fill>
        <patternFill>
          <bgColor rgb="FFFFEB9C"/>
        </patternFill>
      </fill>
    </dxf>
    <dxf>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E7E6E6"/>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3" customFormat="false" ht="35.05" hidden="false" customHeight="false" outlineLevel="0" collapsed="false">
      <c r="A3" s="2" t="s">
        <v>1</v>
      </c>
      <c r="B3" s="3" t="s">
        <v>2</v>
      </c>
    </row>
    <row r="4" customFormat="false" ht="23.85" hidden="false" customHeight="false" outlineLevel="0" collapsed="false">
      <c r="A4" s="2" t="s">
        <v>3</v>
      </c>
      <c r="B4" s="3" t="s">
        <v>4</v>
      </c>
    </row>
    <row r="6" customFormat="false" ht="15" hidden="false" customHeight="false" outlineLevel="0" collapsed="false">
      <c r="A6" s="4" t="s">
        <v>5</v>
      </c>
      <c r="B6" s="5"/>
    </row>
    <row r="7" customFormat="false" ht="15" hidden="false" customHeight="false" outlineLevel="0" collapsed="false">
      <c r="A7" s="2" t="s">
        <v>6</v>
      </c>
      <c r="B7" s="3" t="s">
        <v>7</v>
      </c>
    </row>
    <row r="8" customFormat="false" ht="23.85" hidden="false" customHeight="false" outlineLevel="0" collapsed="false">
      <c r="A8" s="2" t="s">
        <v>8</v>
      </c>
      <c r="B8" s="3" t="s">
        <v>9</v>
      </c>
    </row>
    <row r="9" customFormat="false" ht="35.05" hidden="false" customHeight="false" outlineLevel="0" collapsed="false">
      <c r="A9" s="2" t="s">
        <v>10</v>
      </c>
      <c r="B9" s="3" t="s">
        <v>11</v>
      </c>
    </row>
    <row r="10" customFormat="false" ht="15" hidden="false" customHeight="false" outlineLevel="0" collapsed="false">
      <c r="A10" s="2" t="s">
        <v>12</v>
      </c>
      <c r="B10" s="3" t="s">
        <v>13</v>
      </c>
    </row>
    <row r="11" customFormat="false" ht="15" hidden="false" customHeight="false" outlineLevel="0" collapsed="false">
      <c r="A11" s="2" t="s">
        <v>14</v>
      </c>
      <c r="B11" s="3" t="s">
        <v>15</v>
      </c>
    </row>
    <row r="12" customFormat="false" ht="15" hidden="false" customHeight="false" outlineLevel="0" collapsed="false">
      <c r="A12" s="4" t="s">
        <v>16</v>
      </c>
      <c r="B12" s="5"/>
    </row>
    <row r="13" customFormat="false" ht="15" hidden="false" customHeight="false" outlineLevel="0" collapsed="false">
      <c r="A13" s="2" t="s">
        <v>6</v>
      </c>
      <c r="B13" s="3" t="s">
        <v>17</v>
      </c>
    </row>
    <row r="14" customFormat="false" ht="23.85" hidden="false" customHeight="false" outlineLevel="0" collapsed="false">
      <c r="A14" s="2" t="s">
        <v>8</v>
      </c>
      <c r="B14" s="3" t="s">
        <v>18</v>
      </c>
    </row>
    <row r="15" customFormat="false" ht="15" hidden="false" customHeight="false" outlineLevel="0" collapsed="false">
      <c r="A15" s="2" t="s">
        <v>10</v>
      </c>
      <c r="B15" s="3" t="s">
        <v>19</v>
      </c>
    </row>
    <row r="16" customFormat="false" ht="15" hidden="false" customHeight="false" outlineLevel="0" collapsed="false">
      <c r="A16" s="2" t="s">
        <v>12</v>
      </c>
      <c r="B16" s="3" t="s">
        <v>20</v>
      </c>
    </row>
    <row r="17" customFormat="false" ht="15" hidden="false" customHeight="false" outlineLevel="0" collapsed="false">
      <c r="A17" s="4" t="s">
        <v>21</v>
      </c>
      <c r="B17" s="5"/>
    </row>
    <row r="18" customFormat="false" ht="15" hidden="false" customHeight="false" outlineLevel="0" collapsed="false">
      <c r="A18" s="2" t="s">
        <v>6</v>
      </c>
      <c r="B18" s="3" t="s">
        <v>22</v>
      </c>
    </row>
    <row r="19" customFormat="false" ht="15" hidden="false" customHeight="false" outlineLevel="0" collapsed="false">
      <c r="A19" s="2" t="s">
        <v>8</v>
      </c>
      <c r="B19" s="3" t="s">
        <v>23</v>
      </c>
    </row>
    <row r="20" customFormat="false" ht="23.85" hidden="false" customHeight="false" outlineLevel="0" collapsed="false">
      <c r="A20" s="4" t="s">
        <v>24</v>
      </c>
      <c r="B20" s="5"/>
    </row>
    <row r="21" customFormat="false" ht="15" hidden="false" customHeight="false" outlineLevel="0" collapsed="false">
      <c r="A21" s="2" t="s">
        <v>25</v>
      </c>
      <c r="B21" s="3" t="s">
        <v>26</v>
      </c>
    </row>
    <row r="22" customFormat="false" ht="15" hidden="false" customHeight="false" outlineLevel="0" collapsed="false">
      <c r="A22" s="2" t="s">
        <v>27</v>
      </c>
      <c r="B22" s="3" t="s">
        <v>28</v>
      </c>
    </row>
    <row r="23" customFormat="false" ht="23.85" hidden="false" customHeight="false" outlineLevel="0" collapsed="false">
      <c r="A23" s="2" t="s">
        <v>29</v>
      </c>
      <c r="B23" s="3" t="s">
        <v>30</v>
      </c>
    </row>
    <row r="24" customFormat="false" ht="23.85" hidden="false" customHeight="false" outlineLevel="0" collapsed="false">
      <c r="A24" s="2" t="s">
        <v>31</v>
      </c>
      <c r="B24" s="3" t="s">
        <v>32</v>
      </c>
    </row>
    <row r="26" customFormat="false" ht="15" hidden="false" customHeight="false" outlineLevel="0" collapsed="false">
      <c r="A26" s="4" t="s">
        <v>33</v>
      </c>
      <c r="B26" s="5"/>
    </row>
    <row r="27" customFormat="false" ht="23.85" hidden="false" customHeight="false" outlineLevel="0" collapsed="false">
      <c r="A27" s="2" t="s">
        <v>34</v>
      </c>
      <c r="B27" s="3" t="s">
        <v>35</v>
      </c>
    </row>
    <row r="28" customFormat="false" ht="15" hidden="false" customHeight="false" outlineLevel="0" collapsed="false">
      <c r="A28" s="2" t="s">
        <v>36</v>
      </c>
      <c r="B28" s="3" t="s">
        <v>37</v>
      </c>
    </row>
    <row r="29" customFormat="false" ht="15" hidden="false" customHeight="false" outlineLevel="0" collapsed="false">
      <c r="A29" s="2" t="s">
        <v>38</v>
      </c>
      <c r="B29" s="3" t="s">
        <v>39</v>
      </c>
    </row>
    <row r="30" customFormat="false" ht="23.85" hidden="false" customHeight="false" outlineLevel="0" collapsed="false">
      <c r="A30" s="2" t="s">
        <v>40</v>
      </c>
      <c r="B30" s="3" t="s">
        <v>41</v>
      </c>
    </row>
    <row r="31" customFormat="false" ht="15" hidden="false" customHeight="false" outlineLevel="0" collapsed="false">
      <c r="A31" s="2" t="s">
        <v>42</v>
      </c>
      <c r="B31" s="3" t="s">
        <v>43</v>
      </c>
    </row>
    <row r="32" customFormat="false" ht="15" hidden="false" customHeight="false" outlineLevel="0" collapsed="false">
      <c r="A32" s="2" t="s">
        <v>44</v>
      </c>
      <c r="B32" s="3" t="s">
        <v>45</v>
      </c>
    </row>
    <row r="33" customFormat="false" ht="23.85" hidden="false" customHeight="false" outlineLevel="0" collapsed="false">
      <c r="A33" s="2" t="s">
        <v>46</v>
      </c>
      <c r="B33" s="3" t="s">
        <v>47</v>
      </c>
    </row>
    <row r="35" customFormat="false" ht="15" hidden="false" customHeight="false" outlineLevel="0" collapsed="false">
      <c r="A35" s="4" t="s">
        <v>48</v>
      </c>
      <c r="B35" s="5"/>
    </row>
    <row r="36" customFormat="false" ht="15" hidden="false" customHeight="false" outlineLevel="0" collapsed="false">
      <c r="A36" s="2" t="s">
        <v>49</v>
      </c>
      <c r="B36" s="3" t="s">
        <v>50</v>
      </c>
    </row>
    <row r="37" customFormat="false" ht="15" hidden="false" customHeight="false" outlineLevel="0" collapsed="false">
      <c r="A37" s="2" t="s">
        <v>51</v>
      </c>
      <c r="B37" s="3" t="s">
        <v>52</v>
      </c>
    </row>
    <row r="38" customFormat="false" ht="15" hidden="false" customHeight="false" outlineLevel="0" collapsed="false">
      <c r="A38" s="2" t="s">
        <v>53</v>
      </c>
      <c r="B38" s="3" t="s">
        <v>54</v>
      </c>
    </row>
    <row r="40" customFormat="false" ht="15" hidden="false" customHeight="false" outlineLevel="0" collapsed="false">
      <c r="A40" s="4" t="s">
        <v>55</v>
      </c>
      <c r="B40" s="5"/>
    </row>
    <row r="41" customFormat="false" ht="23.85" hidden="false" customHeight="false" outlineLevel="0" collapsed="false">
      <c r="A41" s="2" t="s">
        <v>56</v>
      </c>
      <c r="B41" s="3" t="s">
        <v>57</v>
      </c>
    </row>
    <row r="42" customFormat="false" ht="23.85" hidden="false" customHeight="false" outlineLevel="0" collapsed="false">
      <c r="A42" s="2" t="s">
        <v>58</v>
      </c>
      <c r="B42" s="3"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2"/>
    <col collapsed="false" customWidth="true" hidden="false" outlineLevel="0" max="4" min="3" style="0" width="18"/>
    <col collapsed="false" customWidth="true" hidden="false" outlineLevel="0" max="5" min="5" style="0" width="12"/>
    <col collapsed="false" customWidth="true" hidden="false" outlineLevel="0" max="6" min="6" style="0" width="14"/>
  </cols>
  <sheetData>
    <row r="1" customFormat="false" ht="17.35" hidden="false" customHeight="false" outlineLevel="0" collapsed="false">
      <c r="A1" s="1" t="s">
        <v>60</v>
      </c>
    </row>
    <row r="2" customFormat="false" ht="15" hidden="false" customHeight="false" outlineLevel="0" collapsed="false">
      <c r="A2" s="6" t="s">
        <v>61</v>
      </c>
    </row>
    <row r="4" customFormat="false" ht="15" hidden="false" customHeight="false" outlineLevel="0" collapsed="false">
      <c r="A4" s="7" t="s">
        <v>62</v>
      </c>
      <c r="B4" s="8"/>
      <c r="C4" s="8"/>
      <c r="D4" s="8"/>
      <c r="E4" s="8"/>
      <c r="F4" s="8"/>
    </row>
    <row r="5" customFormat="false" ht="15" hidden="false" customHeight="false" outlineLevel="0" collapsed="false">
      <c r="A5" s="9" t="s">
        <v>63</v>
      </c>
      <c r="B5" s="10" t="n">
        <f aca="true">YEAR(TODAY())</f>
        <v>2026</v>
      </c>
    </row>
    <row r="6" customFormat="false" ht="15" hidden="false" customHeight="false" outlineLevel="0" collapsed="false">
      <c r="A6" s="9" t="s">
        <v>64</v>
      </c>
      <c r="B6" s="11" t="n">
        <v>30</v>
      </c>
      <c r="C6" s="6" t="s">
        <v>65</v>
      </c>
    </row>
    <row r="7" customFormat="false" ht="15" hidden="false" customHeight="false" outlineLevel="0" collapsed="false">
      <c r="A7" s="9" t="s">
        <v>66</v>
      </c>
      <c r="B7" s="12" t="str">
        <f aca="false">"INV-"&amp;$B$5&amp;"-"&amp;TEXT(COUNTIF(Invoices!$A$6:$A$505,"INV-"&amp;$B$5&amp;"-*")+1,"000")</f>
        <v>INV-2026-002</v>
      </c>
    </row>
    <row r="8" customFormat="false" ht="15" hidden="false" customHeight="false" outlineLevel="0" collapsed="false">
      <c r="A8" s="9" t="s">
        <v>67</v>
      </c>
      <c r="B8" s="12" t="str">
        <f aca="false">"RCT-"&amp;$B$5&amp;"-"&amp;TEXT(COUNTIF(Payments!$A$6:$A$505,"RCT-"&amp;$B$5&amp;"-*")+1,"000")</f>
        <v>RCT-2026-002</v>
      </c>
    </row>
    <row r="9" customFormat="false" ht="15" hidden="false" customHeight="false" outlineLevel="0" collapsed="false">
      <c r="A9" s="9" t="s">
        <v>68</v>
      </c>
      <c r="B9" s="12" t="str">
        <f aca="false">"CN-"&amp;$B$5&amp;"-"&amp;TEXT(COUNTIF('Credit Notes'!$A$6:$A$205,"CN-"&amp;$B$5&amp;"-*")+1,"000")</f>
        <v>CN-2026-002</v>
      </c>
    </row>
    <row r="11" customFormat="false" ht="15" hidden="false" customHeight="false" outlineLevel="0" collapsed="false">
      <c r="A11" s="7" t="s">
        <v>69</v>
      </c>
      <c r="B11" s="8"/>
      <c r="C11" s="8"/>
      <c r="D11" s="8"/>
      <c r="E11" s="8"/>
      <c r="F11" s="8"/>
    </row>
    <row r="12" customFormat="false" ht="15" hidden="false" customHeight="false" outlineLevel="0" collapsed="false">
      <c r="A12" s="9" t="s">
        <v>70</v>
      </c>
      <c r="B12" s="13" t="n">
        <f aca="false">SUMPRODUCT((Invoices!$A$6:$A$505&lt;&gt;"")*(COUNTIF(Invoices!$A$6:$A$505,Invoices!$A$6:$A$505)&gt;1))</f>
        <v>0</v>
      </c>
      <c r="C12" s="14" t="str">
        <f aca="false">IF($B12=0,"OK","CHECK")</f>
        <v>OK</v>
      </c>
    </row>
    <row r="13" customFormat="false" ht="15" hidden="false" customHeight="false" outlineLevel="0" collapsed="false">
      <c r="A13" s="9" t="s">
        <v>71</v>
      </c>
      <c r="B13" s="13" t="n">
        <f aca="false">SUMPRODUCT((Payments!$A$6:$A$505&lt;&gt;"")*(COUNTIF(Payments!$A$6:$A$505,Payments!$A$6:$A$505)&gt;1))</f>
        <v>0</v>
      </c>
      <c r="C13" s="14" t="str">
        <f aca="false">IF($B13=0,"OK","CHECK")</f>
        <v>OK</v>
      </c>
    </row>
    <row r="14" customFormat="false" ht="15" hidden="false" customHeight="false" outlineLevel="0" collapsed="false">
      <c r="A14" s="9" t="s">
        <v>72</v>
      </c>
      <c r="B14" s="13" t="n">
        <f aca="false">SUMPRODUCT(('Credit Notes'!$A$6:$A$205&lt;&gt;"")*(COUNTIF('Credit Notes'!$A$6:$A$205,'Credit Notes'!$A$6:$A$205)&gt;1))</f>
        <v>0</v>
      </c>
      <c r="C14" s="14" t="str">
        <f aca="false">IF($B14=0,"OK","CHECK")</f>
        <v>OK</v>
      </c>
    </row>
    <row r="15" customFormat="false" ht="15" hidden="false" customHeight="false" outlineLevel="0" collapsed="false">
      <c r="A15" s="9" t="s">
        <v>73</v>
      </c>
      <c r="B15" s="13" t="n">
        <f aca="false">SUMPRODUCT((Invoices!$B$6:$B$505&lt;&gt;"")*(COUNTIF(Clients!$A$6:$A$105,Invoices!$B$6:$B$505)=0))</f>
        <v>0</v>
      </c>
      <c r="C15" s="14" t="str">
        <f aca="false">IF($B15=0,"OK","CHECK")</f>
        <v>OK</v>
      </c>
    </row>
    <row r="16" customFormat="false" ht="15" hidden="false" customHeight="false" outlineLevel="0" collapsed="false">
      <c r="A16" s="9" t="s">
        <v>74</v>
      </c>
      <c r="B16" s="13" t="n">
        <f aca="false">SUMPRODUCT((Payments!$C$6:$C$505&lt;&gt;"")*(COUNTIF(Invoices!$A$6:$A$505,Payments!$C$6:$C$505)=0))</f>
        <v>0</v>
      </c>
      <c r="C16" s="14" t="str">
        <f aca="false">IF($B16=0,"OK","CHECK")</f>
        <v>OK</v>
      </c>
    </row>
    <row r="17" customFormat="false" ht="15" hidden="false" customHeight="false" outlineLevel="0" collapsed="false">
      <c r="A17" s="9" t="s">
        <v>75</v>
      </c>
      <c r="B17" s="13" t="n">
        <f aca="false">SUMPRODUCT(('Credit Notes'!$B$6:$B$205&lt;&gt;"")*(COUNTIF(Invoices!$A$6:$A$505,'Credit Notes'!$B$6:$B$205)=0))</f>
        <v>0</v>
      </c>
      <c r="C17" s="14" t="str">
        <f aca="false">IF($B17=0,"OK","CHECK")</f>
        <v>OK</v>
      </c>
    </row>
    <row r="18" customFormat="false" ht="15" hidden="false" customHeight="false" outlineLevel="0" collapsed="false">
      <c r="A18" s="9" t="s">
        <v>76</v>
      </c>
      <c r="B18" s="13" t="n">
        <f aca="false">SUMPRODUCT((Payments!$C$6:$C$505&lt;&gt;"")*((COUNTIFS(Invoices!$A$6:$A$505,Payments!$C$6:$C$505,Invoices!$T$6:$T$505,"Draft")+COUNTIFS(Invoices!$A$6:$A$505,Payments!$C$6:$C$505,Invoices!$T$6:$T$505,"Void"))&gt;0))</f>
        <v>0</v>
      </c>
      <c r="C18" s="14" t="str">
        <f aca="false">IF($B18=0,"OK","CHECK")</f>
        <v>OK</v>
      </c>
    </row>
    <row r="19" customFormat="false" ht="15" hidden="false" customHeight="false" outlineLevel="0" collapsed="false">
      <c r="A19" s="9" t="s">
        <v>77</v>
      </c>
      <c r="B19" s="13" t="n">
        <f aca="false">COUNTIF(Invoices!$U$6:$U$505,"Overpaid")</f>
        <v>0</v>
      </c>
      <c r="C19" s="14" t="str">
        <f aca="false">IF($B19=0,"OK","CHECK")</f>
        <v>OK</v>
      </c>
    </row>
    <row r="20" customFormat="false" ht="15" hidden="false" customHeight="false" outlineLevel="0" collapsed="false">
      <c r="A20" s="9" t="s">
        <v>78</v>
      </c>
      <c r="B20" s="13" t="n">
        <f aca="false">SUMPRODUCT(((Invoices!$T$6:$T$505="Issued")+(Invoices!$T$6:$T$505="Disputed"))*(((Invoices!$I$6:$I$505="")+(Invoices!$M$6:$M$505=""))&gt;0))</f>
        <v>0</v>
      </c>
      <c r="C20" s="14" t="str">
        <f aca="false">IF($B20=0,"OK","CHECK")</f>
        <v>OK</v>
      </c>
    </row>
    <row r="22" customFormat="false" ht="15" hidden="false" customHeight="false" outlineLevel="0" collapsed="false">
      <c r="A22" s="7" t="s">
        <v>79</v>
      </c>
      <c r="B22" s="8"/>
      <c r="C22" s="8"/>
      <c r="D22" s="8"/>
      <c r="E22" s="8"/>
      <c r="F22" s="8"/>
    </row>
    <row r="23" customFormat="false" ht="15" hidden="false" customHeight="false" outlineLevel="0" collapsed="false">
      <c r="A23" s="9" t="s">
        <v>80</v>
      </c>
      <c r="B23" s="13" t="n">
        <f aca="false">COUNTIFS(Invoices!$T$6:$T$505,"Issued",Invoices!$S$6:$S$505,"&gt;0.005")+COUNTIFS(Invoices!$T$6:$T$505,"Disputed",Invoices!$S$6:$S$505,"&gt;0.005")</f>
        <v>1</v>
      </c>
    </row>
    <row r="24" customFormat="false" ht="15" hidden="false" customHeight="false" outlineLevel="0" collapsed="false">
      <c r="A24" s="9" t="s">
        <v>81</v>
      </c>
      <c r="B24" s="15" t="n">
        <f aca="false">SUMIFS(Invoices!$S$6:$S$505,Invoices!$T$6:$T$505,"Issued",Invoices!$S$6:$S$505,"&gt;0.005")+SUMIFS(Invoices!$S$6:$S$505,Invoices!$T$6:$T$505,"Disputed",Invoices!$S$6:$S$505,"&gt;0.005")</f>
        <v>6400</v>
      </c>
    </row>
    <row r="25" customFormat="false" ht="15" hidden="false" customHeight="false" outlineLevel="0" collapsed="false">
      <c r="A25" s="9" t="s">
        <v>82</v>
      </c>
      <c r="B25" s="13" t="n">
        <f aca="false">COUNTIF(Invoices!$V$6:$V$505,"&gt;0")</f>
        <v>0</v>
      </c>
    </row>
    <row r="26" customFormat="false" ht="15" hidden="false" customHeight="false" outlineLevel="0" collapsed="false">
      <c r="A26" s="9" t="s">
        <v>83</v>
      </c>
      <c r="B26" s="15" t="n">
        <f aca="false">SUMIFS(Invoices!$S$6:$S$505,Invoices!$V$6:$V$505,"&gt;0")</f>
        <v>0</v>
      </c>
    </row>
    <row r="27" customFormat="false" ht="15" hidden="false" customHeight="false" outlineLevel="0" collapsed="false">
      <c r="A27" s="9" t="s">
        <v>84</v>
      </c>
      <c r="B27" s="16" t="n">
        <f aca="false">SUMIFS(Invoices!$S$6:$S$505,Invoices!$T$6:$T$505,"Disputed")</f>
        <v>0</v>
      </c>
    </row>
    <row r="28" customFormat="false" ht="15" hidden="false" customHeight="false" outlineLevel="0" collapsed="false">
      <c r="A28" s="9" t="s">
        <v>85</v>
      </c>
      <c r="B28" s="17" t="n">
        <f aca="false">IF($B$24&lt;=0,"n/a",$B$26/$B$24)</f>
        <v>0</v>
      </c>
    </row>
    <row r="29" customFormat="false" ht="15" hidden="false" customHeight="false" outlineLevel="0" collapsed="false">
      <c r="A29" s="9" t="s">
        <v>86</v>
      </c>
      <c r="B29" s="16" t="n">
        <f aca="false">-(SUMIFS(Invoices!$S$6:$S$505,Invoices!$T$6:$T$505,"Issued",Invoices!$S$6:$S$505,"&lt;-0.005")+SUMIFS(Invoices!$S$6:$S$505,Invoices!$T$6:$T$505,"Disputed",Invoices!$S$6:$S$505,"&lt;-0.005"))</f>
        <v>-0</v>
      </c>
      <c r="C29" s="6" t="s">
        <v>87</v>
      </c>
    </row>
    <row r="30" customFormat="false" ht="15" hidden="false" customHeight="false" outlineLevel="0" collapsed="false">
      <c r="A30" s="7" t="s">
        <v>88</v>
      </c>
      <c r="B30" s="8"/>
      <c r="C30" s="8"/>
      <c r="D30" s="8"/>
      <c r="E30" s="8"/>
      <c r="F30" s="8"/>
    </row>
    <row r="31" customFormat="false" ht="15" hidden="false" customHeight="false" outlineLevel="0" collapsed="false">
      <c r="A31" s="9" t="s">
        <v>89</v>
      </c>
      <c r="B31" s="13" t="n">
        <f aca="false">COUNTIFS(Invoices!$A$6:$A$505,"INV-"&amp;$B$5&amp;"-*",Invoices!$T$6:$T$505,"Issued")+COUNTIFS(Invoices!$A$6:$A$505,"INV-"&amp;$B$5&amp;"-*",Invoices!$T$6:$T$505,"Disputed")</f>
        <v>1</v>
      </c>
    </row>
    <row r="32" customFormat="false" ht="15" hidden="false" customHeight="false" outlineLevel="0" collapsed="false">
      <c r="A32" s="9" t="s">
        <v>90</v>
      </c>
      <c r="B32" s="16" t="n">
        <f aca="false">SUMIFS(Invoices!$P$6:$P$505,Invoices!$A$6:$A$505,"INV-"&amp;$B$5&amp;"-*",Invoices!$T$6:$T$505,"Issued")+SUMIFS(Invoices!$P$6:$P$505,Invoices!$A$6:$A$505,"INV-"&amp;$B$5&amp;"-*",Invoices!$T$6:$T$505,"Disputed")</f>
        <v>26400</v>
      </c>
    </row>
    <row r="33" customFormat="false" ht="15" hidden="false" customHeight="false" outlineLevel="0" collapsed="false">
      <c r="A33" s="9" t="s">
        <v>91</v>
      </c>
      <c r="B33" s="16" t="n">
        <f aca="false">SUMPRODUCT((Payments!$B$6:$B$505&lt;&gt;"")*(YEAR(Payments!$B$6:$B$505)=$B$5)*Payments!$F$6:$F$505)</f>
        <v>20000</v>
      </c>
      <c r="C33" s="6" t="s">
        <v>92</v>
      </c>
    </row>
    <row r="34" customFormat="false" ht="15" hidden="false" customHeight="false" outlineLevel="0" collapsed="false">
      <c r="A34" s="9" t="s">
        <v>93</v>
      </c>
      <c r="B34" s="16" t="n">
        <f aca="false">SUMPRODUCT((Payments!$B$6:$B$505&lt;&gt;"")*(YEAR(Payments!$B$6:$B$505)=$B$5)*Payments!$G$6:$G$505)</f>
        <v>0</v>
      </c>
    </row>
    <row r="35" customFormat="false" ht="15" hidden="false" customHeight="false" outlineLevel="0" collapsed="false">
      <c r="A35" s="9" t="s">
        <v>94</v>
      </c>
      <c r="B35" s="16" t="n">
        <f aca="false">SUMIFS('Credit Notes'!$F$6:$F$205,'Credit Notes'!$A$6:$A$205,"CN-"&amp;$B$5&amp;"-*",'Credit Notes'!$H$6:$H$205,"Issued")</f>
        <v>0</v>
      </c>
    </row>
    <row r="36" customFormat="false" ht="15" hidden="false" customHeight="false" outlineLevel="0" collapsed="false">
      <c r="A36" s="9" t="s">
        <v>95</v>
      </c>
      <c r="B36" s="16" t="n">
        <f aca="false">SUMIFS(Invoices!$R$6:$R$505,Invoices!$A$6:$A$505,"INV-"&amp;$B$5&amp;"-*",Invoices!$T$6:$T$505,"Issued")+SUMIFS(Invoices!$R$6:$R$505,Invoices!$A$6:$A$505,"INV-"&amp;$B$5&amp;"-*",Invoices!$T$6:$T$505,"Disputed")</f>
        <v>20000</v>
      </c>
      <c r="C36" s="6" t="s">
        <v>96</v>
      </c>
    </row>
    <row r="37" customFormat="false" ht="15" hidden="false" customHeight="false" outlineLevel="0" collapsed="false">
      <c r="A37" s="9" t="s">
        <v>97</v>
      </c>
      <c r="B37" s="17" t="n">
        <f aca="false">IF($B$32=0,"n/a",$B$36/$B$32)</f>
        <v>0.757575757575758</v>
      </c>
    </row>
    <row r="39" customFormat="false" ht="15" hidden="false" customHeight="false" outlineLevel="0" collapsed="false">
      <c r="A39" s="7" t="s">
        <v>98</v>
      </c>
      <c r="B39" s="8"/>
      <c r="C39" s="8"/>
      <c r="D39" s="8"/>
      <c r="E39" s="8"/>
      <c r="F39" s="8"/>
    </row>
    <row r="40" customFormat="false" ht="15" hidden="false" customHeight="false" outlineLevel="0" collapsed="false">
      <c r="A40" s="18" t="s">
        <v>99</v>
      </c>
      <c r="B40" s="18" t="s">
        <v>100</v>
      </c>
      <c r="C40" s="18" t="s">
        <v>101</v>
      </c>
    </row>
    <row r="41" customFormat="false" ht="15" hidden="false" customHeight="false" outlineLevel="0" collapsed="false">
      <c r="A41" s="19" t="s">
        <v>102</v>
      </c>
      <c r="B41" s="20" t="n">
        <f aca="false">COUNTIF(Invoices!$W$6:$W$505,$A41)</f>
        <v>1</v>
      </c>
      <c r="C41" s="21" t="n">
        <f aca="false">SUMIFS(Invoices!$S$6:$S$505,Invoices!$W$6:$W$505,$A41)</f>
        <v>6400</v>
      </c>
    </row>
    <row r="42" customFormat="false" ht="15" hidden="false" customHeight="false" outlineLevel="0" collapsed="false">
      <c r="A42" s="19" t="s">
        <v>103</v>
      </c>
      <c r="B42" s="20" t="n">
        <f aca="false">COUNTIF(Invoices!$W$6:$W$505,$A42)</f>
        <v>0</v>
      </c>
      <c r="C42" s="21" t="n">
        <f aca="false">SUMIFS(Invoices!$S$6:$S$505,Invoices!$W$6:$W$505,$A42)</f>
        <v>0</v>
      </c>
    </row>
    <row r="43" customFormat="false" ht="15" hidden="false" customHeight="false" outlineLevel="0" collapsed="false">
      <c r="A43" s="19" t="s">
        <v>104</v>
      </c>
      <c r="B43" s="20" t="n">
        <f aca="false">COUNTIF(Invoices!$W$6:$W$505,$A43)</f>
        <v>0</v>
      </c>
      <c r="C43" s="21" t="n">
        <f aca="false">SUMIFS(Invoices!$S$6:$S$505,Invoices!$W$6:$W$505,$A43)</f>
        <v>0</v>
      </c>
    </row>
    <row r="44" customFormat="false" ht="15" hidden="false" customHeight="false" outlineLevel="0" collapsed="false">
      <c r="A44" s="19" t="s">
        <v>105</v>
      </c>
      <c r="B44" s="20" t="n">
        <f aca="false">COUNTIF(Invoices!$W$6:$W$505,$A44)</f>
        <v>0</v>
      </c>
      <c r="C44" s="21" t="n">
        <f aca="false">SUMIFS(Invoices!$S$6:$S$505,Invoices!$W$6:$W$505,$A44)</f>
        <v>0</v>
      </c>
    </row>
    <row r="45" customFormat="false" ht="15" hidden="false" customHeight="false" outlineLevel="0" collapsed="false">
      <c r="A45" s="19" t="s">
        <v>106</v>
      </c>
      <c r="B45" s="20" t="n">
        <f aca="false">COUNTIF(Invoices!$W$6:$W$505,$A45)</f>
        <v>0</v>
      </c>
      <c r="C45" s="21" t="n">
        <f aca="false">SUMIFS(Invoices!$S$6:$S$505,Invoices!$W$6:$W$505,$A45)</f>
        <v>0</v>
      </c>
    </row>
    <row r="46" customFormat="false" ht="15" hidden="false" customHeight="false" outlineLevel="0" collapsed="false">
      <c r="A46" s="22" t="s">
        <v>107</v>
      </c>
      <c r="B46" s="23" t="n">
        <f aca="false">SUM(B41:B45)</f>
        <v>1</v>
      </c>
      <c r="C46" s="24" t="n">
        <f aca="false">SUM(C41:C45)</f>
        <v>6400</v>
      </c>
    </row>
    <row r="48" customFormat="false" ht="15" hidden="false" customHeight="false" outlineLevel="0" collapsed="false">
      <c r="A48" s="7" t="s">
        <v>108</v>
      </c>
      <c r="B48" s="8"/>
      <c r="C48" s="8"/>
      <c r="D48" s="8"/>
      <c r="E48" s="8"/>
      <c r="F48" s="8"/>
    </row>
    <row r="49" customFormat="false" ht="15" hidden="false" customHeight="false" outlineLevel="0" collapsed="false">
      <c r="A49" s="18" t="s">
        <v>109</v>
      </c>
      <c r="B49" s="18" t="s">
        <v>100</v>
      </c>
      <c r="C49" s="18" t="s">
        <v>110</v>
      </c>
      <c r="D49" s="18" t="s">
        <v>101</v>
      </c>
    </row>
    <row r="50" customFormat="false" ht="15" hidden="false" customHeight="false" outlineLevel="0" collapsed="false">
      <c r="A50" s="19" t="s">
        <v>111</v>
      </c>
      <c r="B50" s="20" t="n">
        <f aca="false">COUNTIF(Invoices!$U$6:$U$505,$A50)</f>
        <v>0</v>
      </c>
      <c r="C50" s="21" t="n">
        <f aca="false">SUMIFS(Invoices!$P$6:$P$505,Invoices!$U$6:$U$505,$A50)</f>
        <v>0</v>
      </c>
      <c r="D50" s="21" t="n">
        <f aca="false">SUMIFS(Invoices!$S$6:$S$505,Invoices!$U$6:$U$505,$A50)</f>
        <v>0</v>
      </c>
    </row>
    <row r="51" customFormat="false" ht="15" hidden="false" customHeight="false" outlineLevel="0" collapsed="false">
      <c r="A51" s="19" t="s">
        <v>112</v>
      </c>
      <c r="B51" s="20" t="n">
        <f aca="false">COUNTIF(Invoices!$U$6:$U$505,$A51)</f>
        <v>0</v>
      </c>
      <c r="C51" s="21" t="n">
        <f aca="false">SUMIFS(Invoices!$P$6:$P$505,Invoices!$U$6:$U$505,$A51)</f>
        <v>0</v>
      </c>
      <c r="D51" s="21" t="n">
        <f aca="false">SUMIFS(Invoices!$S$6:$S$505,Invoices!$U$6:$U$505,$A51)</f>
        <v>0</v>
      </c>
    </row>
    <row r="52" customFormat="false" ht="15" hidden="false" customHeight="false" outlineLevel="0" collapsed="false">
      <c r="A52" s="19" t="s">
        <v>113</v>
      </c>
      <c r="B52" s="20" t="n">
        <f aca="false">COUNTIF(Invoices!$U$6:$U$505,$A52)</f>
        <v>1</v>
      </c>
      <c r="C52" s="21" t="n">
        <f aca="false">SUMIFS(Invoices!$P$6:$P$505,Invoices!$U$6:$U$505,$A52)</f>
        <v>26400</v>
      </c>
      <c r="D52" s="21" t="n">
        <f aca="false">SUMIFS(Invoices!$S$6:$S$505,Invoices!$U$6:$U$505,$A52)</f>
        <v>6400</v>
      </c>
    </row>
    <row r="53" customFormat="false" ht="15" hidden="false" customHeight="false" outlineLevel="0" collapsed="false">
      <c r="A53" s="19" t="s">
        <v>114</v>
      </c>
      <c r="B53" s="20" t="n">
        <f aca="false">COUNTIF(Invoices!$U$6:$U$505,$A53)</f>
        <v>0</v>
      </c>
      <c r="C53" s="21" t="n">
        <f aca="false">SUMIFS(Invoices!$P$6:$P$505,Invoices!$U$6:$U$505,$A53)</f>
        <v>0</v>
      </c>
      <c r="D53" s="21" t="n">
        <f aca="false">SUMIFS(Invoices!$S$6:$S$505,Invoices!$U$6:$U$505,$A53)</f>
        <v>0</v>
      </c>
    </row>
    <row r="54" customFormat="false" ht="15" hidden="false" customHeight="false" outlineLevel="0" collapsed="false">
      <c r="A54" s="19" t="s">
        <v>115</v>
      </c>
      <c r="B54" s="20" t="n">
        <f aca="false">COUNTIF(Invoices!$U$6:$U$505,$A54)</f>
        <v>0</v>
      </c>
      <c r="C54" s="21" t="n">
        <f aca="false">SUMIFS(Invoices!$P$6:$P$505,Invoices!$U$6:$U$505,$A54)</f>
        <v>0</v>
      </c>
      <c r="D54" s="21" t="n">
        <f aca="false">SUMIFS(Invoices!$S$6:$S$505,Invoices!$U$6:$U$505,$A54)</f>
        <v>0</v>
      </c>
    </row>
    <row r="55" customFormat="false" ht="15" hidden="false" customHeight="false" outlineLevel="0" collapsed="false">
      <c r="A55" s="19" t="s">
        <v>116</v>
      </c>
      <c r="B55" s="20" t="n">
        <f aca="false">COUNTIF(Invoices!$U$6:$U$505,$A55)</f>
        <v>0</v>
      </c>
      <c r="C55" s="21" t="n">
        <f aca="false">SUMIFS(Invoices!$P$6:$P$505,Invoices!$U$6:$U$505,$A55)</f>
        <v>0</v>
      </c>
      <c r="D55" s="21" t="n">
        <f aca="false">SUMIFS(Invoices!$S$6:$S$505,Invoices!$U$6:$U$505,$A55)</f>
        <v>0</v>
      </c>
    </row>
    <row r="56" customFormat="false" ht="15" hidden="false" customHeight="false" outlineLevel="0" collapsed="false">
      <c r="A56" s="19" t="s">
        <v>117</v>
      </c>
      <c r="B56" s="20" t="n">
        <f aca="false">COUNTIF(Invoices!$U$6:$U$505,$A56)</f>
        <v>0</v>
      </c>
      <c r="C56" s="21" t="n">
        <f aca="false">SUMIFS(Invoices!$P$6:$P$505,Invoices!$U$6:$U$505,$A56)</f>
        <v>0</v>
      </c>
      <c r="D56" s="21" t="n">
        <f aca="false">SUMIFS(Invoices!$S$6:$S$505,Invoices!$U$6:$U$505,$A56)</f>
        <v>0</v>
      </c>
    </row>
    <row r="57" customFormat="false" ht="15" hidden="false" customHeight="false" outlineLevel="0" collapsed="false">
      <c r="A57" s="19" t="s">
        <v>118</v>
      </c>
      <c r="B57" s="20" t="n">
        <f aca="false">COUNTIF(Invoices!$U$6:$U$505,$A57)</f>
        <v>0</v>
      </c>
      <c r="C57" s="21" t="n">
        <f aca="false">SUMIFS(Invoices!$P$6:$P$505,Invoices!$U$6:$U$505,$A57)</f>
        <v>0</v>
      </c>
      <c r="D57" s="21" t="n">
        <f aca="false">SUMIFS(Invoices!$S$6:$S$505,Invoices!$U$6:$U$505,$A57)</f>
        <v>0</v>
      </c>
    </row>
    <row r="58" customFormat="false" ht="15" hidden="false" customHeight="false" outlineLevel="0" collapsed="false">
      <c r="A58" s="19" t="s">
        <v>119</v>
      </c>
      <c r="B58" s="20" t="n">
        <f aca="false">COUNTIF(Invoices!$U$6:$U$505,$A58)</f>
        <v>0</v>
      </c>
      <c r="C58" s="21" t="n">
        <f aca="false">SUMIFS(Invoices!$P$6:$P$505,Invoices!$U$6:$U$505,$A58)</f>
        <v>0</v>
      </c>
      <c r="D58" s="21" t="n">
        <f aca="false">SUMIFS(Invoices!$S$6:$S$505,Invoices!$U$6:$U$505,$A58)</f>
        <v>0</v>
      </c>
    </row>
    <row r="59" customFormat="false" ht="15" hidden="false" customHeight="false" outlineLevel="0" collapsed="false">
      <c r="A59" s="22" t="s">
        <v>107</v>
      </c>
      <c r="B59" s="23" t="n">
        <f aca="false">SUM(B50:B58)</f>
        <v>1</v>
      </c>
      <c r="C59" s="24" t="n">
        <f aca="false">SUM(C50:C58)</f>
        <v>26400</v>
      </c>
      <c r="D59" s="24" t="n">
        <f aca="false">SUM(D50:D58)</f>
        <v>6400</v>
      </c>
    </row>
    <row r="60" customFormat="false" ht="15" hidden="false" customHeight="false" outlineLevel="0" collapsed="false">
      <c r="A60" s="6" t="s">
        <v>120</v>
      </c>
    </row>
  </sheetData>
  <conditionalFormatting sqref="C12:C20">
    <cfRule type="expression" priority="2" aboveAverage="0" equalAverage="0" bottom="0" percent="0" rank="0" text="" dxfId="0">
      <formula>$C12="CHECK"</formula>
    </cfRule>
    <cfRule type="expression" priority="3" aboveAverage="0" equalAverage="0" bottom="0" percent="0" rank="0" text="" dxfId="1">
      <formula>$C12="OK"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5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26"/>
    <col collapsed="false" customWidth="true" hidden="false" outlineLevel="0" max="4" min="4" style="0" width="24"/>
    <col collapsed="false" customWidth="true" hidden="false" outlineLevel="0" max="6" min="5" style="0" width="16"/>
    <col collapsed="false" customWidth="true" hidden="false" outlineLevel="0" max="7" min="7" style="0" width="20"/>
    <col collapsed="false" customWidth="true" hidden="false" outlineLevel="0" max="8" min="8" style="0" width="34"/>
    <col collapsed="false" customWidth="true" hidden="false" outlineLevel="0" max="9" min="9" style="0" width="12"/>
    <col collapsed="false" customWidth="true" hidden="false" outlineLevel="0" max="10" min="10" style="0" width="9"/>
    <col collapsed="false" customWidth="true" hidden="false" outlineLevel="0" max="11" min="11" style="0" width="12"/>
    <col collapsed="false" customWidth="true" hidden="false" outlineLevel="0" max="12" min="12" style="0" width="10"/>
    <col collapsed="false" customWidth="true" hidden="false" outlineLevel="0" max="13" min="13" style="0" width="14"/>
    <col collapsed="false" customWidth="true" hidden="false" outlineLevel="0" max="14" min="14" style="0" width="9"/>
    <col collapsed="false" customWidth="true" hidden="false" outlineLevel="0" max="15" min="15" style="0" width="13"/>
    <col collapsed="false" customWidth="true" hidden="false" outlineLevel="0" max="16" min="16" style="0" width="14"/>
    <col collapsed="false" customWidth="true" hidden="false" outlineLevel="0" max="17" min="17" style="0" width="13"/>
    <col collapsed="false" customWidth="true" hidden="false" outlineLevel="0" max="19" min="18" style="0" width="14"/>
    <col collapsed="false" customWidth="true" hidden="false" outlineLevel="0" max="20" min="20" style="0" width="13"/>
    <col collapsed="false" customWidth="true" hidden="false" outlineLevel="0" max="21" min="21" style="0" width="19"/>
    <col collapsed="false" customWidth="true" hidden="false" outlineLevel="0" max="22" min="22" style="0" width="9"/>
    <col collapsed="false" customWidth="true" hidden="false" outlineLevel="0" max="24" min="23" style="0" width="16"/>
    <col collapsed="false" customWidth="true" hidden="false" outlineLevel="0" max="25" min="25" style="0" width="12"/>
    <col collapsed="false" customWidth="true" hidden="false" outlineLevel="0" max="26" min="26" style="0" width="34"/>
    <col collapsed="false" customWidth="true" hidden="false" outlineLevel="0" max="27" min="27" style="0" width="40"/>
  </cols>
  <sheetData>
    <row r="1" customFormat="false" ht="17.35" hidden="false" customHeight="false" outlineLevel="0" collapsed="false">
      <c r="A1" s="1" t="s">
        <v>121</v>
      </c>
    </row>
    <row r="2" customFormat="false" ht="15" hidden="false" customHeight="false" outlineLevel="0" collapsed="false">
      <c r="A2" s="6" t="s">
        <v>122</v>
      </c>
    </row>
    <row r="3" customFormat="false" ht="15" hidden="false" customHeight="false" outlineLevel="0" collapsed="false">
      <c r="A3" s="6" t="s">
        <v>123</v>
      </c>
    </row>
    <row r="5" customFormat="false" ht="31.5" hidden="false" customHeight="true" outlineLevel="0" collapsed="false">
      <c r="A5" s="25" t="s">
        <v>124</v>
      </c>
      <c r="B5" s="25" t="s">
        <v>125</v>
      </c>
      <c r="C5" s="25" t="s">
        <v>126</v>
      </c>
      <c r="D5" s="25" t="s">
        <v>127</v>
      </c>
      <c r="E5" s="25" t="s">
        <v>128</v>
      </c>
      <c r="F5" s="25" t="s">
        <v>129</v>
      </c>
      <c r="G5" s="25" t="s">
        <v>130</v>
      </c>
      <c r="H5" s="25" t="s">
        <v>131</v>
      </c>
      <c r="I5" s="25" t="s">
        <v>132</v>
      </c>
      <c r="J5" s="25" t="s">
        <v>133</v>
      </c>
      <c r="K5" s="25" t="s">
        <v>134</v>
      </c>
      <c r="L5" s="25" t="s">
        <v>135</v>
      </c>
      <c r="M5" s="25" t="s">
        <v>136</v>
      </c>
      <c r="N5" s="25" t="s">
        <v>137</v>
      </c>
      <c r="O5" s="25" t="s">
        <v>138</v>
      </c>
      <c r="P5" s="25" t="s">
        <v>139</v>
      </c>
      <c r="Q5" s="25" t="s">
        <v>140</v>
      </c>
      <c r="R5" s="25" t="s">
        <v>141</v>
      </c>
      <c r="S5" s="25" t="s">
        <v>29</v>
      </c>
      <c r="T5" s="25" t="s">
        <v>142</v>
      </c>
      <c r="U5" s="25" t="s">
        <v>143</v>
      </c>
      <c r="V5" s="25" t="s">
        <v>144</v>
      </c>
      <c r="W5" s="25" t="s">
        <v>145</v>
      </c>
      <c r="X5" s="25" t="s">
        <v>146</v>
      </c>
      <c r="Y5" s="25" t="s">
        <v>147</v>
      </c>
      <c r="Z5" s="25" t="s">
        <v>148</v>
      </c>
      <c r="AA5" s="25" t="s">
        <v>149</v>
      </c>
    </row>
    <row r="6" customFormat="false" ht="23.85" hidden="false" customHeight="false" outlineLevel="0" collapsed="false">
      <c r="A6" s="26" t="s">
        <v>150</v>
      </c>
      <c r="B6" s="26" t="s">
        <v>151</v>
      </c>
      <c r="C6" s="27" t="str">
        <f aca="false">IF($B6="","",IFERROR(INDEX(Clients!$B$6:$B$105,MATCH($B6,Clients!$A$6:$A$105,0)),"Client not found"))</f>
        <v>Northwind Bank</v>
      </c>
      <c r="D6" s="26" t="s">
        <v>152</v>
      </c>
      <c r="E6" s="26" t="s">
        <v>153</v>
      </c>
      <c r="F6" s="26" t="s">
        <v>154</v>
      </c>
      <c r="G6" s="26" t="s">
        <v>155</v>
      </c>
      <c r="H6" s="28" t="s">
        <v>156</v>
      </c>
      <c r="I6" s="29" t="n">
        <v>46280</v>
      </c>
      <c r="J6" s="30" t="n">
        <f aca="false">IF($A6="","",IFERROR(IF(N(INDEX(Clients!$E$6:$E$105,MATCH($B6,Clients!$A$6:$A$105,0)))&gt;0,INDEX(Clients!$E$6:$E$105,MATCH($B6,Clients!$A$6:$A$105,0)),Dashboard!$B$6),Dashboard!$B$6))</f>
        <v>30</v>
      </c>
      <c r="K6" s="31" t="n">
        <f aca="false">IF(OR($A6="",$I6=""),"",$I6+$J6)</f>
        <v>46310</v>
      </c>
      <c r="L6" s="26" t="s">
        <v>157</v>
      </c>
      <c r="M6" s="32" t="n">
        <v>24000</v>
      </c>
      <c r="N6" s="33" t="n">
        <v>0.1</v>
      </c>
      <c r="O6" s="34" t="n">
        <f aca="false">IF($A6="","",N($M6)*N($N6))</f>
        <v>2400</v>
      </c>
      <c r="P6" s="34" t="n">
        <f aca="false">IF($A6="","",N($M6)+$O6)</f>
        <v>26400</v>
      </c>
      <c r="Q6" s="34" t="n">
        <f aca="false">IF($A6="","",SUMIFS('Credit Notes'!$F$6:$F$205,'Credit Notes'!$B$6:$B$205,$A6,'Credit Notes'!$H$6:$H$205,"Issued"))</f>
        <v>0</v>
      </c>
      <c r="R6" s="34" t="n">
        <f aca="false">IF($A6="","",SUMIFS(Payments!$I$6:$I$505,Payments!$C$6:$C$505,$A6))</f>
        <v>20000</v>
      </c>
      <c r="S6" s="34" t="n">
        <f aca="false">IF($A6="","",IF($T6="Void",0,$P6-$Q6-$R6))</f>
        <v>6400</v>
      </c>
      <c r="T6" s="26" t="s">
        <v>158</v>
      </c>
      <c r="U6" s="35" t="str">
        <f aca="false">IF($A6="","",IF($T6="Void","Void",IF(OR($T6="",$T6="Draft"),"Draft",IF($T6="Disputed","Disputed",IF($S6&lt;-0.005,"Overpaid",IF($S6&lt;=0.005,"Paid",IF($R6+$Q6&gt;0.005,IF($V6&gt;0,"Part-paid, overdue","Part-paid"),IF($V6&gt;0,"Overdue","Outstanding"))))))))</f>
        <v>Part-paid</v>
      </c>
      <c r="V6" s="36" t="n">
        <f aca="true">IF($A6="","",IF(AND(OR($T6="Issued",$T6="Disputed"),$S6&gt;0.005,$K6&lt;&gt;"",$K6&lt;TODAY()),TODAY()-$K6,0))</f>
        <v>0</v>
      </c>
      <c r="W6" s="35" t="str">
        <f aca="false">IF($A6="","",IF(AND(OR($T6="Issued",$T6="Disputed"),$S6&gt;0.005),IF($V6&lt;=0,"Not yet due",IF($V6&lt;=30,"1 to 30 days",IF($V6&lt;=60,"31 to 60 days",IF($V6&lt;=90,"61 to 90 days","Over 90 days")))),""))</f>
        <v>Not yet due</v>
      </c>
      <c r="X6" s="26" t="s">
        <v>159</v>
      </c>
      <c r="Y6" s="29" t="n">
        <v>46280</v>
      </c>
      <c r="Z6" s="28" t="s">
        <v>160</v>
      </c>
      <c r="AA6" s="28" t="s">
        <v>161</v>
      </c>
    </row>
    <row r="7" customFormat="false" ht="15" hidden="false" customHeight="false" outlineLevel="0" collapsed="false">
      <c r="A7" s="26"/>
      <c r="B7" s="26"/>
      <c r="C7" s="27" t="str">
        <f aca="false">IF($B7="","",IFERROR(INDEX(Clients!$B$6:$B$105,MATCH($B7,Clients!$A$6:$A$105,0)),"Client not found"))</f>
        <v/>
      </c>
      <c r="D7" s="26"/>
      <c r="E7" s="26"/>
      <c r="F7" s="26"/>
      <c r="G7" s="26"/>
      <c r="H7" s="28"/>
      <c r="I7" s="29"/>
      <c r="J7" s="30" t="str">
        <f aca="false">IF($A7="","",IFERROR(IF(N(INDEX(Clients!$E$6:$E$105,MATCH($B7,Clients!$A$6:$A$105,0)))&gt;0,INDEX(Clients!$E$6:$E$105,MATCH($B7,Clients!$A$6:$A$105,0)),Dashboard!$B$6),Dashboard!$B$6))</f>
        <v/>
      </c>
      <c r="K7" s="31" t="str">
        <f aca="false">IF(OR($A7="",$I7=""),"",$I7+$J7)</f>
        <v/>
      </c>
      <c r="L7" s="26"/>
      <c r="M7" s="32"/>
      <c r="N7" s="33"/>
      <c r="O7" s="34" t="str">
        <f aca="false">IF($A7="","",N($M7)*N($N7))</f>
        <v/>
      </c>
      <c r="P7" s="34" t="str">
        <f aca="false">IF($A7="","",N($M7)+$O7)</f>
        <v/>
      </c>
      <c r="Q7" s="34" t="str">
        <f aca="false">IF($A7="","",SUMIFS('Credit Notes'!$F$6:$F$205,'Credit Notes'!$B$6:$B$205,$A7,'Credit Notes'!$H$6:$H$205,"Issued"))</f>
        <v/>
      </c>
      <c r="R7" s="34" t="str">
        <f aca="false">IF($A7="","",SUMIFS(Payments!$I$6:$I$505,Payments!$C$6:$C$505,$A7))</f>
        <v/>
      </c>
      <c r="S7" s="34" t="str">
        <f aca="false">IF($A7="","",IF($T7="Void",0,$P7-$Q7-$R7))</f>
        <v/>
      </c>
      <c r="T7" s="26"/>
      <c r="U7" s="35" t="str">
        <f aca="false">IF($A7="","",IF($T7="Void","Void",IF(OR($T7="",$T7="Draft"),"Draft",IF($T7="Disputed","Disputed",IF($S7&lt;-0.005,"Overpaid",IF($S7&lt;=0.005,"Paid",IF($R7+$Q7&gt;0.005,IF($V7&gt;0,"Part-paid, overdue","Part-paid"),IF($V7&gt;0,"Overdue","Outstanding"))))))))</f>
        <v/>
      </c>
      <c r="V7" s="36" t="str">
        <f aca="true">IF($A7="","",IF(AND(OR($T7="Issued",$T7="Disputed"),$S7&gt;0.005,$K7&lt;&gt;"",$K7&lt;TODAY()),TODAY()-$K7,0))</f>
        <v/>
      </c>
      <c r="W7" s="35" t="str">
        <f aca="false">IF($A7="","",IF(AND(OR($T7="Issued",$T7="Disputed"),$S7&gt;0.005),IF($V7&lt;=0,"Not yet due",IF($V7&lt;=30,"1 to 30 days",IF($V7&lt;=60,"31 to 60 days",IF($V7&lt;=90,"61 to 90 days","Over 90 days")))),""))</f>
        <v/>
      </c>
      <c r="X7" s="26"/>
      <c r="Y7" s="29"/>
      <c r="Z7" s="28"/>
      <c r="AA7" s="28"/>
    </row>
    <row r="8" customFormat="false" ht="15" hidden="false" customHeight="false" outlineLevel="0" collapsed="false">
      <c r="A8" s="26"/>
      <c r="B8" s="26"/>
      <c r="C8" s="27" t="str">
        <f aca="false">IF($B8="","",IFERROR(INDEX(Clients!$B$6:$B$105,MATCH($B8,Clients!$A$6:$A$105,0)),"Client not found"))</f>
        <v/>
      </c>
      <c r="D8" s="26"/>
      <c r="E8" s="26"/>
      <c r="F8" s="26"/>
      <c r="G8" s="26"/>
      <c r="H8" s="28"/>
      <c r="I8" s="29"/>
      <c r="J8" s="30" t="str">
        <f aca="false">IF($A8="","",IFERROR(IF(N(INDEX(Clients!$E$6:$E$105,MATCH($B8,Clients!$A$6:$A$105,0)))&gt;0,INDEX(Clients!$E$6:$E$105,MATCH($B8,Clients!$A$6:$A$105,0)),Dashboard!$B$6),Dashboard!$B$6))</f>
        <v/>
      </c>
      <c r="K8" s="31" t="str">
        <f aca="false">IF(OR($A8="",$I8=""),"",$I8+$J8)</f>
        <v/>
      </c>
      <c r="L8" s="26"/>
      <c r="M8" s="32"/>
      <c r="N8" s="33"/>
      <c r="O8" s="34" t="str">
        <f aca="false">IF($A8="","",N($M8)*N($N8))</f>
        <v/>
      </c>
      <c r="P8" s="34" t="str">
        <f aca="false">IF($A8="","",N($M8)+$O8)</f>
        <v/>
      </c>
      <c r="Q8" s="34" t="str">
        <f aca="false">IF($A8="","",SUMIFS('Credit Notes'!$F$6:$F$205,'Credit Notes'!$B$6:$B$205,$A8,'Credit Notes'!$H$6:$H$205,"Issued"))</f>
        <v/>
      </c>
      <c r="R8" s="34" t="str">
        <f aca="false">IF($A8="","",SUMIFS(Payments!$I$6:$I$505,Payments!$C$6:$C$505,$A8))</f>
        <v/>
      </c>
      <c r="S8" s="34" t="str">
        <f aca="false">IF($A8="","",IF($T8="Void",0,$P8-$Q8-$R8))</f>
        <v/>
      </c>
      <c r="T8" s="26"/>
      <c r="U8" s="35" t="str">
        <f aca="false">IF($A8="","",IF($T8="Void","Void",IF(OR($T8="",$T8="Draft"),"Draft",IF($T8="Disputed","Disputed",IF($S8&lt;-0.005,"Overpaid",IF($S8&lt;=0.005,"Paid",IF($R8+$Q8&gt;0.005,IF($V8&gt;0,"Part-paid, overdue","Part-paid"),IF($V8&gt;0,"Overdue","Outstanding"))))))))</f>
        <v/>
      </c>
      <c r="V8" s="36" t="str">
        <f aca="true">IF($A8="","",IF(AND(OR($T8="Issued",$T8="Disputed"),$S8&gt;0.005,$K8&lt;&gt;"",$K8&lt;TODAY()),TODAY()-$K8,0))</f>
        <v/>
      </c>
      <c r="W8" s="35" t="str">
        <f aca="false">IF($A8="","",IF(AND(OR($T8="Issued",$T8="Disputed"),$S8&gt;0.005),IF($V8&lt;=0,"Not yet due",IF($V8&lt;=30,"1 to 30 days",IF($V8&lt;=60,"31 to 60 days",IF($V8&lt;=90,"61 to 90 days","Over 90 days")))),""))</f>
        <v/>
      </c>
      <c r="X8" s="26"/>
      <c r="Y8" s="29"/>
      <c r="Z8" s="28"/>
      <c r="AA8" s="28"/>
    </row>
    <row r="9" customFormat="false" ht="15" hidden="false" customHeight="false" outlineLevel="0" collapsed="false">
      <c r="A9" s="26"/>
      <c r="B9" s="26"/>
      <c r="C9" s="27" t="str">
        <f aca="false">IF($B9="","",IFERROR(INDEX(Clients!$B$6:$B$105,MATCH($B9,Clients!$A$6:$A$105,0)),"Client not found"))</f>
        <v/>
      </c>
      <c r="D9" s="26"/>
      <c r="E9" s="26"/>
      <c r="F9" s="26"/>
      <c r="G9" s="26"/>
      <c r="H9" s="28"/>
      <c r="I9" s="29"/>
      <c r="J9" s="30" t="str">
        <f aca="false">IF($A9="","",IFERROR(IF(N(INDEX(Clients!$E$6:$E$105,MATCH($B9,Clients!$A$6:$A$105,0)))&gt;0,INDEX(Clients!$E$6:$E$105,MATCH($B9,Clients!$A$6:$A$105,0)),Dashboard!$B$6),Dashboard!$B$6))</f>
        <v/>
      </c>
      <c r="K9" s="31" t="str">
        <f aca="false">IF(OR($A9="",$I9=""),"",$I9+$J9)</f>
        <v/>
      </c>
      <c r="L9" s="26"/>
      <c r="M9" s="32"/>
      <c r="N9" s="33"/>
      <c r="O9" s="34" t="str">
        <f aca="false">IF($A9="","",N($M9)*N($N9))</f>
        <v/>
      </c>
      <c r="P9" s="34" t="str">
        <f aca="false">IF($A9="","",N($M9)+$O9)</f>
        <v/>
      </c>
      <c r="Q9" s="34" t="str">
        <f aca="false">IF($A9="","",SUMIFS('Credit Notes'!$F$6:$F$205,'Credit Notes'!$B$6:$B$205,$A9,'Credit Notes'!$H$6:$H$205,"Issued"))</f>
        <v/>
      </c>
      <c r="R9" s="34" t="str">
        <f aca="false">IF($A9="","",SUMIFS(Payments!$I$6:$I$505,Payments!$C$6:$C$505,$A9))</f>
        <v/>
      </c>
      <c r="S9" s="34" t="str">
        <f aca="false">IF($A9="","",IF($T9="Void",0,$P9-$Q9-$R9))</f>
        <v/>
      </c>
      <c r="T9" s="26"/>
      <c r="U9" s="35" t="str">
        <f aca="false">IF($A9="","",IF($T9="Void","Void",IF(OR($T9="",$T9="Draft"),"Draft",IF($T9="Disputed","Disputed",IF($S9&lt;-0.005,"Overpaid",IF($S9&lt;=0.005,"Paid",IF($R9+$Q9&gt;0.005,IF($V9&gt;0,"Part-paid, overdue","Part-paid"),IF($V9&gt;0,"Overdue","Outstanding"))))))))</f>
        <v/>
      </c>
      <c r="V9" s="36" t="str">
        <f aca="true">IF($A9="","",IF(AND(OR($T9="Issued",$T9="Disputed"),$S9&gt;0.005,$K9&lt;&gt;"",$K9&lt;TODAY()),TODAY()-$K9,0))</f>
        <v/>
      </c>
      <c r="W9" s="35" t="str">
        <f aca="false">IF($A9="","",IF(AND(OR($T9="Issued",$T9="Disputed"),$S9&gt;0.005),IF($V9&lt;=0,"Not yet due",IF($V9&lt;=30,"1 to 30 days",IF($V9&lt;=60,"31 to 60 days",IF($V9&lt;=90,"61 to 90 days","Over 90 days")))),""))</f>
        <v/>
      </c>
      <c r="X9" s="26"/>
      <c r="Y9" s="29"/>
      <c r="Z9" s="28"/>
      <c r="AA9" s="28"/>
    </row>
    <row r="10" customFormat="false" ht="15" hidden="false" customHeight="false" outlineLevel="0" collapsed="false">
      <c r="A10" s="26"/>
      <c r="B10" s="26"/>
      <c r="C10" s="27" t="str">
        <f aca="false">IF($B10="","",IFERROR(INDEX(Clients!$B$6:$B$105,MATCH($B10,Clients!$A$6:$A$105,0)),"Client not found"))</f>
        <v/>
      </c>
      <c r="D10" s="26"/>
      <c r="E10" s="26"/>
      <c r="F10" s="26"/>
      <c r="G10" s="26"/>
      <c r="H10" s="28"/>
      <c r="I10" s="29"/>
      <c r="J10" s="30" t="str">
        <f aca="false">IF($A10="","",IFERROR(IF(N(INDEX(Clients!$E$6:$E$105,MATCH($B10,Clients!$A$6:$A$105,0)))&gt;0,INDEX(Clients!$E$6:$E$105,MATCH($B10,Clients!$A$6:$A$105,0)),Dashboard!$B$6),Dashboard!$B$6))</f>
        <v/>
      </c>
      <c r="K10" s="31" t="str">
        <f aca="false">IF(OR($A10="",$I10=""),"",$I10+$J10)</f>
        <v/>
      </c>
      <c r="L10" s="26"/>
      <c r="M10" s="32"/>
      <c r="N10" s="33"/>
      <c r="O10" s="34" t="str">
        <f aca="false">IF($A10="","",N($M10)*N($N10))</f>
        <v/>
      </c>
      <c r="P10" s="34" t="str">
        <f aca="false">IF($A10="","",N($M10)+$O10)</f>
        <v/>
      </c>
      <c r="Q10" s="34" t="str">
        <f aca="false">IF($A10="","",SUMIFS('Credit Notes'!$F$6:$F$205,'Credit Notes'!$B$6:$B$205,$A10,'Credit Notes'!$H$6:$H$205,"Issued"))</f>
        <v/>
      </c>
      <c r="R10" s="34" t="str">
        <f aca="false">IF($A10="","",SUMIFS(Payments!$I$6:$I$505,Payments!$C$6:$C$505,$A10))</f>
        <v/>
      </c>
      <c r="S10" s="34" t="str">
        <f aca="false">IF($A10="","",IF($T10="Void",0,$P10-$Q10-$R10))</f>
        <v/>
      </c>
      <c r="T10" s="26"/>
      <c r="U10" s="35" t="str">
        <f aca="false">IF($A10="","",IF($T10="Void","Void",IF(OR($T10="",$T10="Draft"),"Draft",IF($T10="Disputed","Disputed",IF($S10&lt;-0.005,"Overpaid",IF($S10&lt;=0.005,"Paid",IF($R10+$Q10&gt;0.005,IF($V10&gt;0,"Part-paid, overdue","Part-paid"),IF($V10&gt;0,"Overdue","Outstanding"))))))))</f>
        <v/>
      </c>
      <c r="V10" s="36" t="str">
        <f aca="true">IF($A10="","",IF(AND(OR($T10="Issued",$T10="Disputed"),$S10&gt;0.005,$K10&lt;&gt;"",$K10&lt;TODAY()),TODAY()-$K10,0))</f>
        <v/>
      </c>
      <c r="W10" s="35" t="str">
        <f aca="false">IF($A10="","",IF(AND(OR($T10="Issued",$T10="Disputed"),$S10&gt;0.005),IF($V10&lt;=0,"Not yet due",IF($V10&lt;=30,"1 to 30 days",IF($V10&lt;=60,"31 to 60 days",IF($V10&lt;=90,"61 to 90 days","Over 90 days")))),""))</f>
        <v/>
      </c>
      <c r="X10" s="26"/>
      <c r="Y10" s="29"/>
      <c r="Z10" s="28"/>
      <c r="AA10" s="28"/>
    </row>
    <row r="11" customFormat="false" ht="15" hidden="false" customHeight="false" outlineLevel="0" collapsed="false">
      <c r="A11" s="26"/>
      <c r="B11" s="26"/>
      <c r="C11" s="27" t="str">
        <f aca="false">IF($B11="","",IFERROR(INDEX(Clients!$B$6:$B$105,MATCH($B11,Clients!$A$6:$A$105,0)),"Client not found"))</f>
        <v/>
      </c>
      <c r="D11" s="26"/>
      <c r="E11" s="26"/>
      <c r="F11" s="26"/>
      <c r="G11" s="26"/>
      <c r="H11" s="28"/>
      <c r="I11" s="29"/>
      <c r="J11" s="30" t="str">
        <f aca="false">IF($A11="","",IFERROR(IF(N(INDEX(Clients!$E$6:$E$105,MATCH($B11,Clients!$A$6:$A$105,0)))&gt;0,INDEX(Clients!$E$6:$E$105,MATCH($B11,Clients!$A$6:$A$105,0)),Dashboard!$B$6),Dashboard!$B$6))</f>
        <v/>
      </c>
      <c r="K11" s="31" t="str">
        <f aca="false">IF(OR($A11="",$I11=""),"",$I11+$J11)</f>
        <v/>
      </c>
      <c r="L11" s="26"/>
      <c r="M11" s="32"/>
      <c r="N11" s="33"/>
      <c r="O11" s="34" t="str">
        <f aca="false">IF($A11="","",N($M11)*N($N11))</f>
        <v/>
      </c>
      <c r="P11" s="34" t="str">
        <f aca="false">IF($A11="","",N($M11)+$O11)</f>
        <v/>
      </c>
      <c r="Q11" s="34" t="str">
        <f aca="false">IF($A11="","",SUMIFS('Credit Notes'!$F$6:$F$205,'Credit Notes'!$B$6:$B$205,$A11,'Credit Notes'!$H$6:$H$205,"Issued"))</f>
        <v/>
      </c>
      <c r="R11" s="34" t="str">
        <f aca="false">IF($A11="","",SUMIFS(Payments!$I$6:$I$505,Payments!$C$6:$C$505,$A11))</f>
        <v/>
      </c>
      <c r="S11" s="34" t="str">
        <f aca="false">IF($A11="","",IF($T11="Void",0,$P11-$Q11-$R11))</f>
        <v/>
      </c>
      <c r="T11" s="26"/>
      <c r="U11" s="35" t="str">
        <f aca="false">IF($A11="","",IF($T11="Void","Void",IF(OR($T11="",$T11="Draft"),"Draft",IF($T11="Disputed","Disputed",IF($S11&lt;-0.005,"Overpaid",IF($S11&lt;=0.005,"Paid",IF($R11+$Q11&gt;0.005,IF($V11&gt;0,"Part-paid, overdue","Part-paid"),IF($V11&gt;0,"Overdue","Outstanding"))))))))</f>
        <v/>
      </c>
      <c r="V11" s="36" t="str">
        <f aca="true">IF($A11="","",IF(AND(OR($T11="Issued",$T11="Disputed"),$S11&gt;0.005,$K11&lt;&gt;"",$K11&lt;TODAY()),TODAY()-$K11,0))</f>
        <v/>
      </c>
      <c r="W11" s="35" t="str">
        <f aca="false">IF($A11="","",IF(AND(OR($T11="Issued",$T11="Disputed"),$S11&gt;0.005),IF($V11&lt;=0,"Not yet due",IF($V11&lt;=30,"1 to 30 days",IF($V11&lt;=60,"31 to 60 days",IF($V11&lt;=90,"61 to 90 days","Over 90 days")))),""))</f>
        <v/>
      </c>
      <c r="X11" s="26"/>
      <c r="Y11" s="29"/>
      <c r="Z11" s="28"/>
      <c r="AA11" s="28"/>
    </row>
    <row r="12" customFormat="false" ht="15" hidden="false" customHeight="false" outlineLevel="0" collapsed="false">
      <c r="A12" s="26"/>
      <c r="B12" s="26"/>
      <c r="C12" s="27" t="str">
        <f aca="false">IF($B12="","",IFERROR(INDEX(Clients!$B$6:$B$105,MATCH($B12,Clients!$A$6:$A$105,0)),"Client not found"))</f>
        <v/>
      </c>
      <c r="D12" s="26"/>
      <c r="E12" s="26"/>
      <c r="F12" s="26"/>
      <c r="G12" s="26"/>
      <c r="H12" s="28"/>
      <c r="I12" s="29"/>
      <c r="J12" s="30" t="str">
        <f aca="false">IF($A12="","",IFERROR(IF(N(INDEX(Clients!$E$6:$E$105,MATCH($B12,Clients!$A$6:$A$105,0)))&gt;0,INDEX(Clients!$E$6:$E$105,MATCH($B12,Clients!$A$6:$A$105,0)),Dashboard!$B$6),Dashboard!$B$6))</f>
        <v/>
      </c>
      <c r="K12" s="31" t="str">
        <f aca="false">IF(OR($A12="",$I12=""),"",$I12+$J12)</f>
        <v/>
      </c>
      <c r="L12" s="26"/>
      <c r="M12" s="32"/>
      <c r="N12" s="33"/>
      <c r="O12" s="34" t="str">
        <f aca="false">IF($A12="","",N($M12)*N($N12))</f>
        <v/>
      </c>
      <c r="P12" s="34" t="str">
        <f aca="false">IF($A12="","",N($M12)+$O12)</f>
        <v/>
      </c>
      <c r="Q12" s="34" t="str">
        <f aca="false">IF($A12="","",SUMIFS('Credit Notes'!$F$6:$F$205,'Credit Notes'!$B$6:$B$205,$A12,'Credit Notes'!$H$6:$H$205,"Issued"))</f>
        <v/>
      </c>
      <c r="R12" s="34" t="str">
        <f aca="false">IF($A12="","",SUMIFS(Payments!$I$6:$I$505,Payments!$C$6:$C$505,$A12))</f>
        <v/>
      </c>
      <c r="S12" s="34" t="str">
        <f aca="false">IF($A12="","",IF($T12="Void",0,$P12-$Q12-$R12))</f>
        <v/>
      </c>
      <c r="T12" s="26"/>
      <c r="U12" s="35" t="str">
        <f aca="false">IF($A12="","",IF($T12="Void","Void",IF(OR($T12="",$T12="Draft"),"Draft",IF($T12="Disputed","Disputed",IF($S12&lt;-0.005,"Overpaid",IF($S12&lt;=0.005,"Paid",IF($R12+$Q12&gt;0.005,IF($V12&gt;0,"Part-paid, overdue","Part-paid"),IF($V12&gt;0,"Overdue","Outstanding"))))))))</f>
        <v/>
      </c>
      <c r="V12" s="36" t="str">
        <f aca="true">IF($A12="","",IF(AND(OR($T12="Issued",$T12="Disputed"),$S12&gt;0.005,$K12&lt;&gt;"",$K12&lt;TODAY()),TODAY()-$K12,0))</f>
        <v/>
      </c>
      <c r="W12" s="35" t="str">
        <f aca="false">IF($A12="","",IF(AND(OR($T12="Issued",$T12="Disputed"),$S12&gt;0.005),IF($V12&lt;=0,"Not yet due",IF($V12&lt;=30,"1 to 30 days",IF($V12&lt;=60,"31 to 60 days",IF($V12&lt;=90,"61 to 90 days","Over 90 days")))),""))</f>
        <v/>
      </c>
      <c r="X12" s="26"/>
      <c r="Y12" s="29"/>
      <c r="Z12" s="28"/>
      <c r="AA12" s="28"/>
    </row>
    <row r="13" customFormat="false" ht="15" hidden="false" customHeight="false" outlineLevel="0" collapsed="false">
      <c r="A13" s="26"/>
      <c r="B13" s="26"/>
      <c r="C13" s="27" t="str">
        <f aca="false">IF($B13="","",IFERROR(INDEX(Clients!$B$6:$B$105,MATCH($B13,Clients!$A$6:$A$105,0)),"Client not found"))</f>
        <v/>
      </c>
      <c r="D13" s="26"/>
      <c r="E13" s="26"/>
      <c r="F13" s="26"/>
      <c r="G13" s="26"/>
      <c r="H13" s="28"/>
      <c r="I13" s="29"/>
      <c r="J13" s="30" t="str">
        <f aca="false">IF($A13="","",IFERROR(IF(N(INDEX(Clients!$E$6:$E$105,MATCH($B13,Clients!$A$6:$A$105,0)))&gt;0,INDEX(Clients!$E$6:$E$105,MATCH($B13,Clients!$A$6:$A$105,0)),Dashboard!$B$6),Dashboard!$B$6))</f>
        <v/>
      </c>
      <c r="K13" s="31" t="str">
        <f aca="false">IF(OR($A13="",$I13=""),"",$I13+$J13)</f>
        <v/>
      </c>
      <c r="L13" s="26"/>
      <c r="M13" s="32"/>
      <c r="N13" s="33"/>
      <c r="O13" s="34" t="str">
        <f aca="false">IF($A13="","",N($M13)*N($N13))</f>
        <v/>
      </c>
      <c r="P13" s="34" t="str">
        <f aca="false">IF($A13="","",N($M13)+$O13)</f>
        <v/>
      </c>
      <c r="Q13" s="34" t="str">
        <f aca="false">IF($A13="","",SUMIFS('Credit Notes'!$F$6:$F$205,'Credit Notes'!$B$6:$B$205,$A13,'Credit Notes'!$H$6:$H$205,"Issued"))</f>
        <v/>
      </c>
      <c r="R13" s="34" t="str">
        <f aca="false">IF($A13="","",SUMIFS(Payments!$I$6:$I$505,Payments!$C$6:$C$505,$A13))</f>
        <v/>
      </c>
      <c r="S13" s="34" t="str">
        <f aca="false">IF($A13="","",IF($T13="Void",0,$P13-$Q13-$R13))</f>
        <v/>
      </c>
      <c r="T13" s="26"/>
      <c r="U13" s="35" t="str">
        <f aca="false">IF($A13="","",IF($T13="Void","Void",IF(OR($T13="",$T13="Draft"),"Draft",IF($T13="Disputed","Disputed",IF($S13&lt;-0.005,"Overpaid",IF($S13&lt;=0.005,"Paid",IF($R13+$Q13&gt;0.005,IF($V13&gt;0,"Part-paid, overdue","Part-paid"),IF($V13&gt;0,"Overdue","Outstanding"))))))))</f>
        <v/>
      </c>
      <c r="V13" s="36" t="str">
        <f aca="true">IF($A13="","",IF(AND(OR($T13="Issued",$T13="Disputed"),$S13&gt;0.005,$K13&lt;&gt;"",$K13&lt;TODAY()),TODAY()-$K13,0))</f>
        <v/>
      </c>
      <c r="W13" s="35" t="str">
        <f aca="false">IF($A13="","",IF(AND(OR($T13="Issued",$T13="Disputed"),$S13&gt;0.005),IF($V13&lt;=0,"Not yet due",IF($V13&lt;=30,"1 to 30 days",IF($V13&lt;=60,"31 to 60 days",IF($V13&lt;=90,"61 to 90 days","Over 90 days")))),""))</f>
        <v/>
      </c>
      <c r="X13" s="26"/>
      <c r="Y13" s="29"/>
      <c r="Z13" s="28"/>
      <c r="AA13" s="28"/>
    </row>
    <row r="14" customFormat="false" ht="15" hidden="false" customHeight="false" outlineLevel="0" collapsed="false">
      <c r="A14" s="26"/>
      <c r="B14" s="26"/>
      <c r="C14" s="27" t="str">
        <f aca="false">IF($B14="","",IFERROR(INDEX(Clients!$B$6:$B$105,MATCH($B14,Clients!$A$6:$A$105,0)),"Client not found"))</f>
        <v/>
      </c>
      <c r="D14" s="26"/>
      <c r="E14" s="26"/>
      <c r="F14" s="26"/>
      <c r="G14" s="26"/>
      <c r="H14" s="28"/>
      <c r="I14" s="29"/>
      <c r="J14" s="30" t="str">
        <f aca="false">IF($A14="","",IFERROR(IF(N(INDEX(Clients!$E$6:$E$105,MATCH($B14,Clients!$A$6:$A$105,0)))&gt;0,INDEX(Clients!$E$6:$E$105,MATCH($B14,Clients!$A$6:$A$105,0)),Dashboard!$B$6),Dashboard!$B$6))</f>
        <v/>
      </c>
      <c r="K14" s="31" t="str">
        <f aca="false">IF(OR($A14="",$I14=""),"",$I14+$J14)</f>
        <v/>
      </c>
      <c r="L14" s="26"/>
      <c r="M14" s="32"/>
      <c r="N14" s="33"/>
      <c r="O14" s="34" t="str">
        <f aca="false">IF($A14="","",N($M14)*N($N14))</f>
        <v/>
      </c>
      <c r="P14" s="34" t="str">
        <f aca="false">IF($A14="","",N($M14)+$O14)</f>
        <v/>
      </c>
      <c r="Q14" s="34" t="str">
        <f aca="false">IF($A14="","",SUMIFS('Credit Notes'!$F$6:$F$205,'Credit Notes'!$B$6:$B$205,$A14,'Credit Notes'!$H$6:$H$205,"Issued"))</f>
        <v/>
      </c>
      <c r="R14" s="34" t="str">
        <f aca="false">IF($A14="","",SUMIFS(Payments!$I$6:$I$505,Payments!$C$6:$C$505,$A14))</f>
        <v/>
      </c>
      <c r="S14" s="34" t="str">
        <f aca="false">IF($A14="","",IF($T14="Void",0,$P14-$Q14-$R14))</f>
        <v/>
      </c>
      <c r="T14" s="26"/>
      <c r="U14" s="35" t="str">
        <f aca="false">IF($A14="","",IF($T14="Void","Void",IF(OR($T14="",$T14="Draft"),"Draft",IF($T14="Disputed","Disputed",IF($S14&lt;-0.005,"Overpaid",IF($S14&lt;=0.005,"Paid",IF($R14+$Q14&gt;0.005,IF($V14&gt;0,"Part-paid, overdue","Part-paid"),IF($V14&gt;0,"Overdue","Outstanding"))))))))</f>
        <v/>
      </c>
      <c r="V14" s="36" t="str">
        <f aca="true">IF($A14="","",IF(AND(OR($T14="Issued",$T14="Disputed"),$S14&gt;0.005,$K14&lt;&gt;"",$K14&lt;TODAY()),TODAY()-$K14,0))</f>
        <v/>
      </c>
      <c r="W14" s="35" t="str">
        <f aca="false">IF($A14="","",IF(AND(OR($T14="Issued",$T14="Disputed"),$S14&gt;0.005),IF($V14&lt;=0,"Not yet due",IF($V14&lt;=30,"1 to 30 days",IF($V14&lt;=60,"31 to 60 days",IF($V14&lt;=90,"61 to 90 days","Over 90 days")))),""))</f>
        <v/>
      </c>
      <c r="X14" s="26"/>
      <c r="Y14" s="29"/>
      <c r="Z14" s="28"/>
      <c r="AA14" s="28"/>
    </row>
    <row r="15" customFormat="false" ht="15" hidden="false" customHeight="false" outlineLevel="0" collapsed="false">
      <c r="A15" s="26"/>
      <c r="B15" s="26"/>
      <c r="C15" s="27" t="str">
        <f aca="false">IF($B15="","",IFERROR(INDEX(Clients!$B$6:$B$105,MATCH($B15,Clients!$A$6:$A$105,0)),"Client not found"))</f>
        <v/>
      </c>
      <c r="D15" s="26"/>
      <c r="E15" s="26"/>
      <c r="F15" s="26"/>
      <c r="G15" s="26"/>
      <c r="H15" s="28"/>
      <c r="I15" s="29"/>
      <c r="J15" s="30" t="str">
        <f aca="false">IF($A15="","",IFERROR(IF(N(INDEX(Clients!$E$6:$E$105,MATCH($B15,Clients!$A$6:$A$105,0)))&gt;0,INDEX(Clients!$E$6:$E$105,MATCH($B15,Clients!$A$6:$A$105,0)),Dashboard!$B$6),Dashboard!$B$6))</f>
        <v/>
      </c>
      <c r="K15" s="31" t="str">
        <f aca="false">IF(OR($A15="",$I15=""),"",$I15+$J15)</f>
        <v/>
      </c>
      <c r="L15" s="26"/>
      <c r="M15" s="32"/>
      <c r="N15" s="33"/>
      <c r="O15" s="34" t="str">
        <f aca="false">IF($A15="","",N($M15)*N($N15))</f>
        <v/>
      </c>
      <c r="P15" s="34" t="str">
        <f aca="false">IF($A15="","",N($M15)+$O15)</f>
        <v/>
      </c>
      <c r="Q15" s="34" t="str">
        <f aca="false">IF($A15="","",SUMIFS('Credit Notes'!$F$6:$F$205,'Credit Notes'!$B$6:$B$205,$A15,'Credit Notes'!$H$6:$H$205,"Issued"))</f>
        <v/>
      </c>
      <c r="R15" s="34" t="str">
        <f aca="false">IF($A15="","",SUMIFS(Payments!$I$6:$I$505,Payments!$C$6:$C$505,$A15))</f>
        <v/>
      </c>
      <c r="S15" s="34" t="str">
        <f aca="false">IF($A15="","",IF($T15="Void",0,$P15-$Q15-$R15))</f>
        <v/>
      </c>
      <c r="T15" s="26"/>
      <c r="U15" s="35" t="str">
        <f aca="false">IF($A15="","",IF($T15="Void","Void",IF(OR($T15="",$T15="Draft"),"Draft",IF($T15="Disputed","Disputed",IF($S15&lt;-0.005,"Overpaid",IF($S15&lt;=0.005,"Paid",IF($R15+$Q15&gt;0.005,IF($V15&gt;0,"Part-paid, overdue","Part-paid"),IF($V15&gt;0,"Overdue","Outstanding"))))))))</f>
        <v/>
      </c>
      <c r="V15" s="36" t="str">
        <f aca="true">IF($A15="","",IF(AND(OR($T15="Issued",$T15="Disputed"),$S15&gt;0.005,$K15&lt;&gt;"",$K15&lt;TODAY()),TODAY()-$K15,0))</f>
        <v/>
      </c>
      <c r="W15" s="35" t="str">
        <f aca="false">IF($A15="","",IF(AND(OR($T15="Issued",$T15="Disputed"),$S15&gt;0.005),IF($V15&lt;=0,"Not yet due",IF($V15&lt;=30,"1 to 30 days",IF($V15&lt;=60,"31 to 60 days",IF($V15&lt;=90,"61 to 90 days","Over 90 days")))),""))</f>
        <v/>
      </c>
      <c r="X15" s="26"/>
      <c r="Y15" s="29"/>
      <c r="Z15" s="28"/>
      <c r="AA15" s="28"/>
    </row>
    <row r="16" customFormat="false" ht="15" hidden="false" customHeight="false" outlineLevel="0" collapsed="false">
      <c r="A16" s="26"/>
      <c r="B16" s="26"/>
      <c r="C16" s="27" t="str">
        <f aca="false">IF($B16="","",IFERROR(INDEX(Clients!$B$6:$B$105,MATCH($B16,Clients!$A$6:$A$105,0)),"Client not found"))</f>
        <v/>
      </c>
      <c r="D16" s="26"/>
      <c r="E16" s="26"/>
      <c r="F16" s="26"/>
      <c r="G16" s="26"/>
      <c r="H16" s="28"/>
      <c r="I16" s="29"/>
      <c r="J16" s="30" t="str">
        <f aca="false">IF($A16="","",IFERROR(IF(N(INDEX(Clients!$E$6:$E$105,MATCH($B16,Clients!$A$6:$A$105,0)))&gt;0,INDEX(Clients!$E$6:$E$105,MATCH($B16,Clients!$A$6:$A$105,0)),Dashboard!$B$6),Dashboard!$B$6))</f>
        <v/>
      </c>
      <c r="K16" s="31" t="str">
        <f aca="false">IF(OR($A16="",$I16=""),"",$I16+$J16)</f>
        <v/>
      </c>
      <c r="L16" s="26"/>
      <c r="M16" s="32"/>
      <c r="N16" s="33"/>
      <c r="O16" s="34" t="str">
        <f aca="false">IF($A16="","",N($M16)*N($N16))</f>
        <v/>
      </c>
      <c r="P16" s="34" t="str">
        <f aca="false">IF($A16="","",N($M16)+$O16)</f>
        <v/>
      </c>
      <c r="Q16" s="34" t="str">
        <f aca="false">IF($A16="","",SUMIFS('Credit Notes'!$F$6:$F$205,'Credit Notes'!$B$6:$B$205,$A16,'Credit Notes'!$H$6:$H$205,"Issued"))</f>
        <v/>
      </c>
      <c r="R16" s="34" t="str">
        <f aca="false">IF($A16="","",SUMIFS(Payments!$I$6:$I$505,Payments!$C$6:$C$505,$A16))</f>
        <v/>
      </c>
      <c r="S16" s="34" t="str">
        <f aca="false">IF($A16="","",IF($T16="Void",0,$P16-$Q16-$R16))</f>
        <v/>
      </c>
      <c r="T16" s="26"/>
      <c r="U16" s="35" t="str">
        <f aca="false">IF($A16="","",IF($T16="Void","Void",IF(OR($T16="",$T16="Draft"),"Draft",IF($T16="Disputed","Disputed",IF($S16&lt;-0.005,"Overpaid",IF($S16&lt;=0.005,"Paid",IF($R16+$Q16&gt;0.005,IF($V16&gt;0,"Part-paid, overdue","Part-paid"),IF($V16&gt;0,"Overdue","Outstanding"))))))))</f>
        <v/>
      </c>
      <c r="V16" s="36" t="str">
        <f aca="true">IF($A16="","",IF(AND(OR($T16="Issued",$T16="Disputed"),$S16&gt;0.005,$K16&lt;&gt;"",$K16&lt;TODAY()),TODAY()-$K16,0))</f>
        <v/>
      </c>
      <c r="W16" s="35" t="str">
        <f aca="false">IF($A16="","",IF(AND(OR($T16="Issued",$T16="Disputed"),$S16&gt;0.005),IF($V16&lt;=0,"Not yet due",IF($V16&lt;=30,"1 to 30 days",IF($V16&lt;=60,"31 to 60 days",IF($V16&lt;=90,"61 to 90 days","Over 90 days")))),""))</f>
        <v/>
      </c>
      <c r="X16" s="26"/>
      <c r="Y16" s="29"/>
      <c r="Z16" s="28"/>
      <c r="AA16" s="28"/>
    </row>
    <row r="17" customFormat="false" ht="15" hidden="false" customHeight="false" outlineLevel="0" collapsed="false">
      <c r="A17" s="26"/>
      <c r="B17" s="26"/>
      <c r="C17" s="27" t="str">
        <f aca="false">IF($B17="","",IFERROR(INDEX(Clients!$B$6:$B$105,MATCH($B17,Clients!$A$6:$A$105,0)),"Client not found"))</f>
        <v/>
      </c>
      <c r="D17" s="26"/>
      <c r="E17" s="26"/>
      <c r="F17" s="26"/>
      <c r="G17" s="26"/>
      <c r="H17" s="28"/>
      <c r="I17" s="29"/>
      <c r="J17" s="30" t="str">
        <f aca="false">IF($A17="","",IFERROR(IF(N(INDEX(Clients!$E$6:$E$105,MATCH($B17,Clients!$A$6:$A$105,0)))&gt;0,INDEX(Clients!$E$6:$E$105,MATCH($B17,Clients!$A$6:$A$105,0)),Dashboard!$B$6),Dashboard!$B$6))</f>
        <v/>
      </c>
      <c r="K17" s="31" t="str">
        <f aca="false">IF(OR($A17="",$I17=""),"",$I17+$J17)</f>
        <v/>
      </c>
      <c r="L17" s="26"/>
      <c r="M17" s="32"/>
      <c r="N17" s="33"/>
      <c r="O17" s="34" t="str">
        <f aca="false">IF($A17="","",N($M17)*N($N17))</f>
        <v/>
      </c>
      <c r="P17" s="34" t="str">
        <f aca="false">IF($A17="","",N($M17)+$O17)</f>
        <v/>
      </c>
      <c r="Q17" s="34" t="str">
        <f aca="false">IF($A17="","",SUMIFS('Credit Notes'!$F$6:$F$205,'Credit Notes'!$B$6:$B$205,$A17,'Credit Notes'!$H$6:$H$205,"Issued"))</f>
        <v/>
      </c>
      <c r="R17" s="34" t="str">
        <f aca="false">IF($A17="","",SUMIFS(Payments!$I$6:$I$505,Payments!$C$6:$C$505,$A17))</f>
        <v/>
      </c>
      <c r="S17" s="34" t="str">
        <f aca="false">IF($A17="","",IF($T17="Void",0,$P17-$Q17-$R17))</f>
        <v/>
      </c>
      <c r="T17" s="26"/>
      <c r="U17" s="35" t="str">
        <f aca="false">IF($A17="","",IF($T17="Void","Void",IF(OR($T17="",$T17="Draft"),"Draft",IF($T17="Disputed","Disputed",IF($S17&lt;-0.005,"Overpaid",IF($S17&lt;=0.005,"Paid",IF($R17+$Q17&gt;0.005,IF($V17&gt;0,"Part-paid, overdue","Part-paid"),IF($V17&gt;0,"Overdue","Outstanding"))))))))</f>
        <v/>
      </c>
      <c r="V17" s="36" t="str">
        <f aca="true">IF($A17="","",IF(AND(OR($T17="Issued",$T17="Disputed"),$S17&gt;0.005,$K17&lt;&gt;"",$K17&lt;TODAY()),TODAY()-$K17,0))</f>
        <v/>
      </c>
      <c r="W17" s="35" t="str">
        <f aca="false">IF($A17="","",IF(AND(OR($T17="Issued",$T17="Disputed"),$S17&gt;0.005),IF($V17&lt;=0,"Not yet due",IF($V17&lt;=30,"1 to 30 days",IF($V17&lt;=60,"31 to 60 days",IF($V17&lt;=90,"61 to 90 days","Over 90 days")))),""))</f>
        <v/>
      </c>
      <c r="X17" s="26"/>
      <c r="Y17" s="29"/>
      <c r="Z17" s="28"/>
      <c r="AA17" s="28"/>
    </row>
    <row r="18" customFormat="false" ht="15" hidden="false" customHeight="false" outlineLevel="0" collapsed="false">
      <c r="A18" s="26"/>
      <c r="B18" s="26"/>
      <c r="C18" s="27" t="str">
        <f aca="false">IF($B18="","",IFERROR(INDEX(Clients!$B$6:$B$105,MATCH($B18,Clients!$A$6:$A$105,0)),"Client not found"))</f>
        <v/>
      </c>
      <c r="D18" s="26"/>
      <c r="E18" s="26"/>
      <c r="F18" s="26"/>
      <c r="G18" s="26"/>
      <c r="H18" s="28"/>
      <c r="I18" s="29"/>
      <c r="J18" s="30" t="str">
        <f aca="false">IF($A18="","",IFERROR(IF(N(INDEX(Clients!$E$6:$E$105,MATCH($B18,Clients!$A$6:$A$105,0)))&gt;0,INDEX(Clients!$E$6:$E$105,MATCH($B18,Clients!$A$6:$A$105,0)),Dashboard!$B$6),Dashboard!$B$6))</f>
        <v/>
      </c>
      <c r="K18" s="31" t="str">
        <f aca="false">IF(OR($A18="",$I18=""),"",$I18+$J18)</f>
        <v/>
      </c>
      <c r="L18" s="26"/>
      <c r="M18" s="32"/>
      <c r="N18" s="33"/>
      <c r="O18" s="34" t="str">
        <f aca="false">IF($A18="","",N($M18)*N($N18))</f>
        <v/>
      </c>
      <c r="P18" s="34" t="str">
        <f aca="false">IF($A18="","",N($M18)+$O18)</f>
        <v/>
      </c>
      <c r="Q18" s="34" t="str">
        <f aca="false">IF($A18="","",SUMIFS('Credit Notes'!$F$6:$F$205,'Credit Notes'!$B$6:$B$205,$A18,'Credit Notes'!$H$6:$H$205,"Issued"))</f>
        <v/>
      </c>
      <c r="R18" s="34" t="str">
        <f aca="false">IF($A18="","",SUMIFS(Payments!$I$6:$I$505,Payments!$C$6:$C$505,$A18))</f>
        <v/>
      </c>
      <c r="S18" s="34" t="str">
        <f aca="false">IF($A18="","",IF($T18="Void",0,$P18-$Q18-$R18))</f>
        <v/>
      </c>
      <c r="T18" s="26"/>
      <c r="U18" s="35" t="str">
        <f aca="false">IF($A18="","",IF($T18="Void","Void",IF(OR($T18="",$T18="Draft"),"Draft",IF($T18="Disputed","Disputed",IF($S18&lt;-0.005,"Overpaid",IF($S18&lt;=0.005,"Paid",IF($R18+$Q18&gt;0.005,IF($V18&gt;0,"Part-paid, overdue","Part-paid"),IF($V18&gt;0,"Overdue","Outstanding"))))))))</f>
        <v/>
      </c>
      <c r="V18" s="36" t="str">
        <f aca="true">IF($A18="","",IF(AND(OR($T18="Issued",$T18="Disputed"),$S18&gt;0.005,$K18&lt;&gt;"",$K18&lt;TODAY()),TODAY()-$K18,0))</f>
        <v/>
      </c>
      <c r="W18" s="35" t="str">
        <f aca="false">IF($A18="","",IF(AND(OR($T18="Issued",$T18="Disputed"),$S18&gt;0.005),IF($V18&lt;=0,"Not yet due",IF($V18&lt;=30,"1 to 30 days",IF($V18&lt;=60,"31 to 60 days",IF($V18&lt;=90,"61 to 90 days","Over 90 days")))),""))</f>
        <v/>
      </c>
      <c r="X18" s="26"/>
      <c r="Y18" s="29"/>
      <c r="Z18" s="28"/>
      <c r="AA18" s="28"/>
    </row>
    <row r="19" customFormat="false" ht="15" hidden="false" customHeight="false" outlineLevel="0" collapsed="false">
      <c r="A19" s="26"/>
      <c r="B19" s="26"/>
      <c r="C19" s="27" t="str">
        <f aca="false">IF($B19="","",IFERROR(INDEX(Clients!$B$6:$B$105,MATCH($B19,Clients!$A$6:$A$105,0)),"Client not found"))</f>
        <v/>
      </c>
      <c r="D19" s="26"/>
      <c r="E19" s="26"/>
      <c r="F19" s="26"/>
      <c r="G19" s="26"/>
      <c r="H19" s="28"/>
      <c r="I19" s="29"/>
      <c r="J19" s="30" t="str">
        <f aca="false">IF($A19="","",IFERROR(IF(N(INDEX(Clients!$E$6:$E$105,MATCH($B19,Clients!$A$6:$A$105,0)))&gt;0,INDEX(Clients!$E$6:$E$105,MATCH($B19,Clients!$A$6:$A$105,0)),Dashboard!$B$6),Dashboard!$B$6))</f>
        <v/>
      </c>
      <c r="K19" s="31" t="str">
        <f aca="false">IF(OR($A19="",$I19=""),"",$I19+$J19)</f>
        <v/>
      </c>
      <c r="L19" s="26"/>
      <c r="M19" s="32"/>
      <c r="N19" s="33"/>
      <c r="O19" s="34" t="str">
        <f aca="false">IF($A19="","",N($M19)*N($N19))</f>
        <v/>
      </c>
      <c r="P19" s="34" t="str">
        <f aca="false">IF($A19="","",N($M19)+$O19)</f>
        <v/>
      </c>
      <c r="Q19" s="34" t="str">
        <f aca="false">IF($A19="","",SUMIFS('Credit Notes'!$F$6:$F$205,'Credit Notes'!$B$6:$B$205,$A19,'Credit Notes'!$H$6:$H$205,"Issued"))</f>
        <v/>
      </c>
      <c r="R19" s="34" t="str">
        <f aca="false">IF($A19="","",SUMIFS(Payments!$I$6:$I$505,Payments!$C$6:$C$505,$A19))</f>
        <v/>
      </c>
      <c r="S19" s="34" t="str">
        <f aca="false">IF($A19="","",IF($T19="Void",0,$P19-$Q19-$R19))</f>
        <v/>
      </c>
      <c r="T19" s="26"/>
      <c r="U19" s="35" t="str">
        <f aca="false">IF($A19="","",IF($T19="Void","Void",IF(OR($T19="",$T19="Draft"),"Draft",IF($T19="Disputed","Disputed",IF($S19&lt;-0.005,"Overpaid",IF($S19&lt;=0.005,"Paid",IF($R19+$Q19&gt;0.005,IF($V19&gt;0,"Part-paid, overdue","Part-paid"),IF($V19&gt;0,"Overdue","Outstanding"))))))))</f>
        <v/>
      </c>
      <c r="V19" s="36" t="str">
        <f aca="true">IF($A19="","",IF(AND(OR($T19="Issued",$T19="Disputed"),$S19&gt;0.005,$K19&lt;&gt;"",$K19&lt;TODAY()),TODAY()-$K19,0))</f>
        <v/>
      </c>
      <c r="W19" s="35" t="str">
        <f aca="false">IF($A19="","",IF(AND(OR($T19="Issued",$T19="Disputed"),$S19&gt;0.005),IF($V19&lt;=0,"Not yet due",IF($V19&lt;=30,"1 to 30 days",IF($V19&lt;=60,"31 to 60 days",IF($V19&lt;=90,"61 to 90 days","Over 90 days")))),""))</f>
        <v/>
      </c>
      <c r="X19" s="26"/>
      <c r="Y19" s="29"/>
      <c r="Z19" s="28"/>
      <c r="AA19" s="28"/>
    </row>
    <row r="20" customFormat="false" ht="15" hidden="false" customHeight="false" outlineLevel="0" collapsed="false">
      <c r="A20" s="26"/>
      <c r="B20" s="26"/>
      <c r="C20" s="27" t="str">
        <f aca="false">IF($B20="","",IFERROR(INDEX(Clients!$B$6:$B$105,MATCH($B20,Clients!$A$6:$A$105,0)),"Client not found"))</f>
        <v/>
      </c>
      <c r="D20" s="26"/>
      <c r="E20" s="26"/>
      <c r="F20" s="26"/>
      <c r="G20" s="26"/>
      <c r="H20" s="28"/>
      <c r="I20" s="29"/>
      <c r="J20" s="30" t="str">
        <f aca="false">IF($A20="","",IFERROR(IF(N(INDEX(Clients!$E$6:$E$105,MATCH($B20,Clients!$A$6:$A$105,0)))&gt;0,INDEX(Clients!$E$6:$E$105,MATCH($B20,Clients!$A$6:$A$105,0)),Dashboard!$B$6),Dashboard!$B$6))</f>
        <v/>
      </c>
      <c r="K20" s="31" t="str">
        <f aca="false">IF(OR($A20="",$I20=""),"",$I20+$J20)</f>
        <v/>
      </c>
      <c r="L20" s="26"/>
      <c r="M20" s="32"/>
      <c r="N20" s="33"/>
      <c r="O20" s="34" t="str">
        <f aca="false">IF($A20="","",N($M20)*N($N20))</f>
        <v/>
      </c>
      <c r="P20" s="34" t="str">
        <f aca="false">IF($A20="","",N($M20)+$O20)</f>
        <v/>
      </c>
      <c r="Q20" s="34" t="str">
        <f aca="false">IF($A20="","",SUMIFS('Credit Notes'!$F$6:$F$205,'Credit Notes'!$B$6:$B$205,$A20,'Credit Notes'!$H$6:$H$205,"Issued"))</f>
        <v/>
      </c>
      <c r="R20" s="34" t="str">
        <f aca="false">IF($A20="","",SUMIFS(Payments!$I$6:$I$505,Payments!$C$6:$C$505,$A20))</f>
        <v/>
      </c>
      <c r="S20" s="34" t="str">
        <f aca="false">IF($A20="","",IF($T20="Void",0,$P20-$Q20-$R20))</f>
        <v/>
      </c>
      <c r="T20" s="26"/>
      <c r="U20" s="35" t="str">
        <f aca="false">IF($A20="","",IF($T20="Void","Void",IF(OR($T20="",$T20="Draft"),"Draft",IF($T20="Disputed","Disputed",IF($S20&lt;-0.005,"Overpaid",IF($S20&lt;=0.005,"Paid",IF($R20+$Q20&gt;0.005,IF($V20&gt;0,"Part-paid, overdue","Part-paid"),IF($V20&gt;0,"Overdue","Outstanding"))))))))</f>
        <v/>
      </c>
      <c r="V20" s="36" t="str">
        <f aca="true">IF($A20="","",IF(AND(OR($T20="Issued",$T20="Disputed"),$S20&gt;0.005,$K20&lt;&gt;"",$K20&lt;TODAY()),TODAY()-$K20,0))</f>
        <v/>
      </c>
      <c r="W20" s="35" t="str">
        <f aca="false">IF($A20="","",IF(AND(OR($T20="Issued",$T20="Disputed"),$S20&gt;0.005),IF($V20&lt;=0,"Not yet due",IF($V20&lt;=30,"1 to 30 days",IF($V20&lt;=60,"31 to 60 days",IF($V20&lt;=90,"61 to 90 days","Over 90 days")))),""))</f>
        <v/>
      </c>
      <c r="X20" s="26"/>
      <c r="Y20" s="29"/>
      <c r="Z20" s="28"/>
      <c r="AA20" s="28"/>
    </row>
    <row r="21" customFormat="false" ht="15" hidden="false" customHeight="false" outlineLevel="0" collapsed="false">
      <c r="A21" s="26"/>
      <c r="B21" s="26"/>
      <c r="C21" s="27" t="str">
        <f aca="false">IF($B21="","",IFERROR(INDEX(Clients!$B$6:$B$105,MATCH($B21,Clients!$A$6:$A$105,0)),"Client not found"))</f>
        <v/>
      </c>
      <c r="D21" s="26"/>
      <c r="E21" s="26"/>
      <c r="F21" s="26"/>
      <c r="G21" s="26"/>
      <c r="H21" s="28"/>
      <c r="I21" s="29"/>
      <c r="J21" s="30" t="str">
        <f aca="false">IF($A21="","",IFERROR(IF(N(INDEX(Clients!$E$6:$E$105,MATCH($B21,Clients!$A$6:$A$105,0)))&gt;0,INDEX(Clients!$E$6:$E$105,MATCH($B21,Clients!$A$6:$A$105,0)),Dashboard!$B$6),Dashboard!$B$6))</f>
        <v/>
      </c>
      <c r="K21" s="31" t="str">
        <f aca="false">IF(OR($A21="",$I21=""),"",$I21+$J21)</f>
        <v/>
      </c>
      <c r="L21" s="26"/>
      <c r="M21" s="32"/>
      <c r="N21" s="33"/>
      <c r="O21" s="34" t="str">
        <f aca="false">IF($A21="","",N($M21)*N($N21))</f>
        <v/>
      </c>
      <c r="P21" s="34" t="str">
        <f aca="false">IF($A21="","",N($M21)+$O21)</f>
        <v/>
      </c>
      <c r="Q21" s="34" t="str">
        <f aca="false">IF($A21="","",SUMIFS('Credit Notes'!$F$6:$F$205,'Credit Notes'!$B$6:$B$205,$A21,'Credit Notes'!$H$6:$H$205,"Issued"))</f>
        <v/>
      </c>
      <c r="R21" s="34" t="str">
        <f aca="false">IF($A21="","",SUMIFS(Payments!$I$6:$I$505,Payments!$C$6:$C$505,$A21))</f>
        <v/>
      </c>
      <c r="S21" s="34" t="str">
        <f aca="false">IF($A21="","",IF($T21="Void",0,$P21-$Q21-$R21))</f>
        <v/>
      </c>
      <c r="T21" s="26"/>
      <c r="U21" s="35" t="str">
        <f aca="false">IF($A21="","",IF($T21="Void","Void",IF(OR($T21="",$T21="Draft"),"Draft",IF($T21="Disputed","Disputed",IF($S21&lt;-0.005,"Overpaid",IF($S21&lt;=0.005,"Paid",IF($R21+$Q21&gt;0.005,IF($V21&gt;0,"Part-paid, overdue","Part-paid"),IF($V21&gt;0,"Overdue","Outstanding"))))))))</f>
        <v/>
      </c>
      <c r="V21" s="36" t="str">
        <f aca="true">IF($A21="","",IF(AND(OR($T21="Issued",$T21="Disputed"),$S21&gt;0.005,$K21&lt;&gt;"",$K21&lt;TODAY()),TODAY()-$K21,0))</f>
        <v/>
      </c>
      <c r="W21" s="35" t="str">
        <f aca="false">IF($A21="","",IF(AND(OR($T21="Issued",$T21="Disputed"),$S21&gt;0.005),IF($V21&lt;=0,"Not yet due",IF($V21&lt;=30,"1 to 30 days",IF($V21&lt;=60,"31 to 60 days",IF($V21&lt;=90,"61 to 90 days","Over 90 days")))),""))</f>
        <v/>
      </c>
      <c r="X21" s="26"/>
      <c r="Y21" s="29"/>
      <c r="Z21" s="28"/>
      <c r="AA21" s="28"/>
    </row>
    <row r="22" customFormat="false" ht="15" hidden="false" customHeight="false" outlineLevel="0" collapsed="false">
      <c r="A22" s="26"/>
      <c r="B22" s="26"/>
      <c r="C22" s="27" t="str">
        <f aca="false">IF($B22="","",IFERROR(INDEX(Clients!$B$6:$B$105,MATCH($B22,Clients!$A$6:$A$105,0)),"Client not found"))</f>
        <v/>
      </c>
      <c r="D22" s="26"/>
      <c r="E22" s="26"/>
      <c r="F22" s="26"/>
      <c r="G22" s="26"/>
      <c r="H22" s="28"/>
      <c r="I22" s="29"/>
      <c r="J22" s="30" t="str">
        <f aca="false">IF($A22="","",IFERROR(IF(N(INDEX(Clients!$E$6:$E$105,MATCH($B22,Clients!$A$6:$A$105,0)))&gt;0,INDEX(Clients!$E$6:$E$105,MATCH($B22,Clients!$A$6:$A$105,0)),Dashboard!$B$6),Dashboard!$B$6))</f>
        <v/>
      </c>
      <c r="K22" s="31" t="str">
        <f aca="false">IF(OR($A22="",$I22=""),"",$I22+$J22)</f>
        <v/>
      </c>
      <c r="L22" s="26"/>
      <c r="M22" s="32"/>
      <c r="N22" s="33"/>
      <c r="O22" s="34" t="str">
        <f aca="false">IF($A22="","",N($M22)*N($N22))</f>
        <v/>
      </c>
      <c r="P22" s="34" t="str">
        <f aca="false">IF($A22="","",N($M22)+$O22)</f>
        <v/>
      </c>
      <c r="Q22" s="34" t="str">
        <f aca="false">IF($A22="","",SUMIFS('Credit Notes'!$F$6:$F$205,'Credit Notes'!$B$6:$B$205,$A22,'Credit Notes'!$H$6:$H$205,"Issued"))</f>
        <v/>
      </c>
      <c r="R22" s="34" t="str">
        <f aca="false">IF($A22="","",SUMIFS(Payments!$I$6:$I$505,Payments!$C$6:$C$505,$A22))</f>
        <v/>
      </c>
      <c r="S22" s="34" t="str">
        <f aca="false">IF($A22="","",IF($T22="Void",0,$P22-$Q22-$R22))</f>
        <v/>
      </c>
      <c r="T22" s="26"/>
      <c r="U22" s="35" t="str">
        <f aca="false">IF($A22="","",IF($T22="Void","Void",IF(OR($T22="",$T22="Draft"),"Draft",IF($T22="Disputed","Disputed",IF($S22&lt;-0.005,"Overpaid",IF($S22&lt;=0.005,"Paid",IF($R22+$Q22&gt;0.005,IF($V22&gt;0,"Part-paid, overdue","Part-paid"),IF($V22&gt;0,"Overdue","Outstanding"))))))))</f>
        <v/>
      </c>
      <c r="V22" s="36" t="str">
        <f aca="true">IF($A22="","",IF(AND(OR($T22="Issued",$T22="Disputed"),$S22&gt;0.005,$K22&lt;&gt;"",$K22&lt;TODAY()),TODAY()-$K22,0))</f>
        <v/>
      </c>
      <c r="W22" s="35" t="str">
        <f aca="false">IF($A22="","",IF(AND(OR($T22="Issued",$T22="Disputed"),$S22&gt;0.005),IF($V22&lt;=0,"Not yet due",IF($V22&lt;=30,"1 to 30 days",IF($V22&lt;=60,"31 to 60 days",IF($V22&lt;=90,"61 to 90 days","Over 90 days")))),""))</f>
        <v/>
      </c>
      <c r="X22" s="26"/>
      <c r="Y22" s="29"/>
      <c r="Z22" s="28"/>
      <c r="AA22" s="28"/>
    </row>
    <row r="23" customFormat="false" ht="15" hidden="false" customHeight="false" outlineLevel="0" collapsed="false">
      <c r="A23" s="26"/>
      <c r="B23" s="26"/>
      <c r="C23" s="27" t="str">
        <f aca="false">IF($B23="","",IFERROR(INDEX(Clients!$B$6:$B$105,MATCH($B23,Clients!$A$6:$A$105,0)),"Client not found"))</f>
        <v/>
      </c>
      <c r="D23" s="26"/>
      <c r="E23" s="26"/>
      <c r="F23" s="26"/>
      <c r="G23" s="26"/>
      <c r="H23" s="28"/>
      <c r="I23" s="29"/>
      <c r="J23" s="30" t="str">
        <f aca="false">IF($A23="","",IFERROR(IF(N(INDEX(Clients!$E$6:$E$105,MATCH($B23,Clients!$A$6:$A$105,0)))&gt;0,INDEX(Clients!$E$6:$E$105,MATCH($B23,Clients!$A$6:$A$105,0)),Dashboard!$B$6),Dashboard!$B$6))</f>
        <v/>
      </c>
      <c r="K23" s="31" t="str">
        <f aca="false">IF(OR($A23="",$I23=""),"",$I23+$J23)</f>
        <v/>
      </c>
      <c r="L23" s="26"/>
      <c r="M23" s="32"/>
      <c r="N23" s="33"/>
      <c r="O23" s="34" t="str">
        <f aca="false">IF($A23="","",N($M23)*N($N23))</f>
        <v/>
      </c>
      <c r="P23" s="34" t="str">
        <f aca="false">IF($A23="","",N($M23)+$O23)</f>
        <v/>
      </c>
      <c r="Q23" s="34" t="str">
        <f aca="false">IF($A23="","",SUMIFS('Credit Notes'!$F$6:$F$205,'Credit Notes'!$B$6:$B$205,$A23,'Credit Notes'!$H$6:$H$205,"Issued"))</f>
        <v/>
      </c>
      <c r="R23" s="34" t="str">
        <f aca="false">IF($A23="","",SUMIFS(Payments!$I$6:$I$505,Payments!$C$6:$C$505,$A23))</f>
        <v/>
      </c>
      <c r="S23" s="34" t="str">
        <f aca="false">IF($A23="","",IF($T23="Void",0,$P23-$Q23-$R23))</f>
        <v/>
      </c>
      <c r="T23" s="26"/>
      <c r="U23" s="35" t="str">
        <f aca="false">IF($A23="","",IF($T23="Void","Void",IF(OR($T23="",$T23="Draft"),"Draft",IF($T23="Disputed","Disputed",IF($S23&lt;-0.005,"Overpaid",IF($S23&lt;=0.005,"Paid",IF($R23+$Q23&gt;0.005,IF($V23&gt;0,"Part-paid, overdue","Part-paid"),IF($V23&gt;0,"Overdue","Outstanding"))))))))</f>
        <v/>
      </c>
      <c r="V23" s="36" t="str">
        <f aca="true">IF($A23="","",IF(AND(OR($T23="Issued",$T23="Disputed"),$S23&gt;0.005,$K23&lt;&gt;"",$K23&lt;TODAY()),TODAY()-$K23,0))</f>
        <v/>
      </c>
      <c r="W23" s="35" t="str">
        <f aca="false">IF($A23="","",IF(AND(OR($T23="Issued",$T23="Disputed"),$S23&gt;0.005),IF($V23&lt;=0,"Not yet due",IF($V23&lt;=30,"1 to 30 days",IF($V23&lt;=60,"31 to 60 days",IF($V23&lt;=90,"61 to 90 days","Over 90 days")))),""))</f>
        <v/>
      </c>
      <c r="X23" s="26"/>
      <c r="Y23" s="29"/>
      <c r="Z23" s="28"/>
      <c r="AA23" s="28"/>
    </row>
    <row r="24" customFormat="false" ht="15" hidden="false" customHeight="false" outlineLevel="0" collapsed="false">
      <c r="A24" s="26"/>
      <c r="B24" s="26"/>
      <c r="C24" s="27" t="str">
        <f aca="false">IF($B24="","",IFERROR(INDEX(Clients!$B$6:$B$105,MATCH($B24,Clients!$A$6:$A$105,0)),"Client not found"))</f>
        <v/>
      </c>
      <c r="D24" s="26"/>
      <c r="E24" s="26"/>
      <c r="F24" s="26"/>
      <c r="G24" s="26"/>
      <c r="H24" s="28"/>
      <c r="I24" s="29"/>
      <c r="J24" s="30" t="str">
        <f aca="false">IF($A24="","",IFERROR(IF(N(INDEX(Clients!$E$6:$E$105,MATCH($B24,Clients!$A$6:$A$105,0)))&gt;0,INDEX(Clients!$E$6:$E$105,MATCH($B24,Clients!$A$6:$A$105,0)),Dashboard!$B$6),Dashboard!$B$6))</f>
        <v/>
      </c>
      <c r="K24" s="31" t="str">
        <f aca="false">IF(OR($A24="",$I24=""),"",$I24+$J24)</f>
        <v/>
      </c>
      <c r="L24" s="26"/>
      <c r="M24" s="32"/>
      <c r="N24" s="33"/>
      <c r="O24" s="34" t="str">
        <f aca="false">IF($A24="","",N($M24)*N($N24))</f>
        <v/>
      </c>
      <c r="P24" s="34" t="str">
        <f aca="false">IF($A24="","",N($M24)+$O24)</f>
        <v/>
      </c>
      <c r="Q24" s="34" t="str">
        <f aca="false">IF($A24="","",SUMIFS('Credit Notes'!$F$6:$F$205,'Credit Notes'!$B$6:$B$205,$A24,'Credit Notes'!$H$6:$H$205,"Issued"))</f>
        <v/>
      </c>
      <c r="R24" s="34" t="str">
        <f aca="false">IF($A24="","",SUMIFS(Payments!$I$6:$I$505,Payments!$C$6:$C$505,$A24))</f>
        <v/>
      </c>
      <c r="S24" s="34" t="str">
        <f aca="false">IF($A24="","",IF($T24="Void",0,$P24-$Q24-$R24))</f>
        <v/>
      </c>
      <c r="T24" s="26"/>
      <c r="U24" s="35" t="str">
        <f aca="false">IF($A24="","",IF($T24="Void","Void",IF(OR($T24="",$T24="Draft"),"Draft",IF($T24="Disputed","Disputed",IF($S24&lt;-0.005,"Overpaid",IF($S24&lt;=0.005,"Paid",IF($R24+$Q24&gt;0.005,IF($V24&gt;0,"Part-paid, overdue","Part-paid"),IF($V24&gt;0,"Overdue","Outstanding"))))))))</f>
        <v/>
      </c>
      <c r="V24" s="36" t="str">
        <f aca="true">IF($A24="","",IF(AND(OR($T24="Issued",$T24="Disputed"),$S24&gt;0.005,$K24&lt;&gt;"",$K24&lt;TODAY()),TODAY()-$K24,0))</f>
        <v/>
      </c>
      <c r="W24" s="35" t="str">
        <f aca="false">IF($A24="","",IF(AND(OR($T24="Issued",$T24="Disputed"),$S24&gt;0.005),IF($V24&lt;=0,"Not yet due",IF($V24&lt;=30,"1 to 30 days",IF($V24&lt;=60,"31 to 60 days",IF($V24&lt;=90,"61 to 90 days","Over 90 days")))),""))</f>
        <v/>
      </c>
      <c r="X24" s="26"/>
      <c r="Y24" s="29"/>
      <c r="Z24" s="28"/>
      <c r="AA24" s="28"/>
    </row>
    <row r="25" customFormat="false" ht="15" hidden="false" customHeight="false" outlineLevel="0" collapsed="false">
      <c r="A25" s="26"/>
      <c r="B25" s="26"/>
      <c r="C25" s="27" t="str">
        <f aca="false">IF($B25="","",IFERROR(INDEX(Clients!$B$6:$B$105,MATCH($B25,Clients!$A$6:$A$105,0)),"Client not found"))</f>
        <v/>
      </c>
      <c r="D25" s="26"/>
      <c r="E25" s="26"/>
      <c r="F25" s="26"/>
      <c r="G25" s="26"/>
      <c r="H25" s="28"/>
      <c r="I25" s="29"/>
      <c r="J25" s="30" t="str">
        <f aca="false">IF($A25="","",IFERROR(IF(N(INDEX(Clients!$E$6:$E$105,MATCH($B25,Clients!$A$6:$A$105,0)))&gt;0,INDEX(Clients!$E$6:$E$105,MATCH($B25,Clients!$A$6:$A$105,0)),Dashboard!$B$6),Dashboard!$B$6))</f>
        <v/>
      </c>
      <c r="K25" s="31" t="str">
        <f aca="false">IF(OR($A25="",$I25=""),"",$I25+$J25)</f>
        <v/>
      </c>
      <c r="L25" s="26"/>
      <c r="M25" s="32"/>
      <c r="N25" s="33"/>
      <c r="O25" s="34" t="str">
        <f aca="false">IF($A25="","",N($M25)*N($N25))</f>
        <v/>
      </c>
      <c r="P25" s="34" t="str">
        <f aca="false">IF($A25="","",N($M25)+$O25)</f>
        <v/>
      </c>
      <c r="Q25" s="34" t="str">
        <f aca="false">IF($A25="","",SUMIFS('Credit Notes'!$F$6:$F$205,'Credit Notes'!$B$6:$B$205,$A25,'Credit Notes'!$H$6:$H$205,"Issued"))</f>
        <v/>
      </c>
      <c r="R25" s="34" t="str">
        <f aca="false">IF($A25="","",SUMIFS(Payments!$I$6:$I$505,Payments!$C$6:$C$505,$A25))</f>
        <v/>
      </c>
      <c r="S25" s="34" t="str">
        <f aca="false">IF($A25="","",IF($T25="Void",0,$P25-$Q25-$R25))</f>
        <v/>
      </c>
      <c r="T25" s="26"/>
      <c r="U25" s="35" t="str">
        <f aca="false">IF($A25="","",IF($T25="Void","Void",IF(OR($T25="",$T25="Draft"),"Draft",IF($T25="Disputed","Disputed",IF($S25&lt;-0.005,"Overpaid",IF($S25&lt;=0.005,"Paid",IF($R25+$Q25&gt;0.005,IF($V25&gt;0,"Part-paid, overdue","Part-paid"),IF($V25&gt;0,"Overdue","Outstanding"))))))))</f>
        <v/>
      </c>
      <c r="V25" s="36" t="str">
        <f aca="true">IF($A25="","",IF(AND(OR($T25="Issued",$T25="Disputed"),$S25&gt;0.005,$K25&lt;&gt;"",$K25&lt;TODAY()),TODAY()-$K25,0))</f>
        <v/>
      </c>
      <c r="W25" s="35" t="str">
        <f aca="false">IF($A25="","",IF(AND(OR($T25="Issued",$T25="Disputed"),$S25&gt;0.005),IF($V25&lt;=0,"Not yet due",IF($V25&lt;=30,"1 to 30 days",IF($V25&lt;=60,"31 to 60 days",IF($V25&lt;=90,"61 to 90 days","Over 90 days")))),""))</f>
        <v/>
      </c>
      <c r="X25" s="26"/>
      <c r="Y25" s="29"/>
      <c r="Z25" s="28"/>
      <c r="AA25" s="28"/>
    </row>
    <row r="26" customFormat="false" ht="15" hidden="false" customHeight="false" outlineLevel="0" collapsed="false">
      <c r="A26" s="26"/>
      <c r="B26" s="26"/>
      <c r="C26" s="27" t="str">
        <f aca="false">IF($B26="","",IFERROR(INDEX(Clients!$B$6:$B$105,MATCH($B26,Clients!$A$6:$A$105,0)),"Client not found"))</f>
        <v/>
      </c>
      <c r="D26" s="26"/>
      <c r="E26" s="26"/>
      <c r="F26" s="26"/>
      <c r="G26" s="26"/>
      <c r="H26" s="28"/>
      <c r="I26" s="29"/>
      <c r="J26" s="30" t="str">
        <f aca="false">IF($A26="","",IFERROR(IF(N(INDEX(Clients!$E$6:$E$105,MATCH($B26,Clients!$A$6:$A$105,0)))&gt;0,INDEX(Clients!$E$6:$E$105,MATCH($B26,Clients!$A$6:$A$105,0)),Dashboard!$B$6),Dashboard!$B$6))</f>
        <v/>
      </c>
      <c r="K26" s="31" t="str">
        <f aca="false">IF(OR($A26="",$I26=""),"",$I26+$J26)</f>
        <v/>
      </c>
      <c r="L26" s="26"/>
      <c r="M26" s="32"/>
      <c r="N26" s="33"/>
      <c r="O26" s="34" t="str">
        <f aca="false">IF($A26="","",N($M26)*N($N26))</f>
        <v/>
      </c>
      <c r="P26" s="34" t="str">
        <f aca="false">IF($A26="","",N($M26)+$O26)</f>
        <v/>
      </c>
      <c r="Q26" s="34" t="str">
        <f aca="false">IF($A26="","",SUMIFS('Credit Notes'!$F$6:$F$205,'Credit Notes'!$B$6:$B$205,$A26,'Credit Notes'!$H$6:$H$205,"Issued"))</f>
        <v/>
      </c>
      <c r="R26" s="34" t="str">
        <f aca="false">IF($A26="","",SUMIFS(Payments!$I$6:$I$505,Payments!$C$6:$C$505,$A26))</f>
        <v/>
      </c>
      <c r="S26" s="34" t="str">
        <f aca="false">IF($A26="","",IF($T26="Void",0,$P26-$Q26-$R26))</f>
        <v/>
      </c>
      <c r="T26" s="26"/>
      <c r="U26" s="35" t="str">
        <f aca="false">IF($A26="","",IF($T26="Void","Void",IF(OR($T26="",$T26="Draft"),"Draft",IF($T26="Disputed","Disputed",IF($S26&lt;-0.005,"Overpaid",IF($S26&lt;=0.005,"Paid",IF($R26+$Q26&gt;0.005,IF($V26&gt;0,"Part-paid, overdue","Part-paid"),IF($V26&gt;0,"Overdue","Outstanding"))))))))</f>
        <v/>
      </c>
      <c r="V26" s="36" t="str">
        <f aca="true">IF($A26="","",IF(AND(OR($T26="Issued",$T26="Disputed"),$S26&gt;0.005,$K26&lt;&gt;"",$K26&lt;TODAY()),TODAY()-$K26,0))</f>
        <v/>
      </c>
      <c r="W26" s="35" t="str">
        <f aca="false">IF($A26="","",IF(AND(OR($T26="Issued",$T26="Disputed"),$S26&gt;0.005),IF($V26&lt;=0,"Not yet due",IF($V26&lt;=30,"1 to 30 days",IF($V26&lt;=60,"31 to 60 days",IF($V26&lt;=90,"61 to 90 days","Over 90 days")))),""))</f>
        <v/>
      </c>
      <c r="X26" s="26"/>
      <c r="Y26" s="29"/>
      <c r="Z26" s="28"/>
      <c r="AA26" s="28"/>
    </row>
    <row r="27" customFormat="false" ht="15" hidden="false" customHeight="false" outlineLevel="0" collapsed="false">
      <c r="A27" s="26"/>
      <c r="B27" s="26"/>
      <c r="C27" s="27" t="str">
        <f aca="false">IF($B27="","",IFERROR(INDEX(Clients!$B$6:$B$105,MATCH($B27,Clients!$A$6:$A$105,0)),"Client not found"))</f>
        <v/>
      </c>
      <c r="D27" s="26"/>
      <c r="E27" s="26"/>
      <c r="F27" s="26"/>
      <c r="G27" s="26"/>
      <c r="H27" s="28"/>
      <c r="I27" s="29"/>
      <c r="J27" s="30" t="str">
        <f aca="false">IF($A27="","",IFERROR(IF(N(INDEX(Clients!$E$6:$E$105,MATCH($B27,Clients!$A$6:$A$105,0)))&gt;0,INDEX(Clients!$E$6:$E$105,MATCH($B27,Clients!$A$6:$A$105,0)),Dashboard!$B$6),Dashboard!$B$6))</f>
        <v/>
      </c>
      <c r="K27" s="31" t="str">
        <f aca="false">IF(OR($A27="",$I27=""),"",$I27+$J27)</f>
        <v/>
      </c>
      <c r="L27" s="26"/>
      <c r="M27" s="32"/>
      <c r="N27" s="33"/>
      <c r="O27" s="34" t="str">
        <f aca="false">IF($A27="","",N($M27)*N($N27))</f>
        <v/>
      </c>
      <c r="P27" s="34" t="str">
        <f aca="false">IF($A27="","",N($M27)+$O27)</f>
        <v/>
      </c>
      <c r="Q27" s="34" t="str">
        <f aca="false">IF($A27="","",SUMIFS('Credit Notes'!$F$6:$F$205,'Credit Notes'!$B$6:$B$205,$A27,'Credit Notes'!$H$6:$H$205,"Issued"))</f>
        <v/>
      </c>
      <c r="R27" s="34" t="str">
        <f aca="false">IF($A27="","",SUMIFS(Payments!$I$6:$I$505,Payments!$C$6:$C$505,$A27))</f>
        <v/>
      </c>
      <c r="S27" s="34" t="str">
        <f aca="false">IF($A27="","",IF($T27="Void",0,$P27-$Q27-$R27))</f>
        <v/>
      </c>
      <c r="T27" s="26"/>
      <c r="U27" s="35" t="str">
        <f aca="false">IF($A27="","",IF($T27="Void","Void",IF(OR($T27="",$T27="Draft"),"Draft",IF($T27="Disputed","Disputed",IF($S27&lt;-0.005,"Overpaid",IF($S27&lt;=0.005,"Paid",IF($R27+$Q27&gt;0.005,IF($V27&gt;0,"Part-paid, overdue","Part-paid"),IF($V27&gt;0,"Overdue","Outstanding"))))))))</f>
        <v/>
      </c>
      <c r="V27" s="36" t="str">
        <f aca="true">IF($A27="","",IF(AND(OR($T27="Issued",$T27="Disputed"),$S27&gt;0.005,$K27&lt;&gt;"",$K27&lt;TODAY()),TODAY()-$K27,0))</f>
        <v/>
      </c>
      <c r="W27" s="35" t="str">
        <f aca="false">IF($A27="","",IF(AND(OR($T27="Issued",$T27="Disputed"),$S27&gt;0.005),IF($V27&lt;=0,"Not yet due",IF($V27&lt;=30,"1 to 30 days",IF($V27&lt;=60,"31 to 60 days",IF($V27&lt;=90,"61 to 90 days","Over 90 days")))),""))</f>
        <v/>
      </c>
      <c r="X27" s="26"/>
      <c r="Y27" s="29"/>
      <c r="Z27" s="28"/>
      <c r="AA27" s="28"/>
    </row>
    <row r="28" customFormat="false" ht="15" hidden="false" customHeight="false" outlineLevel="0" collapsed="false">
      <c r="A28" s="26"/>
      <c r="B28" s="26"/>
      <c r="C28" s="27" t="str">
        <f aca="false">IF($B28="","",IFERROR(INDEX(Clients!$B$6:$B$105,MATCH($B28,Clients!$A$6:$A$105,0)),"Client not found"))</f>
        <v/>
      </c>
      <c r="D28" s="26"/>
      <c r="E28" s="26"/>
      <c r="F28" s="26"/>
      <c r="G28" s="26"/>
      <c r="H28" s="28"/>
      <c r="I28" s="29"/>
      <c r="J28" s="30" t="str">
        <f aca="false">IF($A28="","",IFERROR(IF(N(INDEX(Clients!$E$6:$E$105,MATCH($B28,Clients!$A$6:$A$105,0)))&gt;0,INDEX(Clients!$E$6:$E$105,MATCH($B28,Clients!$A$6:$A$105,0)),Dashboard!$B$6),Dashboard!$B$6))</f>
        <v/>
      </c>
      <c r="K28" s="31" t="str">
        <f aca="false">IF(OR($A28="",$I28=""),"",$I28+$J28)</f>
        <v/>
      </c>
      <c r="L28" s="26"/>
      <c r="M28" s="32"/>
      <c r="N28" s="33"/>
      <c r="O28" s="34" t="str">
        <f aca="false">IF($A28="","",N($M28)*N($N28))</f>
        <v/>
      </c>
      <c r="P28" s="34" t="str">
        <f aca="false">IF($A28="","",N($M28)+$O28)</f>
        <v/>
      </c>
      <c r="Q28" s="34" t="str">
        <f aca="false">IF($A28="","",SUMIFS('Credit Notes'!$F$6:$F$205,'Credit Notes'!$B$6:$B$205,$A28,'Credit Notes'!$H$6:$H$205,"Issued"))</f>
        <v/>
      </c>
      <c r="R28" s="34" t="str">
        <f aca="false">IF($A28="","",SUMIFS(Payments!$I$6:$I$505,Payments!$C$6:$C$505,$A28))</f>
        <v/>
      </c>
      <c r="S28" s="34" t="str">
        <f aca="false">IF($A28="","",IF($T28="Void",0,$P28-$Q28-$R28))</f>
        <v/>
      </c>
      <c r="T28" s="26"/>
      <c r="U28" s="35" t="str">
        <f aca="false">IF($A28="","",IF($T28="Void","Void",IF(OR($T28="",$T28="Draft"),"Draft",IF($T28="Disputed","Disputed",IF($S28&lt;-0.005,"Overpaid",IF($S28&lt;=0.005,"Paid",IF($R28+$Q28&gt;0.005,IF($V28&gt;0,"Part-paid, overdue","Part-paid"),IF($V28&gt;0,"Overdue","Outstanding"))))))))</f>
        <v/>
      </c>
      <c r="V28" s="36" t="str">
        <f aca="true">IF($A28="","",IF(AND(OR($T28="Issued",$T28="Disputed"),$S28&gt;0.005,$K28&lt;&gt;"",$K28&lt;TODAY()),TODAY()-$K28,0))</f>
        <v/>
      </c>
      <c r="W28" s="35" t="str">
        <f aca="false">IF($A28="","",IF(AND(OR($T28="Issued",$T28="Disputed"),$S28&gt;0.005),IF($V28&lt;=0,"Not yet due",IF($V28&lt;=30,"1 to 30 days",IF($V28&lt;=60,"31 to 60 days",IF($V28&lt;=90,"61 to 90 days","Over 90 days")))),""))</f>
        <v/>
      </c>
      <c r="X28" s="26"/>
      <c r="Y28" s="29"/>
      <c r="Z28" s="28"/>
      <c r="AA28" s="28"/>
    </row>
    <row r="29" customFormat="false" ht="15" hidden="false" customHeight="false" outlineLevel="0" collapsed="false">
      <c r="A29" s="26"/>
      <c r="B29" s="26"/>
      <c r="C29" s="27" t="str">
        <f aca="false">IF($B29="","",IFERROR(INDEX(Clients!$B$6:$B$105,MATCH($B29,Clients!$A$6:$A$105,0)),"Client not found"))</f>
        <v/>
      </c>
      <c r="D29" s="26"/>
      <c r="E29" s="26"/>
      <c r="F29" s="26"/>
      <c r="G29" s="26"/>
      <c r="H29" s="28"/>
      <c r="I29" s="29"/>
      <c r="J29" s="30" t="str">
        <f aca="false">IF($A29="","",IFERROR(IF(N(INDEX(Clients!$E$6:$E$105,MATCH($B29,Clients!$A$6:$A$105,0)))&gt;0,INDEX(Clients!$E$6:$E$105,MATCH($B29,Clients!$A$6:$A$105,0)),Dashboard!$B$6),Dashboard!$B$6))</f>
        <v/>
      </c>
      <c r="K29" s="31" t="str">
        <f aca="false">IF(OR($A29="",$I29=""),"",$I29+$J29)</f>
        <v/>
      </c>
      <c r="L29" s="26"/>
      <c r="M29" s="32"/>
      <c r="N29" s="33"/>
      <c r="O29" s="34" t="str">
        <f aca="false">IF($A29="","",N($M29)*N($N29))</f>
        <v/>
      </c>
      <c r="P29" s="34" t="str">
        <f aca="false">IF($A29="","",N($M29)+$O29)</f>
        <v/>
      </c>
      <c r="Q29" s="34" t="str">
        <f aca="false">IF($A29="","",SUMIFS('Credit Notes'!$F$6:$F$205,'Credit Notes'!$B$6:$B$205,$A29,'Credit Notes'!$H$6:$H$205,"Issued"))</f>
        <v/>
      </c>
      <c r="R29" s="34" t="str">
        <f aca="false">IF($A29="","",SUMIFS(Payments!$I$6:$I$505,Payments!$C$6:$C$505,$A29))</f>
        <v/>
      </c>
      <c r="S29" s="34" t="str">
        <f aca="false">IF($A29="","",IF($T29="Void",0,$P29-$Q29-$R29))</f>
        <v/>
      </c>
      <c r="T29" s="26"/>
      <c r="U29" s="35" t="str">
        <f aca="false">IF($A29="","",IF($T29="Void","Void",IF(OR($T29="",$T29="Draft"),"Draft",IF($T29="Disputed","Disputed",IF($S29&lt;-0.005,"Overpaid",IF($S29&lt;=0.005,"Paid",IF($R29+$Q29&gt;0.005,IF($V29&gt;0,"Part-paid, overdue","Part-paid"),IF($V29&gt;0,"Overdue","Outstanding"))))))))</f>
        <v/>
      </c>
      <c r="V29" s="36" t="str">
        <f aca="true">IF($A29="","",IF(AND(OR($T29="Issued",$T29="Disputed"),$S29&gt;0.005,$K29&lt;&gt;"",$K29&lt;TODAY()),TODAY()-$K29,0))</f>
        <v/>
      </c>
      <c r="W29" s="35" t="str">
        <f aca="false">IF($A29="","",IF(AND(OR($T29="Issued",$T29="Disputed"),$S29&gt;0.005),IF($V29&lt;=0,"Not yet due",IF($V29&lt;=30,"1 to 30 days",IF($V29&lt;=60,"31 to 60 days",IF($V29&lt;=90,"61 to 90 days","Over 90 days")))),""))</f>
        <v/>
      </c>
      <c r="X29" s="26"/>
      <c r="Y29" s="29"/>
      <c r="Z29" s="28"/>
      <c r="AA29" s="28"/>
    </row>
    <row r="30" customFormat="false" ht="15" hidden="false" customHeight="false" outlineLevel="0" collapsed="false">
      <c r="A30" s="26"/>
      <c r="B30" s="26"/>
      <c r="C30" s="27" t="str">
        <f aca="false">IF($B30="","",IFERROR(INDEX(Clients!$B$6:$B$105,MATCH($B30,Clients!$A$6:$A$105,0)),"Client not found"))</f>
        <v/>
      </c>
      <c r="D30" s="26"/>
      <c r="E30" s="26"/>
      <c r="F30" s="26"/>
      <c r="G30" s="26"/>
      <c r="H30" s="28"/>
      <c r="I30" s="29"/>
      <c r="J30" s="30" t="str">
        <f aca="false">IF($A30="","",IFERROR(IF(N(INDEX(Clients!$E$6:$E$105,MATCH($B30,Clients!$A$6:$A$105,0)))&gt;0,INDEX(Clients!$E$6:$E$105,MATCH($B30,Clients!$A$6:$A$105,0)),Dashboard!$B$6),Dashboard!$B$6))</f>
        <v/>
      </c>
      <c r="K30" s="31" t="str">
        <f aca="false">IF(OR($A30="",$I30=""),"",$I30+$J30)</f>
        <v/>
      </c>
      <c r="L30" s="26"/>
      <c r="M30" s="32"/>
      <c r="N30" s="33"/>
      <c r="O30" s="34" t="str">
        <f aca="false">IF($A30="","",N($M30)*N($N30))</f>
        <v/>
      </c>
      <c r="P30" s="34" t="str">
        <f aca="false">IF($A30="","",N($M30)+$O30)</f>
        <v/>
      </c>
      <c r="Q30" s="34" t="str">
        <f aca="false">IF($A30="","",SUMIFS('Credit Notes'!$F$6:$F$205,'Credit Notes'!$B$6:$B$205,$A30,'Credit Notes'!$H$6:$H$205,"Issued"))</f>
        <v/>
      </c>
      <c r="R30" s="34" t="str">
        <f aca="false">IF($A30="","",SUMIFS(Payments!$I$6:$I$505,Payments!$C$6:$C$505,$A30))</f>
        <v/>
      </c>
      <c r="S30" s="34" t="str">
        <f aca="false">IF($A30="","",IF($T30="Void",0,$P30-$Q30-$R30))</f>
        <v/>
      </c>
      <c r="T30" s="26"/>
      <c r="U30" s="35" t="str">
        <f aca="false">IF($A30="","",IF($T30="Void","Void",IF(OR($T30="",$T30="Draft"),"Draft",IF($T30="Disputed","Disputed",IF($S30&lt;-0.005,"Overpaid",IF($S30&lt;=0.005,"Paid",IF($R30+$Q30&gt;0.005,IF($V30&gt;0,"Part-paid, overdue","Part-paid"),IF($V30&gt;0,"Overdue","Outstanding"))))))))</f>
        <v/>
      </c>
      <c r="V30" s="36" t="str">
        <f aca="true">IF($A30="","",IF(AND(OR($T30="Issued",$T30="Disputed"),$S30&gt;0.005,$K30&lt;&gt;"",$K30&lt;TODAY()),TODAY()-$K30,0))</f>
        <v/>
      </c>
      <c r="W30" s="35" t="str">
        <f aca="false">IF($A30="","",IF(AND(OR($T30="Issued",$T30="Disputed"),$S30&gt;0.005),IF($V30&lt;=0,"Not yet due",IF($V30&lt;=30,"1 to 30 days",IF($V30&lt;=60,"31 to 60 days",IF($V30&lt;=90,"61 to 90 days","Over 90 days")))),""))</f>
        <v/>
      </c>
      <c r="X30" s="26"/>
      <c r="Y30" s="29"/>
      <c r="Z30" s="28"/>
      <c r="AA30" s="28"/>
    </row>
    <row r="31" customFormat="false" ht="15" hidden="false" customHeight="false" outlineLevel="0" collapsed="false">
      <c r="A31" s="26"/>
      <c r="B31" s="26"/>
      <c r="C31" s="27" t="str">
        <f aca="false">IF($B31="","",IFERROR(INDEX(Clients!$B$6:$B$105,MATCH($B31,Clients!$A$6:$A$105,0)),"Client not found"))</f>
        <v/>
      </c>
      <c r="D31" s="26"/>
      <c r="E31" s="26"/>
      <c r="F31" s="26"/>
      <c r="G31" s="26"/>
      <c r="H31" s="28"/>
      <c r="I31" s="29"/>
      <c r="J31" s="30" t="str">
        <f aca="false">IF($A31="","",IFERROR(IF(N(INDEX(Clients!$E$6:$E$105,MATCH($B31,Clients!$A$6:$A$105,0)))&gt;0,INDEX(Clients!$E$6:$E$105,MATCH($B31,Clients!$A$6:$A$105,0)),Dashboard!$B$6),Dashboard!$B$6))</f>
        <v/>
      </c>
      <c r="K31" s="31" t="str">
        <f aca="false">IF(OR($A31="",$I31=""),"",$I31+$J31)</f>
        <v/>
      </c>
      <c r="L31" s="26"/>
      <c r="M31" s="32"/>
      <c r="N31" s="33"/>
      <c r="O31" s="34" t="str">
        <f aca="false">IF($A31="","",N($M31)*N($N31))</f>
        <v/>
      </c>
      <c r="P31" s="34" t="str">
        <f aca="false">IF($A31="","",N($M31)+$O31)</f>
        <v/>
      </c>
      <c r="Q31" s="34" t="str">
        <f aca="false">IF($A31="","",SUMIFS('Credit Notes'!$F$6:$F$205,'Credit Notes'!$B$6:$B$205,$A31,'Credit Notes'!$H$6:$H$205,"Issued"))</f>
        <v/>
      </c>
      <c r="R31" s="34" t="str">
        <f aca="false">IF($A31="","",SUMIFS(Payments!$I$6:$I$505,Payments!$C$6:$C$505,$A31))</f>
        <v/>
      </c>
      <c r="S31" s="34" t="str">
        <f aca="false">IF($A31="","",IF($T31="Void",0,$P31-$Q31-$R31))</f>
        <v/>
      </c>
      <c r="T31" s="26"/>
      <c r="U31" s="35" t="str">
        <f aca="false">IF($A31="","",IF($T31="Void","Void",IF(OR($T31="",$T31="Draft"),"Draft",IF($T31="Disputed","Disputed",IF($S31&lt;-0.005,"Overpaid",IF($S31&lt;=0.005,"Paid",IF($R31+$Q31&gt;0.005,IF($V31&gt;0,"Part-paid, overdue","Part-paid"),IF($V31&gt;0,"Overdue","Outstanding"))))))))</f>
        <v/>
      </c>
      <c r="V31" s="36" t="str">
        <f aca="true">IF($A31="","",IF(AND(OR($T31="Issued",$T31="Disputed"),$S31&gt;0.005,$K31&lt;&gt;"",$K31&lt;TODAY()),TODAY()-$K31,0))</f>
        <v/>
      </c>
      <c r="W31" s="35" t="str">
        <f aca="false">IF($A31="","",IF(AND(OR($T31="Issued",$T31="Disputed"),$S31&gt;0.005),IF($V31&lt;=0,"Not yet due",IF($V31&lt;=30,"1 to 30 days",IF($V31&lt;=60,"31 to 60 days",IF($V31&lt;=90,"61 to 90 days","Over 90 days")))),""))</f>
        <v/>
      </c>
      <c r="X31" s="26"/>
      <c r="Y31" s="29"/>
      <c r="Z31" s="28"/>
      <c r="AA31" s="28"/>
    </row>
    <row r="32" customFormat="false" ht="15" hidden="false" customHeight="false" outlineLevel="0" collapsed="false">
      <c r="A32" s="26"/>
      <c r="B32" s="26"/>
      <c r="C32" s="27" t="str">
        <f aca="false">IF($B32="","",IFERROR(INDEX(Clients!$B$6:$B$105,MATCH($B32,Clients!$A$6:$A$105,0)),"Client not found"))</f>
        <v/>
      </c>
      <c r="D32" s="26"/>
      <c r="E32" s="26"/>
      <c r="F32" s="26"/>
      <c r="G32" s="26"/>
      <c r="H32" s="28"/>
      <c r="I32" s="29"/>
      <c r="J32" s="30" t="str">
        <f aca="false">IF($A32="","",IFERROR(IF(N(INDEX(Clients!$E$6:$E$105,MATCH($B32,Clients!$A$6:$A$105,0)))&gt;0,INDEX(Clients!$E$6:$E$105,MATCH($B32,Clients!$A$6:$A$105,0)),Dashboard!$B$6),Dashboard!$B$6))</f>
        <v/>
      </c>
      <c r="K32" s="31" t="str">
        <f aca="false">IF(OR($A32="",$I32=""),"",$I32+$J32)</f>
        <v/>
      </c>
      <c r="L32" s="26"/>
      <c r="M32" s="32"/>
      <c r="N32" s="33"/>
      <c r="O32" s="34" t="str">
        <f aca="false">IF($A32="","",N($M32)*N($N32))</f>
        <v/>
      </c>
      <c r="P32" s="34" t="str">
        <f aca="false">IF($A32="","",N($M32)+$O32)</f>
        <v/>
      </c>
      <c r="Q32" s="34" t="str">
        <f aca="false">IF($A32="","",SUMIFS('Credit Notes'!$F$6:$F$205,'Credit Notes'!$B$6:$B$205,$A32,'Credit Notes'!$H$6:$H$205,"Issued"))</f>
        <v/>
      </c>
      <c r="R32" s="34" t="str">
        <f aca="false">IF($A32="","",SUMIFS(Payments!$I$6:$I$505,Payments!$C$6:$C$505,$A32))</f>
        <v/>
      </c>
      <c r="S32" s="34" t="str">
        <f aca="false">IF($A32="","",IF($T32="Void",0,$P32-$Q32-$R32))</f>
        <v/>
      </c>
      <c r="T32" s="26"/>
      <c r="U32" s="35" t="str">
        <f aca="false">IF($A32="","",IF($T32="Void","Void",IF(OR($T32="",$T32="Draft"),"Draft",IF($T32="Disputed","Disputed",IF($S32&lt;-0.005,"Overpaid",IF($S32&lt;=0.005,"Paid",IF($R32+$Q32&gt;0.005,IF($V32&gt;0,"Part-paid, overdue","Part-paid"),IF($V32&gt;0,"Overdue","Outstanding"))))))))</f>
        <v/>
      </c>
      <c r="V32" s="36" t="str">
        <f aca="true">IF($A32="","",IF(AND(OR($T32="Issued",$T32="Disputed"),$S32&gt;0.005,$K32&lt;&gt;"",$K32&lt;TODAY()),TODAY()-$K32,0))</f>
        <v/>
      </c>
      <c r="W32" s="35" t="str">
        <f aca="false">IF($A32="","",IF(AND(OR($T32="Issued",$T32="Disputed"),$S32&gt;0.005),IF($V32&lt;=0,"Not yet due",IF($V32&lt;=30,"1 to 30 days",IF($V32&lt;=60,"31 to 60 days",IF($V32&lt;=90,"61 to 90 days","Over 90 days")))),""))</f>
        <v/>
      </c>
      <c r="X32" s="26"/>
      <c r="Y32" s="29"/>
      <c r="Z32" s="28"/>
      <c r="AA32" s="28"/>
    </row>
    <row r="33" customFormat="false" ht="15" hidden="false" customHeight="false" outlineLevel="0" collapsed="false">
      <c r="A33" s="26"/>
      <c r="B33" s="26"/>
      <c r="C33" s="27" t="str">
        <f aca="false">IF($B33="","",IFERROR(INDEX(Clients!$B$6:$B$105,MATCH($B33,Clients!$A$6:$A$105,0)),"Client not found"))</f>
        <v/>
      </c>
      <c r="D33" s="26"/>
      <c r="E33" s="26"/>
      <c r="F33" s="26"/>
      <c r="G33" s="26"/>
      <c r="H33" s="28"/>
      <c r="I33" s="29"/>
      <c r="J33" s="30" t="str">
        <f aca="false">IF($A33="","",IFERROR(IF(N(INDEX(Clients!$E$6:$E$105,MATCH($B33,Clients!$A$6:$A$105,0)))&gt;0,INDEX(Clients!$E$6:$E$105,MATCH($B33,Clients!$A$6:$A$105,0)),Dashboard!$B$6),Dashboard!$B$6))</f>
        <v/>
      </c>
      <c r="K33" s="31" t="str">
        <f aca="false">IF(OR($A33="",$I33=""),"",$I33+$J33)</f>
        <v/>
      </c>
      <c r="L33" s="26"/>
      <c r="M33" s="32"/>
      <c r="N33" s="33"/>
      <c r="O33" s="34" t="str">
        <f aca="false">IF($A33="","",N($M33)*N($N33))</f>
        <v/>
      </c>
      <c r="P33" s="34" t="str">
        <f aca="false">IF($A33="","",N($M33)+$O33)</f>
        <v/>
      </c>
      <c r="Q33" s="34" t="str">
        <f aca="false">IF($A33="","",SUMIFS('Credit Notes'!$F$6:$F$205,'Credit Notes'!$B$6:$B$205,$A33,'Credit Notes'!$H$6:$H$205,"Issued"))</f>
        <v/>
      </c>
      <c r="R33" s="34" t="str">
        <f aca="false">IF($A33="","",SUMIFS(Payments!$I$6:$I$505,Payments!$C$6:$C$505,$A33))</f>
        <v/>
      </c>
      <c r="S33" s="34" t="str">
        <f aca="false">IF($A33="","",IF($T33="Void",0,$P33-$Q33-$R33))</f>
        <v/>
      </c>
      <c r="T33" s="26"/>
      <c r="U33" s="35" t="str">
        <f aca="false">IF($A33="","",IF($T33="Void","Void",IF(OR($T33="",$T33="Draft"),"Draft",IF($T33="Disputed","Disputed",IF($S33&lt;-0.005,"Overpaid",IF($S33&lt;=0.005,"Paid",IF($R33+$Q33&gt;0.005,IF($V33&gt;0,"Part-paid, overdue","Part-paid"),IF($V33&gt;0,"Overdue","Outstanding"))))))))</f>
        <v/>
      </c>
      <c r="V33" s="36" t="str">
        <f aca="true">IF($A33="","",IF(AND(OR($T33="Issued",$T33="Disputed"),$S33&gt;0.005,$K33&lt;&gt;"",$K33&lt;TODAY()),TODAY()-$K33,0))</f>
        <v/>
      </c>
      <c r="W33" s="35" t="str">
        <f aca="false">IF($A33="","",IF(AND(OR($T33="Issued",$T33="Disputed"),$S33&gt;0.005),IF($V33&lt;=0,"Not yet due",IF($V33&lt;=30,"1 to 30 days",IF($V33&lt;=60,"31 to 60 days",IF($V33&lt;=90,"61 to 90 days","Over 90 days")))),""))</f>
        <v/>
      </c>
      <c r="X33" s="26"/>
      <c r="Y33" s="29"/>
      <c r="Z33" s="28"/>
      <c r="AA33" s="28"/>
    </row>
    <row r="34" customFormat="false" ht="15" hidden="false" customHeight="false" outlineLevel="0" collapsed="false">
      <c r="A34" s="26"/>
      <c r="B34" s="26"/>
      <c r="C34" s="27" t="str">
        <f aca="false">IF($B34="","",IFERROR(INDEX(Clients!$B$6:$B$105,MATCH($B34,Clients!$A$6:$A$105,0)),"Client not found"))</f>
        <v/>
      </c>
      <c r="D34" s="26"/>
      <c r="E34" s="26"/>
      <c r="F34" s="26"/>
      <c r="G34" s="26"/>
      <c r="H34" s="28"/>
      <c r="I34" s="29"/>
      <c r="J34" s="30" t="str">
        <f aca="false">IF($A34="","",IFERROR(IF(N(INDEX(Clients!$E$6:$E$105,MATCH($B34,Clients!$A$6:$A$105,0)))&gt;0,INDEX(Clients!$E$6:$E$105,MATCH($B34,Clients!$A$6:$A$105,0)),Dashboard!$B$6),Dashboard!$B$6))</f>
        <v/>
      </c>
      <c r="K34" s="31" t="str">
        <f aca="false">IF(OR($A34="",$I34=""),"",$I34+$J34)</f>
        <v/>
      </c>
      <c r="L34" s="26"/>
      <c r="M34" s="32"/>
      <c r="N34" s="33"/>
      <c r="O34" s="34" t="str">
        <f aca="false">IF($A34="","",N($M34)*N($N34))</f>
        <v/>
      </c>
      <c r="P34" s="34" t="str">
        <f aca="false">IF($A34="","",N($M34)+$O34)</f>
        <v/>
      </c>
      <c r="Q34" s="34" t="str">
        <f aca="false">IF($A34="","",SUMIFS('Credit Notes'!$F$6:$F$205,'Credit Notes'!$B$6:$B$205,$A34,'Credit Notes'!$H$6:$H$205,"Issued"))</f>
        <v/>
      </c>
      <c r="R34" s="34" t="str">
        <f aca="false">IF($A34="","",SUMIFS(Payments!$I$6:$I$505,Payments!$C$6:$C$505,$A34))</f>
        <v/>
      </c>
      <c r="S34" s="34" t="str">
        <f aca="false">IF($A34="","",IF($T34="Void",0,$P34-$Q34-$R34))</f>
        <v/>
      </c>
      <c r="T34" s="26"/>
      <c r="U34" s="35" t="str">
        <f aca="false">IF($A34="","",IF($T34="Void","Void",IF(OR($T34="",$T34="Draft"),"Draft",IF($T34="Disputed","Disputed",IF($S34&lt;-0.005,"Overpaid",IF($S34&lt;=0.005,"Paid",IF($R34+$Q34&gt;0.005,IF($V34&gt;0,"Part-paid, overdue","Part-paid"),IF($V34&gt;0,"Overdue","Outstanding"))))))))</f>
        <v/>
      </c>
      <c r="V34" s="36" t="str">
        <f aca="true">IF($A34="","",IF(AND(OR($T34="Issued",$T34="Disputed"),$S34&gt;0.005,$K34&lt;&gt;"",$K34&lt;TODAY()),TODAY()-$K34,0))</f>
        <v/>
      </c>
      <c r="W34" s="35" t="str">
        <f aca="false">IF($A34="","",IF(AND(OR($T34="Issued",$T34="Disputed"),$S34&gt;0.005),IF($V34&lt;=0,"Not yet due",IF($V34&lt;=30,"1 to 30 days",IF($V34&lt;=60,"31 to 60 days",IF($V34&lt;=90,"61 to 90 days","Over 90 days")))),""))</f>
        <v/>
      </c>
      <c r="X34" s="26"/>
      <c r="Y34" s="29"/>
      <c r="Z34" s="28"/>
      <c r="AA34" s="28"/>
    </row>
    <row r="35" customFormat="false" ht="15" hidden="false" customHeight="false" outlineLevel="0" collapsed="false">
      <c r="A35" s="26"/>
      <c r="B35" s="26"/>
      <c r="C35" s="27" t="str">
        <f aca="false">IF($B35="","",IFERROR(INDEX(Clients!$B$6:$B$105,MATCH($B35,Clients!$A$6:$A$105,0)),"Client not found"))</f>
        <v/>
      </c>
      <c r="D35" s="26"/>
      <c r="E35" s="26"/>
      <c r="F35" s="26"/>
      <c r="G35" s="26"/>
      <c r="H35" s="28"/>
      <c r="I35" s="29"/>
      <c r="J35" s="30" t="str">
        <f aca="false">IF($A35="","",IFERROR(IF(N(INDEX(Clients!$E$6:$E$105,MATCH($B35,Clients!$A$6:$A$105,0)))&gt;0,INDEX(Clients!$E$6:$E$105,MATCH($B35,Clients!$A$6:$A$105,0)),Dashboard!$B$6),Dashboard!$B$6))</f>
        <v/>
      </c>
      <c r="K35" s="31" t="str">
        <f aca="false">IF(OR($A35="",$I35=""),"",$I35+$J35)</f>
        <v/>
      </c>
      <c r="L35" s="26"/>
      <c r="M35" s="32"/>
      <c r="N35" s="33"/>
      <c r="O35" s="34" t="str">
        <f aca="false">IF($A35="","",N($M35)*N($N35))</f>
        <v/>
      </c>
      <c r="P35" s="34" t="str">
        <f aca="false">IF($A35="","",N($M35)+$O35)</f>
        <v/>
      </c>
      <c r="Q35" s="34" t="str">
        <f aca="false">IF($A35="","",SUMIFS('Credit Notes'!$F$6:$F$205,'Credit Notes'!$B$6:$B$205,$A35,'Credit Notes'!$H$6:$H$205,"Issued"))</f>
        <v/>
      </c>
      <c r="R35" s="34" t="str">
        <f aca="false">IF($A35="","",SUMIFS(Payments!$I$6:$I$505,Payments!$C$6:$C$505,$A35))</f>
        <v/>
      </c>
      <c r="S35" s="34" t="str">
        <f aca="false">IF($A35="","",IF($T35="Void",0,$P35-$Q35-$R35))</f>
        <v/>
      </c>
      <c r="T35" s="26"/>
      <c r="U35" s="35" t="str">
        <f aca="false">IF($A35="","",IF($T35="Void","Void",IF(OR($T35="",$T35="Draft"),"Draft",IF($T35="Disputed","Disputed",IF($S35&lt;-0.005,"Overpaid",IF($S35&lt;=0.005,"Paid",IF($R35+$Q35&gt;0.005,IF($V35&gt;0,"Part-paid, overdue","Part-paid"),IF($V35&gt;0,"Overdue","Outstanding"))))))))</f>
        <v/>
      </c>
      <c r="V35" s="36" t="str">
        <f aca="true">IF($A35="","",IF(AND(OR($T35="Issued",$T35="Disputed"),$S35&gt;0.005,$K35&lt;&gt;"",$K35&lt;TODAY()),TODAY()-$K35,0))</f>
        <v/>
      </c>
      <c r="W35" s="35" t="str">
        <f aca="false">IF($A35="","",IF(AND(OR($T35="Issued",$T35="Disputed"),$S35&gt;0.005),IF($V35&lt;=0,"Not yet due",IF($V35&lt;=30,"1 to 30 days",IF($V35&lt;=60,"31 to 60 days",IF($V35&lt;=90,"61 to 90 days","Over 90 days")))),""))</f>
        <v/>
      </c>
      <c r="X35" s="26"/>
      <c r="Y35" s="29"/>
      <c r="Z35" s="28"/>
      <c r="AA35" s="28"/>
    </row>
    <row r="36" customFormat="false" ht="15" hidden="false" customHeight="false" outlineLevel="0" collapsed="false">
      <c r="A36" s="26"/>
      <c r="B36" s="26"/>
      <c r="C36" s="27" t="str">
        <f aca="false">IF($B36="","",IFERROR(INDEX(Clients!$B$6:$B$105,MATCH($B36,Clients!$A$6:$A$105,0)),"Client not found"))</f>
        <v/>
      </c>
      <c r="D36" s="26"/>
      <c r="E36" s="26"/>
      <c r="F36" s="26"/>
      <c r="G36" s="26"/>
      <c r="H36" s="28"/>
      <c r="I36" s="29"/>
      <c r="J36" s="30" t="str">
        <f aca="false">IF($A36="","",IFERROR(IF(N(INDEX(Clients!$E$6:$E$105,MATCH($B36,Clients!$A$6:$A$105,0)))&gt;0,INDEX(Clients!$E$6:$E$105,MATCH($B36,Clients!$A$6:$A$105,0)),Dashboard!$B$6),Dashboard!$B$6))</f>
        <v/>
      </c>
      <c r="K36" s="31" t="str">
        <f aca="false">IF(OR($A36="",$I36=""),"",$I36+$J36)</f>
        <v/>
      </c>
      <c r="L36" s="26"/>
      <c r="M36" s="32"/>
      <c r="N36" s="33"/>
      <c r="O36" s="34" t="str">
        <f aca="false">IF($A36="","",N($M36)*N($N36))</f>
        <v/>
      </c>
      <c r="P36" s="34" t="str">
        <f aca="false">IF($A36="","",N($M36)+$O36)</f>
        <v/>
      </c>
      <c r="Q36" s="34" t="str">
        <f aca="false">IF($A36="","",SUMIFS('Credit Notes'!$F$6:$F$205,'Credit Notes'!$B$6:$B$205,$A36,'Credit Notes'!$H$6:$H$205,"Issued"))</f>
        <v/>
      </c>
      <c r="R36" s="34" t="str">
        <f aca="false">IF($A36="","",SUMIFS(Payments!$I$6:$I$505,Payments!$C$6:$C$505,$A36))</f>
        <v/>
      </c>
      <c r="S36" s="34" t="str">
        <f aca="false">IF($A36="","",IF($T36="Void",0,$P36-$Q36-$R36))</f>
        <v/>
      </c>
      <c r="T36" s="26"/>
      <c r="U36" s="35" t="str">
        <f aca="false">IF($A36="","",IF($T36="Void","Void",IF(OR($T36="",$T36="Draft"),"Draft",IF($T36="Disputed","Disputed",IF($S36&lt;-0.005,"Overpaid",IF($S36&lt;=0.005,"Paid",IF($R36+$Q36&gt;0.005,IF($V36&gt;0,"Part-paid, overdue","Part-paid"),IF($V36&gt;0,"Overdue","Outstanding"))))))))</f>
        <v/>
      </c>
      <c r="V36" s="36" t="str">
        <f aca="true">IF($A36="","",IF(AND(OR($T36="Issued",$T36="Disputed"),$S36&gt;0.005,$K36&lt;&gt;"",$K36&lt;TODAY()),TODAY()-$K36,0))</f>
        <v/>
      </c>
      <c r="W36" s="35" t="str">
        <f aca="false">IF($A36="","",IF(AND(OR($T36="Issued",$T36="Disputed"),$S36&gt;0.005),IF($V36&lt;=0,"Not yet due",IF($V36&lt;=30,"1 to 30 days",IF($V36&lt;=60,"31 to 60 days",IF($V36&lt;=90,"61 to 90 days","Over 90 days")))),""))</f>
        <v/>
      </c>
      <c r="X36" s="26"/>
      <c r="Y36" s="29"/>
      <c r="Z36" s="28"/>
      <c r="AA36" s="28"/>
    </row>
    <row r="37" customFormat="false" ht="15" hidden="false" customHeight="false" outlineLevel="0" collapsed="false">
      <c r="A37" s="26"/>
      <c r="B37" s="26"/>
      <c r="C37" s="27" t="str">
        <f aca="false">IF($B37="","",IFERROR(INDEX(Clients!$B$6:$B$105,MATCH($B37,Clients!$A$6:$A$105,0)),"Client not found"))</f>
        <v/>
      </c>
      <c r="D37" s="26"/>
      <c r="E37" s="26"/>
      <c r="F37" s="26"/>
      <c r="G37" s="26"/>
      <c r="H37" s="28"/>
      <c r="I37" s="29"/>
      <c r="J37" s="30" t="str">
        <f aca="false">IF($A37="","",IFERROR(IF(N(INDEX(Clients!$E$6:$E$105,MATCH($B37,Clients!$A$6:$A$105,0)))&gt;0,INDEX(Clients!$E$6:$E$105,MATCH($B37,Clients!$A$6:$A$105,0)),Dashboard!$B$6),Dashboard!$B$6))</f>
        <v/>
      </c>
      <c r="K37" s="31" t="str">
        <f aca="false">IF(OR($A37="",$I37=""),"",$I37+$J37)</f>
        <v/>
      </c>
      <c r="L37" s="26"/>
      <c r="M37" s="32"/>
      <c r="N37" s="33"/>
      <c r="O37" s="34" t="str">
        <f aca="false">IF($A37="","",N($M37)*N($N37))</f>
        <v/>
      </c>
      <c r="P37" s="34" t="str">
        <f aca="false">IF($A37="","",N($M37)+$O37)</f>
        <v/>
      </c>
      <c r="Q37" s="34" t="str">
        <f aca="false">IF($A37="","",SUMIFS('Credit Notes'!$F$6:$F$205,'Credit Notes'!$B$6:$B$205,$A37,'Credit Notes'!$H$6:$H$205,"Issued"))</f>
        <v/>
      </c>
      <c r="R37" s="34" t="str">
        <f aca="false">IF($A37="","",SUMIFS(Payments!$I$6:$I$505,Payments!$C$6:$C$505,$A37))</f>
        <v/>
      </c>
      <c r="S37" s="34" t="str">
        <f aca="false">IF($A37="","",IF($T37="Void",0,$P37-$Q37-$R37))</f>
        <v/>
      </c>
      <c r="T37" s="26"/>
      <c r="U37" s="35" t="str">
        <f aca="false">IF($A37="","",IF($T37="Void","Void",IF(OR($T37="",$T37="Draft"),"Draft",IF($T37="Disputed","Disputed",IF($S37&lt;-0.005,"Overpaid",IF($S37&lt;=0.005,"Paid",IF($R37+$Q37&gt;0.005,IF($V37&gt;0,"Part-paid, overdue","Part-paid"),IF($V37&gt;0,"Overdue","Outstanding"))))))))</f>
        <v/>
      </c>
      <c r="V37" s="36" t="str">
        <f aca="true">IF($A37="","",IF(AND(OR($T37="Issued",$T37="Disputed"),$S37&gt;0.005,$K37&lt;&gt;"",$K37&lt;TODAY()),TODAY()-$K37,0))</f>
        <v/>
      </c>
      <c r="W37" s="35" t="str">
        <f aca="false">IF($A37="","",IF(AND(OR($T37="Issued",$T37="Disputed"),$S37&gt;0.005),IF($V37&lt;=0,"Not yet due",IF($V37&lt;=30,"1 to 30 days",IF($V37&lt;=60,"31 to 60 days",IF($V37&lt;=90,"61 to 90 days","Over 90 days")))),""))</f>
        <v/>
      </c>
      <c r="X37" s="26"/>
      <c r="Y37" s="29"/>
      <c r="Z37" s="28"/>
      <c r="AA37" s="28"/>
    </row>
    <row r="38" customFormat="false" ht="15" hidden="false" customHeight="false" outlineLevel="0" collapsed="false">
      <c r="A38" s="26"/>
      <c r="B38" s="26"/>
      <c r="C38" s="27" t="str">
        <f aca="false">IF($B38="","",IFERROR(INDEX(Clients!$B$6:$B$105,MATCH($B38,Clients!$A$6:$A$105,0)),"Client not found"))</f>
        <v/>
      </c>
      <c r="D38" s="26"/>
      <c r="E38" s="26"/>
      <c r="F38" s="26"/>
      <c r="G38" s="26"/>
      <c r="H38" s="28"/>
      <c r="I38" s="29"/>
      <c r="J38" s="30" t="str">
        <f aca="false">IF($A38="","",IFERROR(IF(N(INDEX(Clients!$E$6:$E$105,MATCH($B38,Clients!$A$6:$A$105,0)))&gt;0,INDEX(Clients!$E$6:$E$105,MATCH($B38,Clients!$A$6:$A$105,0)),Dashboard!$B$6),Dashboard!$B$6))</f>
        <v/>
      </c>
      <c r="K38" s="31" t="str">
        <f aca="false">IF(OR($A38="",$I38=""),"",$I38+$J38)</f>
        <v/>
      </c>
      <c r="L38" s="26"/>
      <c r="M38" s="32"/>
      <c r="N38" s="33"/>
      <c r="O38" s="34" t="str">
        <f aca="false">IF($A38="","",N($M38)*N($N38))</f>
        <v/>
      </c>
      <c r="P38" s="34" t="str">
        <f aca="false">IF($A38="","",N($M38)+$O38)</f>
        <v/>
      </c>
      <c r="Q38" s="34" t="str">
        <f aca="false">IF($A38="","",SUMIFS('Credit Notes'!$F$6:$F$205,'Credit Notes'!$B$6:$B$205,$A38,'Credit Notes'!$H$6:$H$205,"Issued"))</f>
        <v/>
      </c>
      <c r="R38" s="34" t="str">
        <f aca="false">IF($A38="","",SUMIFS(Payments!$I$6:$I$505,Payments!$C$6:$C$505,$A38))</f>
        <v/>
      </c>
      <c r="S38" s="34" t="str">
        <f aca="false">IF($A38="","",IF($T38="Void",0,$P38-$Q38-$R38))</f>
        <v/>
      </c>
      <c r="T38" s="26"/>
      <c r="U38" s="35" t="str">
        <f aca="false">IF($A38="","",IF($T38="Void","Void",IF(OR($T38="",$T38="Draft"),"Draft",IF($T38="Disputed","Disputed",IF($S38&lt;-0.005,"Overpaid",IF($S38&lt;=0.005,"Paid",IF($R38+$Q38&gt;0.005,IF($V38&gt;0,"Part-paid, overdue","Part-paid"),IF($V38&gt;0,"Overdue","Outstanding"))))))))</f>
        <v/>
      </c>
      <c r="V38" s="36" t="str">
        <f aca="true">IF($A38="","",IF(AND(OR($T38="Issued",$T38="Disputed"),$S38&gt;0.005,$K38&lt;&gt;"",$K38&lt;TODAY()),TODAY()-$K38,0))</f>
        <v/>
      </c>
      <c r="W38" s="35" t="str">
        <f aca="false">IF($A38="","",IF(AND(OR($T38="Issued",$T38="Disputed"),$S38&gt;0.005),IF($V38&lt;=0,"Not yet due",IF($V38&lt;=30,"1 to 30 days",IF($V38&lt;=60,"31 to 60 days",IF($V38&lt;=90,"61 to 90 days","Over 90 days")))),""))</f>
        <v/>
      </c>
      <c r="X38" s="26"/>
      <c r="Y38" s="29"/>
      <c r="Z38" s="28"/>
      <c r="AA38" s="28"/>
    </row>
    <row r="39" customFormat="false" ht="15" hidden="false" customHeight="false" outlineLevel="0" collapsed="false">
      <c r="A39" s="26"/>
      <c r="B39" s="26"/>
      <c r="C39" s="27" t="str">
        <f aca="false">IF($B39="","",IFERROR(INDEX(Clients!$B$6:$B$105,MATCH($B39,Clients!$A$6:$A$105,0)),"Client not found"))</f>
        <v/>
      </c>
      <c r="D39" s="26"/>
      <c r="E39" s="26"/>
      <c r="F39" s="26"/>
      <c r="G39" s="26"/>
      <c r="H39" s="28"/>
      <c r="I39" s="29"/>
      <c r="J39" s="30" t="str">
        <f aca="false">IF($A39="","",IFERROR(IF(N(INDEX(Clients!$E$6:$E$105,MATCH($B39,Clients!$A$6:$A$105,0)))&gt;0,INDEX(Clients!$E$6:$E$105,MATCH($B39,Clients!$A$6:$A$105,0)),Dashboard!$B$6),Dashboard!$B$6))</f>
        <v/>
      </c>
      <c r="K39" s="31" t="str">
        <f aca="false">IF(OR($A39="",$I39=""),"",$I39+$J39)</f>
        <v/>
      </c>
      <c r="L39" s="26"/>
      <c r="M39" s="32"/>
      <c r="N39" s="33"/>
      <c r="O39" s="34" t="str">
        <f aca="false">IF($A39="","",N($M39)*N($N39))</f>
        <v/>
      </c>
      <c r="P39" s="34" t="str">
        <f aca="false">IF($A39="","",N($M39)+$O39)</f>
        <v/>
      </c>
      <c r="Q39" s="34" t="str">
        <f aca="false">IF($A39="","",SUMIFS('Credit Notes'!$F$6:$F$205,'Credit Notes'!$B$6:$B$205,$A39,'Credit Notes'!$H$6:$H$205,"Issued"))</f>
        <v/>
      </c>
      <c r="R39" s="34" t="str">
        <f aca="false">IF($A39="","",SUMIFS(Payments!$I$6:$I$505,Payments!$C$6:$C$505,$A39))</f>
        <v/>
      </c>
      <c r="S39" s="34" t="str">
        <f aca="false">IF($A39="","",IF($T39="Void",0,$P39-$Q39-$R39))</f>
        <v/>
      </c>
      <c r="T39" s="26"/>
      <c r="U39" s="35" t="str">
        <f aca="false">IF($A39="","",IF($T39="Void","Void",IF(OR($T39="",$T39="Draft"),"Draft",IF($T39="Disputed","Disputed",IF($S39&lt;-0.005,"Overpaid",IF($S39&lt;=0.005,"Paid",IF($R39+$Q39&gt;0.005,IF($V39&gt;0,"Part-paid, overdue","Part-paid"),IF($V39&gt;0,"Overdue","Outstanding"))))))))</f>
        <v/>
      </c>
      <c r="V39" s="36" t="str">
        <f aca="true">IF($A39="","",IF(AND(OR($T39="Issued",$T39="Disputed"),$S39&gt;0.005,$K39&lt;&gt;"",$K39&lt;TODAY()),TODAY()-$K39,0))</f>
        <v/>
      </c>
      <c r="W39" s="35" t="str">
        <f aca="false">IF($A39="","",IF(AND(OR($T39="Issued",$T39="Disputed"),$S39&gt;0.005),IF($V39&lt;=0,"Not yet due",IF($V39&lt;=30,"1 to 30 days",IF($V39&lt;=60,"31 to 60 days",IF($V39&lt;=90,"61 to 90 days","Over 90 days")))),""))</f>
        <v/>
      </c>
      <c r="X39" s="26"/>
      <c r="Y39" s="29"/>
      <c r="Z39" s="28"/>
      <c r="AA39" s="28"/>
    </row>
    <row r="40" customFormat="false" ht="15" hidden="false" customHeight="false" outlineLevel="0" collapsed="false">
      <c r="A40" s="26"/>
      <c r="B40" s="26"/>
      <c r="C40" s="27" t="str">
        <f aca="false">IF($B40="","",IFERROR(INDEX(Clients!$B$6:$B$105,MATCH($B40,Clients!$A$6:$A$105,0)),"Client not found"))</f>
        <v/>
      </c>
      <c r="D40" s="26"/>
      <c r="E40" s="26"/>
      <c r="F40" s="26"/>
      <c r="G40" s="26"/>
      <c r="H40" s="28"/>
      <c r="I40" s="29"/>
      <c r="J40" s="30" t="str">
        <f aca="false">IF($A40="","",IFERROR(IF(N(INDEX(Clients!$E$6:$E$105,MATCH($B40,Clients!$A$6:$A$105,0)))&gt;0,INDEX(Clients!$E$6:$E$105,MATCH($B40,Clients!$A$6:$A$105,0)),Dashboard!$B$6),Dashboard!$B$6))</f>
        <v/>
      </c>
      <c r="K40" s="31" t="str">
        <f aca="false">IF(OR($A40="",$I40=""),"",$I40+$J40)</f>
        <v/>
      </c>
      <c r="L40" s="26"/>
      <c r="M40" s="32"/>
      <c r="N40" s="33"/>
      <c r="O40" s="34" t="str">
        <f aca="false">IF($A40="","",N($M40)*N($N40))</f>
        <v/>
      </c>
      <c r="P40" s="34" t="str">
        <f aca="false">IF($A40="","",N($M40)+$O40)</f>
        <v/>
      </c>
      <c r="Q40" s="34" t="str">
        <f aca="false">IF($A40="","",SUMIFS('Credit Notes'!$F$6:$F$205,'Credit Notes'!$B$6:$B$205,$A40,'Credit Notes'!$H$6:$H$205,"Issued"))</f>
        <v/>
      </c>
      <c r="R40" s="34" t="str">
        <f aca="false">IF($A40="","",SUMIFS(Payments!$I$6:$I$505,Payments!$C$6:$C$505,$A40))</f>
        <v/>
      </c>
      <c r="S40" s="34" t="str">
        <f aca="false">IF($A40="","",IF($T40="Void",0,$P40-$Q40-$R40))</f>
        <v/>
      </c>
      <c r="T40" s="26"/>
      <c r="U40" s="35" t="str">
        <f aca="false">IF($A40="","",IF($T40="Void","Void",IF(OR($T40="",$T40="Draft"),"Draft",IF($T40="Disputed","Disputed",IF($S40&lt;-0.005,"Overpaid",IF($S40&lt;=0.005,"Paid",IF($R40+$Q40&gt;0.005,IF($V40&gt;0,"Part-paid, overdue","Part-paid"),IF($V40&gt;0,"Overdue","Outstanding"))))))))</f>
        <v/>
      </c>
      <c r="V40" s="36" t="str">
        <f aca="true">IF($A40="","",IF(AND(OR($T40="Issued",$T40="Disputed"),$S40&gt;0.005,$K40&lt;&gt;"",$K40&lt;TODAY()),TODAY()-$K40,0))</f>
        <v/>
      </c>
      <c r="W40" s="35" t="str">
        <f aca="false">IF($A40="","",IF(AND(OR($T40="Issued",$T40="Disputed"),$S40&gt;0.005),IF($V40&lt;=0,"Not yet due",IF($V40&lt;=30,"1 to 30 days",IF($V40&lt;=60,"31 to 60 days",IF($V40&lt;=90,"61 to 90 days","Over 90 days")))),""))</f>
        <v/>
      </c>
      <c r="X40" s="26"/>
      <c r="Y40" s="29"/>
      <c r="Z40" s="28"/>
      <c r="AA40" s="28"/>
    </row>
    <row r="41" customFormat="false" ht="15" hidden="false" customHeight="false" outlineLevel="0" collapsed="false">
      <c r="A41" s="26"/>
      <c r="B41" s="26"/>
      <c r="C41" s="27" t="str">
        <f aca="false">IF($B41="","",IFERROR(INDEX(Clients!$B$6:$B$105,MATCH($B41,Clients!$A$6:$A$105,0)),"Client not found"))</f>
        <v/>
      </c>
      <c r="D41" s="26"/>
      <c r="E41" s="26"/>
      <c r="F41" s="26"/>
      <c r="G41" s="26"/>
      <c r="H41" s="28"/>
      <c r="I41" s="29"/>
      <c r="J41" s="30" t="str">
        <f aca="false">IF($A41="","",IFERROR(IF(N(INDEX(Clients!$E$6:$E$105,MATCH($B41,Clients!$A$6:$A$105,0)))&gt;0,INDEX(Clients!$E$6:$E$105,MATCH($B41,Clients!$A$6:$A$105,0)),Dashboard!$B$6),Dashboard!$B$6))</f>
        <v/>
      </c>
      <c r="K41" s="31" t="str">
        <f aca="false">IF(OR($A41="",$I41=""),"",$I41+$J41)</f>
        <v/>
      </c>
      <c r="L41" s="26"/>
      <c r="M41" s="32"/>
      <c r="N41" s="33"/>
      <c r="O41" s="34" t="str">
        <f aca="false">IF($A41="","",N($M41)*N($N41))</f>
        <v/>
      </c>
      <c r="P41" s="34" t="str">
        <f aca="false">IF($A41="","",N($M41)+$O41)</f>
        <v/>
      </c>
      <c r="Q41" s="34" t="str">
        <f aca="false">IF($A41="","",SUMIFS('Credit Notes'!$F$6:$F$205,'Credit Notes'!$B$6:$B$205,$A41,'Credit Notes'!$H$6:$H$205,"Issued"))</f>
        <v/>
      </c>
      <c r="R41" s="34" t="str">
        <f aca="false">IF($A41="","",SUMIFS(Payments!$I$6:$I$505,Payments!$C$6:$C$505,$A41))</f>
        <v/>
      </c>
      <c r="S41" s="34" t="str">
        <f aca="false">IF($A41="","",IF($T41="Void",0,$P41-$Q41-$R41))</f>
        <v/>
      </c>
      <c r="T41" s="26"/>
      <c r="U41" s="35" t="str">
        <f aca="false">IF($A41="","",IF($T41="Void","Void",IF(OR($T41="",$T41="Draft"),"Draft",IF($T41="Disputed","Disputed",IF($S41&lt;-0.005,"Overpaid",IF($S41&lt;=0.005,"Paid",IF($R41+$Q41&gt;0.005,IF($V41&gt;0,"Part-paid, overdue","Part-paid"),IF($V41&gt;0,"Overdue","Outstanding"))))))))</f>
        <v/>
      </c>
      <c r="V41" s="36" t="str">
        <f aca="true">IF($A41="","",IF(AND(OR($T41="Issued",$T41="Disputed"),$S41&gt;0.005,$K41&lt;&gt;"",$K41&lt;TODAY()),TODAY()-$K41,0))</f>
        <v/>
      </c>
      <c r="W41" s="35" t="str">
        <f aca="false">IF($A41="","",IF(AND(OR($T41="Issued",$T41="Disputed"),$S41&gt;0.005),IF($V41&lt;=0,"Not yet due",IF($V41&lt;=30,"1 to 30 days",IF($V41&lt;=60,"31 to 60 days",IF($V41&lt;=90,"61 to 90 days","Over 90 days")))),""))</f>
        <v/>
      </c>
      <c r="X41" s="26"/>
      <c r="Y41" s="29"/>
      <c r="Z41" s="28"/>
      <c r="AA41" s="28"/>
    </row>
    <row r="42" customFormat="false" ht="15" hidden="false" customHeight="false" outlineLevel="0" collapsed="false">
      <c r="A42" s="26"/>
      <c r="B42" s="26"/>
      <c r="C42" s="27" t="str">
        <f aca="false">IF($B42="","",IFERROR(INDEX(Clients!$B$6:$B$105,MATCH($B42,Clients!$A$6:$A$105,0)),"Client not found"))</f>
        <v/>
      </c>
      <c r="D42" s="26"/>
      <c r="E42" s="26"/>
      <c r="F42" s="26"/>
      <c r="G42" s="26"/>
      <c r="H42" s="28"/>
      <c r="I42" s="29"/>
      <c r="J42" s="30" t="str">
        <f aca="false">IF($A42="","",IFERROR(IF(N(INDEX(Clients!$E$6:$E$105,MATCH($B42,Clients!$A$6:$A$105,0)))&gt;0,INDEX(Clients!$E$6:$E$105,MATCH($B42,Clients!$A$6:$A$105,0)),Dashboard!$B$6),Dashboard!$B$6))</f>
        <v/>
      </c>
      <c r="K42" s="31" t="str">
        <f aca="false">IF(OR($A42="",$I42=""),"",$I42+$J42)</f>
        <v/>
      </c>
      <c r="L42" s="26"/>
      <c r="M42" s="32"/>
      <c r="N42" s="33"/>
      <c r="O42" s="34" t="str">
        <f aca="false">IF($A42="","",N($M42)*N($N42))</f>
        <v/>
      </c>
      <c r="P42" s="34" t="str">
        <f aca="false">IF($A42="","",N($M42)+$O42)</f>
        <v/>
      </c>
      <c r="Q42" s="34" t="str">
        <f aca="false">IF($A42="","",SUMIFS('Credit Notes'!$F$6:$F$205,'Credit Notes'!$B$6:$B$205,$A42,'Credit Notes'!$H$6:$H$205,"Issued"))</f>
        <v/>
      </c>
      <c r="R42" s="34" t="str">
        <f aca="false">IF($A42="","",SUMIFS(Payments!$I$6:$I$505,Payments!$C$6:$C$505,$A42))</f>
        <v/>
      </c>
      <c r="S42" s="34" t="str">
        <f aca="false">IF($A42="","",IF($T42="Void",0,$P42-$Q42-$R42))</f>
        <v/>
      </c>
      <c r="T42" s="26"/>
      <c r="U42" s="35" t="str">
        <f aca="false">IF($A42="","",IF($T42="Void","Void",IF(OR($T42="",$T42="Draft"),"Draft",IF($T42="Disputed","Disputed",IF($S42&lt;-0.005,"Overpaid",IF($S42&lt;=0.005,"Paid",IF($R42+$Q42&gt;0.005,IF($V42&gt;0,"Part-paid, overdue","Part-paid"),IF($V42&gt;0,"Overdue","Outstanding"))))))))</f>
        <v/>
      </c>
      <c r="V42" s="36" t="str">
        <f aca="true">IF($A42="","",IF(AND(OR($T42="Issued",$T42="Disputed"),$S42&gt;0.005,$K42&lt;&gt;"",$K42&lt;TODAY()),TODAY()-$K42,0))</f>
        <v/>
      </c>
      <c r="W42" s="35" t="str">
        <f aca="false">IF($A42="","",IF(AND(OR($T42="Issued",$T42="Disputed"),$S42&gt;0.005),IF($V42&lt;=0,"Not yet due",IF($V42&lt;=30,"1 to 30 days",IF($V42&lt;=60,"31 to 60 days",IF($V42&lt;=90,"61 to 90 days","Over 90 days")))),""))</f>
        <v/>
      </c>
      <c r="X42" s="26"/>
      <c r="Y42" s="29"/>
      <c r="Z42" s="28"/>
      <c r="AA42" s="28"/>
    </row>
    <row r="43" customFormat="false" ht="15" hidden="false" customHeight="false" outlineLevel="0" collapsed="false">
      <c r="A43" s="26"/>
      <c r="B43" s="26"/>
      <c r="C43" s="27" t="str">
        <f aca="false">IF($B43="","",IFERROR(INDEX(Clients!$B$6:$B$105,MATCH($B43,Clients!$A$6:$A$105,0)),"Client not found"))</f>
        <v/>
      </c>
      <c r="D43" s="26"/>
      <c r="E43" s="26"/>
      <c r="F43" s="26"/>
      <c r="G43" s="26"/>
      <c r="H43" s="28"/>
      <c r="I43" s="29"/>
      <c r="J43" s="30" t="str">
        <f aca="false">IF($A43="","",IFERROR(IF(N(INDEX(Clients!$E$6:$E$105,MATCH($B43,Clients!$A$6:$A$105,0)))&gt;0,INDEX(Clients!$E$6:$E$105,MATCH($B43,Clients!$A$6:$A$105,0)),Dashboard!$B$6),Dashboard!$B$6))</f>
        <v/>
      </c>
      <c r="K43" s="31" t="str">
        <f aca="false">IF(OR($A43="",$I43=""),"",$I43+$J43)</f>
        <v/>
      </c>
      <c r="L43" s="26"/>
      <c r="M43" s="32"/>
      <c r="N43" s="33"/>
      <c r="O43" s="34" t="str">
        <f aca="false">IF($A43="","",N($M43)*N($N43))</f>
        <v/>
      </c>
      <c r="P43" s="34" t="str">
        <f aca="false">IF($A43="","",N($M43)+$O43)</f>
        <v/>
      </c>
      <c r="Q43" s="34" t="str">
        <f aca="false">IF($A43="","",SUMIFS('Credit Notes'!$F$6:$F$205,'Credit Notes'!$B$6:$B$205,$A43,'Credit Notes'!$H$6:$H$205,"Issued"))</f>
        <v/>
      </c>
      <c r="R43" s="34" t="str">
        <f aca="false">IF($A43="","",SUMIFS(Payments!$I$6:$I$505,Payments!$C$6:$C$505,$A43))</f>
        <v/>
      </c>
      <c r="S43" s="34" t="str">
        <f aca="false">IF($A43="","",IF($T43="Void",0,$P43-$Q43-$R43))</f>
        <v/>
      </c>
      <c r="T43" s="26"/>
      <c r="U43" s="35" t="str">
        <f aca="false">IF($A43="","",IF($T43="Void","Void",IF(OR($T43="",$T43="Draft"),"Draft",IF($T43="Disputed","Disputed",IF($S43&lt;-0.005,"Overpaid",IF($S43&lt;=0.005,"Paid",IF($R43+$Q43&gt;0.005,IF($V43&gt;0,"Part-paid, overdue","Part-paid"),IF($V43&gt;0,"Overdue","Outstanding"))))))))</f>
        <v/>
      </c>
      <c r="V43" s="36" t="str">
        <f aca="true">IF($A43="","",IF(AND(OR($T43="Issued",$T43="Disputed"),$S43&gt;0.005,$K43&lt;&gt;"",$K43&lt;TODAY()),TODAY()-$K43,0))</f>
        <v/>
      </c>
      <c r="W43" s="35" t="str">
        <f aca="false">IF($A43="","",IF(AND(OR($T43="Issued",$T43="Disputed"),$S43&gt;0.005),IF($V43&lt;=0,"Not yet due",IF($V43&lt;=30,"1 to 30 days",IF($V43&lt;=60,"31 to 60 days",IF($V43&lt;=90,"61 to 90 days","Over 90 days")))),""))</f>
        <v/>
      </c>
      <c r="X43" s="26"/>
      <c r="Y43" s="29"/>
      <c r="Z43" s="28"/>
      <c r="AA43" s="28"/>
    </row>
    <row r="44" customFormat="false" ht="15" hidden="false" customHeight="false" outlineLevel="0" collapsed="false">
      <c r="A44" s="26"/>
      <c r="B44" s="26"/>
      <c r="C44" s="27" t="str">
        <f aca="false">IF($B44="","",IFERROR(INDEX(Clients!$B$6:$B$105,MATCH($B44,Clients!$A$6:$A$105,0)),"Client not found"))</f>
        <v/>
      </c>
      <c r="D44" s="26"/>
      <c r="E44" s="26"/>
      <c r="F44" s="26"/>
      <c r="G44" s="26"/>
      <c r="H44" s="28"/>
      <c r="I44" s="29"/>
      <c r="J44" s="30" t="str">
        <f aca="false">IF($A44="","",IFERROR(IF(N(INDEX(Clients!$E$6:$E$105,MATCH($B44,Clients!$A$6:$A$105,0)))&gt;0,INDEX(Clients!$E$6:$E$105,MATCH($B44,Clients!$A$6:$A$105,0)),Dashboard!$B$6),Dashboard!$B$6))</f>
        <v/>
      </c>
      <c r="K44" s="31" t="str">
        <f aca="false">IF(OR($A44="",$I44=""),"",$I44+$J44)</f>
        <v/>
      </c>
      <c r="L44" s="26"/>
      <c r="M44" s="32"/>
      <c r="N44" s="33"/>
      <c r="O44" s="34" t="str">
        <f aca="false">IF($A44="","",N($M44)*N($N44))</f>
        <v/>
      </c>
      <c r="P44" s="34" t="str">
        <f aca="false">IF($A44="","",N($M44)+$O44)</f>
        <v/>
      </c>
      <c r="Q44" s="34" t="str">
        <f aca="false">IF($A44="","",SUMIFS('Credit Notes'!$F$6:$F$205,'Credit Notes'!$B$6:$B$205,$A44,'Credit Notes'!$H$6:$H$205,"Issued"))</f>
        <v/>
      </c>
      <c r="R44" s="34" t="str">
        <f aca="false">IF($A44="","",SUMIFS(Payments!$I$6:$I$505,Payments!$C$6:$C$505,$A44))</f>
        <v/>
      </c>
      <c r="S44" s="34" t="str">
        <f aca="false">IF($A44="","",IF($T44="Void",0,$P44-$Q44-$R44))</f>
        <v/>
      </c>
      <c r="T44" s="26"/>
      <c r="U44" s="35" t="str">
        <f aca="false">IF($A44="","",IF($T44="Void","Void",IF(OR($T44="",$T44="Draft"),"Draft",IF($T44="Disputed","Disputed",IF($S44&lt;-0.005,"Overpaid",IF($S44&lt;=0.005,"Paid",IF($R44+$Q44&gt;0.005,IF($V44&gt;0,"Part-paid, overdue","Part-paid"),IF($V44&gt;0,"Overdue","Outstanding"))))))))</f>
        <v/>
      </c>
      <c r="V44" s="36" t="str">
        <f aca="true">IF($A44="","",IF(AND(OR($T44="Issued",$T44="Disputed"),$S44&gt;0.005,$K44&lt;&gt;"",$K44&lt;TODAY()),TODAY()-$K44,0))</f>
        <v/>
      </c>
      <c r="W44" s="35" t="str">
        <f aca="false">IF($A44="","",IF(AND(OR($T44="Issued",$T44="Disputed"),$S44&gt;0.005),IF($V44&lt;=0,"Not yet due",IF($V44&lt;=30,"1 to 30 days",IF($V44&lt;=60,"31 to 60 days",IF($V44&lt;=90,"61 to 90 days","Over 90 days")))),""))</f>
        <v/>
      </c>
      <c r="X44" s="26"/>
      <c r="Y44" s="29"/>
      <c r="Z44" s="28"/>
      <c r="AA44" s="28"/>
    </row>
    <row r="45" customFormat="false" ht="15" hidden="false" customHeight="false" outlineLevel="0" collapsed="false">
      <c r="A45" s="26"/>
      <c r="B45" s="26"/>
      <c r="C45" s="27" t="str">
        <f aca="false">IF($B45="","",IFERROR(INDEX(Clients!$B$6:$B$105,MATCH($B45,Clients!$A$6:$A$105,0)),"Client not found"))</f>
        <v/>
      </c>
      <c r="D45" s="26"/>
      <c r="E45" s="26"/>
      <c r="F45" s="26"/>
      <c r="G45" s="26"/>
      <c r="H45" s="28"/>
      <c r="I45" s="29"/>
      <c r="J45" s="30" t="str">
        <f aca="false">IF($A45="","",IFERROR(IF(N(INDEX(Clients!$E$6:$E$105,MATCH($B45,Clients!$A$6:$A$105,0)))&gt;0,INDEX(Clients!$E$6:$E$105,MATCH($B45,Clients!$A$6:$A$105,0)),Dashboard!$B$6),Dashboard!$B$6))</f>
        <v/>
      </c>
      <c r="K45" s="31" t="str">
        <f aca="false">IF(OR($A45="",$I45=""),"",$I45+$J45)</f>
        <v/>
      </c>
      <c r="L45" s="26"/>
      <c r="M45" s="32"/>
      <c r="N45" s="33"/>
      <c r="O45" s="34" t="str">
        <f aca="false">IF($A45="","",N($M45)*N($N45))</f>
        <v/>
      </c>
      <c r="P45" s="34" t="str">
        <f aca="false">IF($A45="","",N($M45)+$O45)</f>
        <v/>
      </c>
      <c r="Q45" s="34" t="str">
        <f aca="false">IF($A45="","",SUMIFS('Credit Notes'!$F$6:$F$205,'Credit Notes'!$B$6:$B$205,$A45,'Credit Notes'!$H$6:$H$205,"Issued"))</f>
        <v/>
      </c>
      <c r="R45" s="34" t="str">
        <f aca="false">IF($A45="","",SUMIFS(Payments!$I$6:$I$505,Payments!$C$6:$C$505,$A45))</f>
        <v/>
      </c>
      <c r="S45" s="34" t="str">
        <f aca="false">IF($A45="","",IF($T45="Void",0,$P45-$Q45-$R45))</f>
        <v/>
      </c>
      <c r="T45" s="26"/>
      <c r="U45" s="35" t="str">
        <f aca="false">IF($A45="","",IF($T45="Void","Void",IF(OR($T45="",$T45="Draft"),"Draft",IF($T45="Disputed","Disputed",IF($S45&lt;-0.005,"Overpaid",IF($S45&lt;=0.005,"Paid",IF($R45+$Q45&gt;0.005,IF($V45&gt;0,"Part-paid, overdue","Part-paid"),IF($V45&gt;0,"Overdue","Outstanding"))))))))</f>
        <v/>
      </c>
      <c r="V45" s="36" t="str">
        <f aca="true">IF($A45="","",IF(AND(OR($T45="Issued",$T45="Disputed"),$S45&gt;0.005,$K45&lt;&gt;"",$K45&lt;TODAY()),TODAY()-$K45,0))</f>
        <v/>
      </c>
      <c r="W45" s="35" t="str">
        <f aca="false">IF($A45="","",IF(AND(OR($T45="Issued",$T45="Disputed"),$S45&gt;0.005),IF($V45&lt;=0,"Not yet due",IF($V45&lt;=30,"1 to 30 days",IF($V45&lt;=60,"31 to 60 days",IF($V45&lt;=90,"61 to 90 days","Over 90 days")))),""))</f>
        <v/>
      </c>
      <c r="X45" s="26"/>
      <c r="Y45" s="29"/>
      <c r="Z45" s="28"/>
      <c r="AA45" s="28"/>
    </row>
    <row r="46" customFormat="false" ht="15" hidden="false" customHeight="false" outlineLevel="0" collapsed="false">
      <c r="A46" s="26"/>
      <c r="B46" s="26"/>
      <c r="C46" s="27" t="str">
        <f aca="false">IF($B46="","",IFERROR(INDEX(Clients!$B$6:$B$105,MATCH($B46,Clients!$A$6:$A$105,0)),"Client not found"))</f>
        <v/>
      </c>
      <c r="D46" s="26"/>
      <c r="E46" s="26"/>
      <c r="F46" s="26"/>
      <c r="G46" s="26"/>
      <c r="H46" s="28"/>
      <c r="I46" s="29"/>
      <c r="J46" s="30" t="str">
        <f aca="false">IF($A46="","",IFERROR(IF(N(INDEX(Clients!$E$6:$E$105,MATCH($B46,Clients!$A$6:$A$105,0)))&gt;0,INDEX(Clients!$E$6:$E$105,MATCH($B46,Clients!$A$6:$A$105,0)),Dashboard!$B$6),Dashboard!$B$6))</f>
        <v/>
      </c>
      <c r="K46" s="31" t="str">
        <f aca="false">IF(OR($A46="",$I46=""),"",$I46+$J46)</f>
        <v/>
      </c>
      <c r="L46" s="26"/>
      <c r="M46" s="32"/>
      <c r="N46" s="33"/>
      <c r="O46" s="34" t="str">
        <f aca="false">IF($A46="","",N($M46)*N($N46))</f>
        <v/>
      </c>
      <c r="P46" s="34" t="str">
        <f aca="false">IF($A46="","",N($M46)+$O46)</f>
        <v/>
      </c>
      <c r="Q46" s="34" t="str">
        <f aca="false">IF($A46="","",SUMIFS('Credit Notes'!$F$6:$F$205,'Credit Notes'!$B$6:$B$205,$A46,'Credit Notes'!$H$6:$H$205,"Issued"))</f>
        <v/>
      </c>
      <c r="R46" s="34" t="str">
        <f aca="false">IF($A46="","",SUMIFS(Payments!$I$6:$I$505,Payments!$C$6:$C$505,$A46))</f>
        <v/>
      </c>
      <c r="S46" s="34" t="str">
        <f aca="false">IF($A46="","",IF($T46="Void",0,$P46-$Q46-$R46))</f>
        <v/>
      </c>
      <c r="T46" s="26"/>
      <c r="U46" s="35" t="str">
        <f aca="false">IF($A46="","",IF($T46="Void","Void",IF(OR($T46="",$T46="Draft"),"Draft",IF($T46="Disputed","Disputed",IF($S46&lt;-0.005,"Overpaid",IF($S46&lt;=0.005,"Paid",IF($R46+$Q46&gt;0.005,IF($V46&gt;0,"Part-paid, overdue","Part-paid"),IF($V46&gt;0,"Overdue","Outstanding"))))))))</f>
        <v/>
      </c>
      <c r="V46" s="36" t="str">
        <f aca="true">IF($A46="","",IF(AND(OR($T46="Issued",$T46="Disputed"),$S46&gt;0.005,$K46&lt;&gt;"",$K46&lt;TODAY()),TODAY()-$K46,0))</f>
        <v/>
      </c>
      <c r="W46" s="35" t="str">
        <f aca="false">IF($A46="","",IF(AND(OR($T46="Issued",$T46="Disputed"),$S46&gt;0.005),IF($V46&lt;=0,"Not yet due",IF($V46&lt;=30,"1 to 30 days",IF($V46&lt;=60,"31 to 60 days",IF($V46&lt;=90,"61 to 90 days","Over 90 days")))),""))</f>
        <v/>
      </c>
      <c r="X46" s="26"/>
      <c r="Y46" s="29"/>
      <c r="Z46" s="28"/>
      <c r="AA46" s="28"/>
    </row>
    <row r="47" customFormat="false" ht="15" hidden="false" customHeight="false" outlineLevel="0" collapsed="false">
      <c r="A47" s="26"/>
      <c r="B47" s="26"/>
      <c r="C47" s="27" t="str">
        <f aca="false">IF($B47="","",IFERROR(INDEX(Clients!$B$6:$B$105,MATCH($B47,Clients!$A$6:$A$105,0)),"Client not found"))</f>
        <v/>
      </c>
      <c r="D47" s="26"/>
      <c r="E47" s="26"/>
      <c r="F47" s="26"/>
      <c r="G47" s="26"/>
      <c r="H47" s="28"/>
      <c r="I47" s="29"/>
      <c r="J47" s="30" t="str">
        <f aca="false">IF($A47="","",IFERROR(IF(N(INDEX(Clients!$E$6:$E$105,MATCH($B47,Clients!$A$6:$A$105,0)))&gt;0,INDEX(Clients!$E$6:$E$105,MATCH($B47,Clients!$A$6:$A$105,0)),Dashboard!$B$6),Dashboard!$B$6))</f>
        <v/>
      </c>
      <c r="K47" s="31" t="str">
        <f aca="false">IF(OR($A47="",$I47=""),"",$I47+$J47)</f>
        <v/>
      </c>
      <c r="L47" s="26"/>
      <c r="M47" s="32"/>
      <c r="N47" s="33"/>
      <c r="O47" s="34" t="str">
        <f aca="false">IF($A47="","",N($M47)*N($N47))</f>
        <v/>
      </c>
      <c r="P47" s="34" t="str">
        <f aca="false">IF($A47="","",N($M47)+$O47)</f>
        <v/>
      </c>
      <c r="Q47" s="34" t="str">
        <f aca="false">IF($A47="","",SUMIFS('Credit Notes'!$F$6:$F$205,'Credit Notes'!$B$6:$B$205,$A47,'Credit Notes'!$H$6:$H$205,"Issued"))</f>
        <v/>
      </c>
      <c r="R47" s="34" t="str">
        <f aca="false">IF($A47="","",SUMIFS(Payments!$I$6:$I$505,Payments!$C$6:$C$505,$A47))</f>
        <v/>
      </c>
      <c r="S47" s="34" t="str">
        <f aca="false">IF($A47="","",IF($T47="Void",0,$P47-$Q47-$R47))</f>
        <v/>
      </c>
      <c r="T47" s="26"/>
      <c r="U47" s="35" t="str">
        <f aca="false">IF($A47="","",IF($T47="Void","Void",IF(OR($T47="",$T47="Draft"),"Draft",IF($T47="Disputed","Disputed",IF($S47&lt;-0.005,"Overpaid",IF($S47&lt;=0.005,"Paid",IF($R47+$Q47&gt;0.005,IF($V47&gt;0,"Part-paid, overdue","Part-paid"),IF($V47&gt;0,"Overdue","Outstanding"))))))))</f>
        <v/>
      </c>
      <c r="V47" s="36" t="str">
        <f aca="true">IF($A47="","",IF(AND(OR($T47="Issued",$T47="Disputed"),$S47&gt;0.005,$K47&lt;&gt;"",$K47&lt;TODAY()),TODAY()-$K47,0))</f>
        <v/>
      </c>
      <c r="W47" s="35" t="str">
        <f aca="false">IF($A47="","",IF(AND(OR($T47="Issued",$T47="Disputed"),$S47&gt;0.005),IF($V47&lt;=0,"Not yet due",IF($V47&lt;=30,"1 to 30 days",IF($V47&lt;=60,"31 to 60 days",IF($V47&lt;=90,"61 to 90 days","Over 90 days")))),""))</f>
        <v/>
      </c>
      <c r="X47" s="26"/>
      <c r="Y47" s="29"/>
      <c r="Z47" s="28"/>
      <c r="AA47" s="28"/>
    </row>
    <row r="48" customFormat="false" ht="15" hidden="false" customHeight="false" outlineLevel="0" collapsed="false">
      <c r="A48" s="26"/>
      <c r="B48" s="26"/>
      <c r="C48" s="27" t="str">
        <f aca="false">IF($B48="","",IFERROR(INDEX(Clients!$B$6:$B$105,MATCH($B48,Clients!$A$6:$A$105,0)),"Client not found"))</f>
        <v/>
      </c>
      <c r="D48" s="26"/>
      <c r="E48" s="26"/>
      <c r="F48" s="26"/>
      <c r="G48" s="26"/>
      <c r="H48" s="28"/>
      <c r="I48" s="29"/>
      <c r="J48" s="30" t="str">
        <f aca="false">IF($A48="","",IFERROR(IF(N(INDEX(Clients!$E$6:$E$105,MATCH($B48,Clients!$A$6:$A$105,0)))&gt;0,INDEX(Clients!$E$6:$E$105,MATCH($B48,Clients!$A$6:$A$105,0)),Dashboard!$B$6),Dashboard!$B$6))</f>
        <v/>
      </c>
      <c r="K48" s="31" t="str">
        <f aca="false">IF(OR($A48="",$I48=""),"",$I48+$J48)</f>
        <v/>
      </c>
      <c r="L48" s="26"/>
      <c r="M48" s="32"/>
      <c r="N48" s="33"/>
      <c r="O48" s="34" t="str">
        <f aca="false">IF($A48="","",N($M48)*N($N48))</f>
        <v/>
      </c>
      <c r="P48" s="34" t="str">
        <f aca="false">IF($A48="","",N($M48)+$O48)</f>
        <v/>
      </c>
      <c r="Q48" s="34" t="str">
        <f aca="false">IF($A48="","",SUMIFS('Credit Notes'!$F$6:$F$205,'Credit Notes'!$B$6:$B$205,$A48,'Credit Notes'!$H$6:$H$205,"Issued"))</f>
        <v/>
      </c>
      <c r="R48" s="34" t="str">
        <f aca="false">IF($A48="","",SUMIFS(Payments!$I$6:$I$505,Payments!$C$6:$C$505,$A48))</f>
        <v/>
      </c>
      <c r="S48" s="34" t="str">
        <f aca="false">IF($A48="","",IF($T48="Void",0,$P48-$Q48-$R48))</f>
        <v/>
      </c>
      <c r="T48" s="26"/>
      <c r="U48" s="35" t="str">
        <f aca="false">IF($A48="","",IF($T48="Void","Void",IF(OR($T48="",$T48="Draft"),"Draft",IF($T48="Disputed","Disputed",IF($S48&lt;-0.005,"Overpaid",IF($S48&lt;=0.005,"Paid",IF($R48+$Q48&gt;0.005,IF($V48&gt;0,"Part-paid, overdue","Part-paid"),IF($V48&gt;0,"Overdue","Outstanding"))))))))</f>
        <v/>
      </c>
      <c r="V48" s="36" t="str">
        <f aca="true">IF($A48="","",IF(AND(OR($T48="Issued",$T48="Disputed"),$S48&gt;0.005,$K48&lt;&gt;"",$K48&lt;TODAY()),TODAY()-$K48,0))</f>
        <v/>
      </c>
      <c r="W48" s="35" t="str">
        <f aca="false">IF($A48="","",IF(AND(OR($T48="Issued",$T48="Disputed"),$S48&gt;0.005),IF($V48&lt;=0,"Not yet due",IF($V48&lt;=30,"1 to 30 days",IF($V48&lt;=60,"31 to 60 days",IF($V48&lt;=90,"61 to 90 days","Over 90 days")))),""))</f>
        <v/>
      </c>
      <c r="X48" s="26"/>
      <c r="Y48" s="29"/>
      <c r="Z48" s="28"/>
      <c r="AA48" s="28"/>
    </row>
    <row r="49" customFormat="false" ht="15" hidden="false" customHeight="false" outlineLevel="0" collapsed="false">
      <c r="A49" s="26"/>
      <c r="B49" s="26"/>
      <c r="C49" s="27" t="str">
        <f aca="false">IF($B49="","",IFERROR(INDEX(Clients!$B$6:$B$105,MATCH($B49,Clients!$A$6:$A$105,0)),"Client not found"))</f>
        <v/>
      </c>
      <c r="D49" s="26"/>
      <c r="E49" s="26"/>
      <c r="F49" s="26"/>
      <c r="G49" s="26"/>
      <c r="H49" s="28"/>
      <c r="I49" s="29"/>
      <c r="J49" s="30" t="str">
        <f aca="false">IF($A49="","",IFERROR(IF(N(INDEX(Clients!$E$6:$E$105,MATCH($B49,Clients!$A$6:$A$105,0)))&gt;0,INDEX(Clients!$E$6:$E$105,MATCH($B49,Clients!$A$6:$A$105,0)),Dashboard!$B$6),Dashboard!$B$6))</f>
        <v/>
      </c>
      <c r="K49" s="31" t="str">
        <f aca="false">IF(OR($A49="",$I49=""),"",$I49+$J49)</f>
        <v/>
      </c>
      <c r="L49" s="26"/>
      <c r="M49" s="32"/>
      <c r="N49" s="33"/>
      <c r="O49" s="34" t="str">
        <f aca="false">IF($A49="","",N($M49)*N($N49))</f>
        <v/>
      </c>
      <c r="P49" s="34" t="str">
        <f aca="false">IF($A49="","",N($M49)+$O49)</f>
        <v/>
      </c>
      <c r="Q49" s="34" t="str">
        <f aca="false">IF($A49="","",SUMIFS('Credit Notes'!$F$6:$F$205,'Credit Notes'!$B$6:$B$205,$A49,'Credit Notes'!$H$6:$H$205,"Issued"))</f>
        <v/>
      </c>
      <c r="R49" s="34" t="str">
        <f aca="false">IF($A49="","",SUMIFS(Payments!$I$6:$I$505,Payments!$C$6:$C$505,$A49))</f>
        <v/>
      </c>
      <c r="S49" s="34" t="str">
        <f aca="false">IF($A49="","",IF($T49="Void",0,$P49-$Q49-$R49))</f>
        <v/>
      </c>
      <c r="T49" s="26"/>
      <c r="U49" s="35" t="str">
        <f aca="false">IF($A49="","",IF($T49="Void","Void",IF(OR($T49="",$T49="Draft"),"Draft",IF($T49="Disputed","Disputed",IF($S49&lt;-0.005,"Overpaid",IF($S49&lt;=0.005,"Paid",IF($R49+$Q49&gt;0.005,IF($V49&gt;0,"Part-paid, overdue","Part-paid"),IF($V49&gt;0,"Overdue","Outstanding"))))))))</f>
        <v/>
      </c>
      <c r="V49" s="36" t="str">
        <f aca="true">IF($A49="","",IF(AND(OR($T49="Issued",$T49="Disputed"),$S49&gt;0.005,$K49&lt;&gt;"",$K49&lt;TODAY()),TODAY()-$K49,0))</f>
        <v/>
      </c>
      <c r="W49" s="35" t="str">
        <f aca="false">IF($A49="","",IF(AND(OR($T49="Issued",$T49="Disputed"),$S49&gt;0.005),IF($V49&lt;=0,"Not yet due",IF($V49&lt;=30,"1 to 30 days",IF($V49&lt;=60,"31 to 60 days",IF($V49&lt;=90,"61 to 90 days","Over 90 days")))),""))</f>
        <v/>
      </c>
      <c r="X49" s="26"/>
      <c r="Y49" s="29"/>
      <c r="Z49" s="28"/>
      <c r="AA49" s="28"/>
    </row>
    <row r="50" customFormat="false" ht="15" hidden="false" customHeight="false" outlineLevel="0" collapsed="false">
      <c r="A50" s="26"/>
      <c r="B50" s="26"/>
      <c r="C50" s="27" t="str">
        <f aca="false">IF($B50="","",IFERROR(INDEX(Clients!$B$6:$B$105,MATCH($B50,Clients!$A$6:$A$105,0)),"Client not found"))</f>
        <v/>
      </c>
      <c r="D50" s="26"/>
      <c r="E50" s="26"/>
      <c r="F50" s="26"/>
      <c r="G50" s="26"/>
      <c r="H50" s="28"/>
      <c r="I50" s="29"/>
      <c r="J50" s="30" t="str">
        <f aca="false">IF($A50="","",IFERROR(IF(N(INDEX(Clients!$E$6:$E$105,MATCH($B50,Clients!$A$6:$A$105,0)))&gt;0,INDEX(Clients!$E$6:$E$105,MATCH($B50,Clients!$A$6:$A$105,0)),Dashboard!$B$6),Dashboard!$B$6))</f>
        <v/>
      </c>
      <c r="K50" s="31" t="str">
        <f aca="false">IF(OR($A50="",$I50=""),"",$I50+$J50)</f>
        <v/>
      </c>
      <c r="L50" s="26"/>
      <c r="M50" s="32"/>
      <c r="N50" s="33"/>
      <c r="O50" s="34" t="str">
        <f aca="false">IF($A50="","",N($M50)*N($N50))</f>
        <v/>
      </c>
      <c r="P50" s="34" t="str">
        <f aca="false">IF($A50="","",N($M50)+$O50)</f>
        <v/>
      </c>
      <c r="Q50" s="34" t="str">
        <f aca="false">IF($A50="","",SUMIFS('Credit Notes'!$F$6:$F$205,'Credit Notes'!$B$6:$B$205,$A50,'Credit Notes'!$H$6:$H$205,"Issued"))</f>
        <v/>
      </c>
      <c r="R50" s="34" t="str">
        <f aca="false">IF($A50="","",SUMIFS(Payments!$I$6:$I$505,Payments!$C$6:$C$505,$A50))</f>
        <v/>
      </c>
      <c r="S50" s="34" t="str">
        <f aca="false">IF($A50="","",IF($T50="Void",0,$P50-$Q50-$R50))</f>
        <v/>
      </c>
      <c r="T50" s="26"/>
      <c r="U50" s="35" t="str">
        <f aca="false">IF($A50="","",IF($T50="Void","Void",IF(OR($T50="",$T50="Draft"),"Draft",IF($T50="Disputed","Disputed",IF($S50&lt;-0.005,"Overpaid",IF($S50&lt;=0.005,"Paid",IF($R50+$Q50&gt;0.005,IF($V50&gt;0,"Part-paid, overdue","Part-paid"),IF($V50&gt;0,"Overdue","Outstanding"))))))))</f>
        <v/>
      </c>
      <c r="V50" s="36" t="str">
        <f aca="true">IF($A50="","",IF(AND(OR($T50="Issued",$T50="Disputed"),$S50&gt;0.005,$K50&lt;&gt;"",$K50&lt;TODAY()),TODAY()-$K50,0))</f>
        <v/>
      </c>
      <c r="W50" s="35" t="str">
        <f aca="false">IF($A50="","",IF(AND(OR($T50="Issued",$T50="Disputed"),$S50&gt;0.005),IF($V50&lt;=0,"Not yet due",IF($V50&lt;=30,"1 to 30 days",IF($V50&lt;=60,"31 to 60 days",IF($V50&lt;=90,"61 to 90 days","Over 90 days")))),""))</f>
        <v/>
      </c>
      <c r="X50" s="26"/>
      <c r="Y50" s="29"/>
      <c r="Z50" s="28"/>
      <c r="AA50" s="28"/>
    </row>
    <row r="51" customFormat="false" ht="15" hidden="false" customHeight="false" outlineLevel="0" collapsed="false">
      <c r="A51" s="26"/>
      <c r="B51" s="26"/>
      <c r="C51" s="27" t="str">
        <f aca="false">IF($B51="","",IFERROR(INDEX(Clients!$B$6:$B$105,MATCH($B51,Clients!$A$6:$A$105,0)),"Client not found"))</f>
        <v/>
      </c>
      <c r="D51" s="26"/>
      <c r="E51" s="26"/>
      <c r="F51" s="26"/>
      <c r="G51" s="26"/>
      <c r="H51" s="28"/>
      <c r="I51" s="29"/>
      <c r="J51" s="30" t="str">
        <f aca="false">IF($A51="","",IFERROR(IF(N(INDEX(Clients!$E$6:$E$105,MATCH($B51,Clients!$A$6:$A$105,0)))&gt;0,INDEX(Clients!$E$6:$E$105,MATCH($B51,Clients!$A$6:$A$105,0)),Dashboard!$B$6),Dashboard!$B$6))</f>
        <v/>
      </c>
      <c r="K51" s="31" t="str">
        <f aca="false">IF(OR($A51="",$I51=""),"",$I51+$J51)</f>
        <v/>
      </c>
      <c r="L51" s="26"/>
      <c r="M51" s="32"/>
      <c r="N51" s="33"/>
      <c r="O51" s="34" t="str">
        <f aca="false">IF($A51="","",N($M51)*N($N51))</f>
        <v/>
      </c>
      <c r="P51" s="34" t="str">
        <f aca="false">IF($A51="","",N($M51)+$O51)</f>
        <v/>
      </c>
      <c r="Q51" s="34" t="str">
        <f aca="false">IF($A51="","",SUMIFS('Credit Notes'!$F$6:$F$205,'Credit Notes'!$B$6:$B$205,$A51,'Credit Notes'!$H$6:$H$205,"Issued"))</f>
        <v/>
      </c>
      <c r="R51" s="34" t="str">
        <f aca="false">IF($A51="","",SUMIFS(Payments!$I$6:$I$505,Payments!$C$6:$C$505,$A51))</f>
        <v/>
      </c>
      <c r="S51" s="34" t="str">
        <f aca="false">IF($A51="","",IF($T51="Void",0,$P51-$Q51-$R51))</f>
        <v/>
      </c>
      <c r="T51" s="26"/>
      <c r="U51" s="35" t="str">
        <f aca="false">IF($A51="","",IF($T51="Void","Void",IF(OR($T51="",$T51="Draft"),"Draft",IF($T51="Disputed","Disputed",IF($S51&lt;-0.005,"Overpaid",IF($S51&lt;=0.005,"Paid",IF($R51+$Q51&gt;0.005,IF($V51&gt;0,"Part-paid, overdue","Part-paid"),IF($V51&gt;0,"Overdue","Outstanding"))))))))</f>
        <v/>
      </c>
      <c r="V51" s="36" t="str">
        <f aca="true">IF($A51="","",IF(AND(OR($T51="Issued",$T51="Disputed"),$S51&gt;0.005,$K51&lt;&gt;"",$K51&lt;TODAY()),TODAY()-$K51,0))</f>
        <v/>
      </c>
      <c r="W51" s="35" t="str">
        <f aca="false">IF($A51="","",IF(AND(OR($T51="Issued",$T51="Disputed"),$S51&gt;0.005),IF($V51&lt;=0,"Not yet due",IF($V51&lt;=30,"1 to 30 days",IF($V51&lt;=60,"31 to 60 days",IF($V51&lt;=90,"61 to 90 days","Over 90 days")))),""))</f>
        <v/>
      </c>
      <c r="X51" s="26"/>
      <c r="Y51" s="29"/>
      <c r="Z51" s="28"/>
      <c r="AA51" s="28"/>
    </row>
    <row r="52" customFormat="false" ht="15" hidden="false" customHeight="false" outlineLevel="0" collapsed="false">
      <c r="A52" s="26"/>
      <c r="B52" s="26"/>
      <c r="C52" s="27" t="str">
        <f aca="false">IF($B52="","",IFERROR(INDEX(Clients!$B$6:$B$105,MATCH($B52,Clients!$A$6:$A$105,0)),"Client not found"))</f>
        <v/>
      </c>
      <c r="D52" s="26"/>
      <c r="E52" s="26"/>
      <c r="F52" s="26"/>
      <c r="G52" s="26"/>
      <c r="H52" s="28"/>
      <c r="I52" s="29"/>
      <c r="J52" s="30" t="str">
        <f aca="false">IF($A52="","",IFERROR(IF(N(INDEX(Clients!$E$6:$E$105,MATCH($B52,Clients!$A$6:$A$105,0)))&gt;0,INDEX(Clients!$E$6:$E$105,MATCH($B52,Clients!$A$6:$A$105,0)),Dashboard!$B$6),Dashboard!$B$6))</f>
        <v/>
      </c>
      <c r="K52" s="31" t="str">
        <f aca="false">IF(OR($A52="",$I52=""),"",$I52+$J52)</f>
        <v/>
      </c>
      <c r="L52" s="26"/>
      <c r="M52" s="32"/>
      <c r="N52" s="33"/>
      <c r="O52" s="34" t="str">
        <f aca="false">IF($A52="","",N($M52)*N($N52))</f>
        <v/>
      </c>
      <c r="P52" s="34" t="str">
        <f aca="false">IF($A52="","",N($M52)+$O52)</f>
        <v/>
      </c>
      <c r="Q52" s="34" t="str">
        <f aca="false">IF($A52="","",SUMIFS('Credit Notes'!$F$6:$F$205,'Credit Notes'!$B$6:$B$205,$A52,'Credit Notes'!$H$6:$H$205,"Issued"))</f>
        <v/>
      </c>
      <c r="R52" s="34" t="str">
        <f aca="false">IF($A52="","",SUMIFS(Payments!$I$6:$I$505,Payments!$C$6:$C$505,$A52))</f>
        <v/>
      </c>
      <c r="S52" s="34" t="str">
        <f aca="false">IF($A52="","",IF($T52="Void",0,$P52-$Q52-$R52))</f>
        <v/>
      </c>
      <c r="T52" s="26"/>
      <c r="U52" s="35" t="str">
        <f aca="false">IF($A52="","",IF($T52="Void","Void",IF(OR($T52="",$T52="Draft"),"Draft",IF($T52="Disputed","Disputed",IF($S52&lt;-0.005,"Overpaid",IF($S52&lt;=0.005,"Paid",IF($R52+$Q52&gt;0.005,IF($V52&gt;0,"Part-paid, overdue","Part-paid"),IF($V52&gt;0,"Overdue","Outstanding"))))))))</f>
        <v/>
      </c>
      <c r="V52" s="36" t="str">
        <f aca="true">IF($A52="","",IF(AND(OR($T52="Issued",$T52="Disputed"),$S52&gt;0.005,$K52&lt;&gt;"",$K52&lt;TODAY()),TODAY()-$K52,0))</f>
        <v/>
      </c>
      <c r="W52" s="35" t="str">
        <f aca="false">IF($A52="","",IF(AND(OR($T52="Issued",$T52="Disputed"),$S52&gt;0.005),IF($V52&lt;=0,"Not yet due",IF($V52&lt;=30,"1 to 30 days",IF($V52&lt;=60,"31 to 60 days",IF($V52&lt;=90,"61 to 90 days","Over 90 days")))),""))</f>
        <v/>
      </c>
      <c r="X52" s="26"/>
      <c r="Y52" s="29"/>
      <c r="Z52" s="28"/>
      <c r="AA52" s="28"/>
    </row>
    <row r="53" customFormat="false" ht="15" hidden="false" customHeight="false" outlineLevel="0" collapsed="false">
      <c r="A53" s="26"/>
      <c r="B53" s="26"/>
      <c r="C53" s="27" t="str">
        <f aca="false">IF($B53="","",IFERROR(INDEX(Clients!$B$6:$B$105,MATCH($B53,Clients!$A$6:$A$105,0)),"Client not found"))</f>
        <v/>
      </c>
      <c r="D53" s="26"/>
      <c r="E53" s="26"/>
      <c r="F53" s="26"/>
      <c r="G53" s="26"/>
      <c r="H53" s="28"/>
      <c r="I53" s="29"/>
      <c r="J53" s="30" t="str">
        <f aca="false">IF($A53="","",IFERROR(IF(N(INDEX(Clients!$E$6:$E$105,MATCH($B53,Clients!$A$6:$A$105,0)))&gt;0,INDEX(Clients!$E$6:$E$105,MATCH($B53,Clients!$A$6:$A$105,0)),Dashboard!$B$6),Dashboard!$B$6))</f>
        <v/>
      </c>
      <c r="K53" s="31" t="str">
        <f aca="false">IF(OR($A53="",$I53=""),"",$I53+$J53)</f>
        <v/>
      </c>
      <c r="L53" s="26"/>
      <c r="M53" s="32"/>
      <c r="N53" s="33"/>
      <c r="O53" s="34" t="str">
        <f aca="false">IF($A53="","",N($M53)*N($N53))</f>
        <v/>
      </c>
      <c r="P53" s="34" t="str">
        <f aca="false">IF($A53="","",N($M53)+$O53)</f>
        <v/>
      </c>
      <c r="Q53" s="34" t="str">
        <f aca="false">IF($A53="","",SUMIFS('Credit Notes'!$F$6:$F$205,'Credit Notes'!$B$6:$B$205,$A53,'Credit Notes'!$H$6:$H$205,"Issued"))</f>
        <v/>
      </c>
      <c r="R53" s="34" t="str">
        <f aca="false">IF($A53="","",SUMIFS(Payments!$I$6:$I$505,Payments!$C$6:$C$505,$A53))</f>
        <v/>
      </c>
      <c r="S53" s="34" t="str">
        <f aca="false">IF($A53="","",IF($T53="Void",0,$P53-$Q53-$R53))</f>
        <v/>
      </c>
      <c r="T53" s="26"/>
      <c r="U53" s="35" t="str">
        <f aca="false">IF($A53="","",IF($T53="Void","Void",IF(OR($T53="",$T53="Draft"),"Draft",IF($T53="Disputed","Disputed",IF($S53&lt;-0.005,"Overpaid",IF($S53&lt;=0.005,"Paid",IF($R53+$Q53&gt;0.005,IF($V53&gt;0,"Part-paid, overdue","Part-paid"),IF($V53&gt;0,"Overdue","Outstanding"))))))))</f>
        <v/>
      </c>
      <c r="V53" s="36" t="str">
        <f aca="true">IF($A53="","",IF(AND(OR($T53="Issued",$T53="Disputed"),$S53&gt;0.005,$K53&lt;&gt;"",$K53&lt;TODAY()),TODAY()-$K53,0))</f>
        <v/>
      </c>
      <c r="W53" s="35" t="str">
        <f aca="false">IF($A53="","",IF(AND(OR($T53="Issued",$T53="Disputed"),$S53&gt;0.005),IF($V53&lt;=0,"Not yet due",IF($V53&lt;=30,"1 to 30 days",IF($V53&lt;=60,"31 to 60 days",IF($V53&lt;=90,"61 to 90 days","Over 90 days")))),""))</f>
        <v/>
      </c>
      <c r="X53" s="26"/>
      <c r="Y53" s="29"/>
      <c r="Z53" s="28"/>
      <c r="AA53" s="28"/>
    </row>
    <row r="54" customFormat="false" ht="15" hidden="false" customHeight="false" outlineLevel="0" collapsed="false">
      <c r="A54" s="26"/>
      <c r="B54" s="26"/>
      <c r="C54" s="27" t="str">
        <f aca="false">IF($B54="","",IFERROR(INDEX(Clients!$B$6:$B$105,MATCH($B54,Clients!$A$6:$A$105,0)),"Client not found"))</f>
        <v/>
      </c>
      <c r="D54" s="26"/>
      <c r="E54" s="26"/>
      <c r="F54" s="26"/>
      <c r="G54" s="26"/>
      <c r="H54" s="28"/>
      <c r="I54" s="29"/>
      <c r="J54" s="30" t="str">
        <f aca="false">IF($A54="","",IFERROR(IF(N(INDEX(Clients!$E$6:$E$105,MATCH($B54,Clients!$A$6:$A$105,0)))&gt;0,INDEX(Clients!$E$6:$E$105,MATCH($B54,Clients!$A$6:$A$105,0)),Dashboard!$B$6),Dashboard!$B$6))</f>
        <v/>
      </c>
      <c r="K54" s="31" t="str">
        <f aca="false">IF(OR($A54="",$I54=""),"",$I54+$J54)</f>
        <v/>
      </c>
      <c r="L54" s="26"/>
      <c r="M54" s="32"/>
      <c r="N54" s="33"/>
      <c r="O54" s="34" t="str">
        <f aca="false">IF($A54="","",N($M54)*N($N54))</f>
        <v/>
      </c>
      <c r="P54" s="34" t="str">
        <f aca="false">IF($A54="","",N($M54)+$O54)</f>
        <v/>
      </c>
      <c r="Q54" s="34" t="str">
        <f aca="false">IF($A54="","",SUMIFS('Credit Notes'!$F$6:$F$205,'Credit Notes'!$B$6:$B$205,$A54,'Credit Notes'!$H$6:$H$205,"Issued"))</f>
        <v/>
      </c>
      <c r="R54" s="34" t="str">
        <f aca="false">IF($A54="","",SUMIFS(Payments!$I$6:$I$505,Payments!$C$6:$C$505,$A54))</f>
        <v/>
      </c>
      <c r="S54" s="34" t="str">
        <f aca="false">IF($A54="","",IF($T54="Void",0,$P54-$Q54-$R54))</f>
        <v/>
      </c>
      <c r="T54" s="26"/>
      <c r="U54" s="35" t="str">
        <f aca="false">IF($A54="","",IF($T54="Void","Void",IF(OR($T54="",$T54="Draft"),"Draft",IF($T54="Disputed","Disputed",IF($S54&lt;-0.005,"Overpaid",IF($S54&lt;=0.005,"Paid",IF($R54+$Q54&gt;0.005,IF($V54&gt;0,"Part-paid, overdue","Part-paid"),IF($V54&gt;0,"Overdue","Outstanding"))))))))</f>
        <v/>
      </c>
      <c r="V54" s="36" t="str">
        <f aca="true">IF($A54="","",IF(AND(OR($T54="Issued",$T54="Disputed"),$S54&gt;0.005,$K54&lt;&gt;"",$K54&lt;TODAY()),TODAY()-$K54,0))</f>
        <v/>
      </c>
      <c r="W54" s="35" t="str">
        <f aca="false">IF($A54="","",IF(AND(OR($T54="Issued",$T54="Disputed"),$S54&gt;0.005),IF($V54&lt;=0,"Not yet due",IF($V54&lt;=30,"1 to 30 days",IF($V54&lt;=60,"31 to 60 days",IF($V54&lt;=90,"61 to 90 days","Over 90 days")))),""))</f>
        <v/>
      </c>
      <c r="X54" s="26"/>
      <c r="Y54" s="29"/>
      <c r="Z54" s="28"/>
      <c r="AA54" s="28"/>
    </row>
    <row r="55" customFormat="false" ht="15" hidden="false" customHeight="false" outlineLevel="0" collapsed="false">
      <c r="A55" s="26"/>
      <c r="B55" s="26"/>
      <c r="C55" s="27" t="str">
        <f aca="false">IF($B55="","",IFERROR(INDEX(Clients!$B$6:$B$105,MATCH($B55,Clients!$A$6:$A$105,0)),"Client not found"))</f>
        <v/>
      </c>
      <c r="D55" s="26"/>
      <c r="E55" s="26"/>
      <c r="F55" s="26"/>
      <c r="G55" s="26"/>
      <c r="H55" s="28"/>
      <c r="I55" s="29"/>
      <c r="J55" s="30" t="str">
        <f aca="false">IF($A55="","",IFERROR(IF(N(INDEX(Clients!$E$6:$E$105,MATCH($B55,Clients!$A$6:$A$105,0)))&gt;0,INDEX(Clients!$E$6:$E$105,MATCH($B55,Clients!$A$6:$A$105,0)),Dashboard!$B$6),Dashboard!$B$6))</f>
        <v/>
      </c>
      <c r="K55" s="31" t="str">
        <f aca="false">IF(OR($A55="",$I55=""),"",$I55+$J55)</f>
        <v/>
      </c>
      <c r="L55" s="26"/>
      <c r="M55" s="32"/>
      <c r="N55" s="33"/>
      <c r="O55" s="34" t="str">
        <f aca="false">IF($A55="","",N($M55)*N($N55))</f>
        <v/>
      </c>
      <c r="P55" s="34" t="str">
        <f aca="false">IF($A55="","",N($M55)+$O55)</f>
        <v/>
      </c>
      <c r="Q55" s="34" t="str">
        <f aca="false">IF($A55="","",SUMIFS('Credit Notes'!$F$6:$F$205,'Credit Notes'!$B$6:$B$205,$A55,'Credit Notes'!$H$6:$H$205,"Issued"))</f>
        <v/>
      </c>
      <c r="R55" s="34" t="str">
        <f aca="false">IF($A55="","",SUMIFS(Payments!$I$6:$I$505,Payments!$C$6:$C$505,$A55))</f>
        <v/>
      </c>
      <c r="S55" s="34" t="str">
        <f aca="false">IF($A55="","",IF($T55="Void",0,$P55-$Q55-$R55))</f>
        <v/>
      </c>
      <c r="T55" s="26"/>
      <c r="U55" s="35" t="str">
        <f aca="false">IF($A55="","",IF($T55="Void","Void",IF(OR($T55="",$T55="Draft"),"Draft",IF($T55="Disputed","Disputed",IF($S55&lt;-0.005,"Overpaid",IF($S55&lt;=0.005,"Paid",IF($R55+$Q55&gt;0.005,IF($V55&gt;0,"Part-paid, overdue","Part-paid"),IF($V55&gt;0,"Overdue","Outstanding"))))))))</f>
        <v/>
      </c>
      <c r="V55" s="36" t="str">
        <f aca="true">IF($A55="","",IF(AND(OR($T55="Issued",$T55="Disputed"),$S55&gt;0.005,$K55&lt;&gt;"",$K55&lt;TODAY()),TODAY()-$K55,0))</f>
        <v/>
      </c>
      <c r="W55" s="35" t="str">
        <f aca="false">IF($A55="","",IF(AND(OR($T55="Issued",$T55="Disputed"),$S55&gt;0.005),IF($V55&lt;=0,"Not yet due",IF($V55&lt;=30,"1 to 30 days",IF($V55&lt;=60,"31 to 60 days",IF($V55&lt;=90,"61 to 90 days","Over 90 days")))),""))</f>
        <v/>
      </c>
      <c r="X55" s="26"/>
      <c r="Y55" s="29"/>
      <c r="Z55" s="28"/>
      <c r="AA55" s="28"/>
    </row>
    <row r="56" customFormat="false" ht="15" hidden="false" customHeight="false" outlineLevel="0" collapsed="false">
      <c r="A56" s="26"/>
      <c r="B56" s="26"/>
      <c r="C56" s="27" t="str">
        <f aca="false">IF($B56="","",IFERROR(INDEX(Clients!$B$6:$B$105,MATCH($B56,Clients!$A$6:$A$105,0)),"Client not found"))</f>
        <v/>
      </c>
      <c r="D56" s="26"/>
      <c r="E56" s="26"/>
      <c r="F56" s="26"/>
      <c r="G56" s="26"/>
      <c r="H56" s="28"/>
      <c r="I56" s="29"/>
      <c r="J56" s="30" t="str">
        <f aca="false">IF($A56="","",IFERROR(IF(N(INDEX(Clients!$E$6:$E$105,MATCH($B56,Clients!$A$6:$A$105,0)))&gt;0,INDEX(Clients!$E$6:$E$105,MATCH($B56,Clients!$A$6:$A$105,0)),Dashboard!$B$6),Dashboard!$B$6))</f>
        <v/>
      </c>
      <c r="K56" s="31" t="str">
        <f aca="false">IF(OR($A56="",$I56=""),"",$I56+$J56)</f>
        <v/>
      </c>
      <c r="L56" s="26"/>
      <c r="M56" s="32"/>
      <c r="N56" s="33"/>
      <c r="O56" s="34" t="str">
        <f aca="false">IF($A56="","",N($M56)*N($N56))</f>
        <v/>
      </c>
      <c r="P56" s="34" t="str">
        <f aca="false">IF($A56="","",N($M56)+$O56)</f>
        <v/>
      </c>
      <c r="Q56" s="34" t="str">
        <f aca="false">IF($A56="","",SUMIFS('Credit Notes'!$F$6:$F$205,'Credit Notes'!$B$6:$B$205,$A56,'Credit Notes'!$H$6:$H$205,"Issued"))</f>
        <v/>
      </c>
      <c r="R56" s="34" t="str">
        <f aca="false">IF($A56="","",SUMIFS(Payments!$I$6:$I$505,Payments!$C$6:$C$505,$A56))</f>
        <v/>
      </c>
      <c r="S56" s="34" t="str">
        <f aca="false">IF($A56="","",IF($T56="Void",0,$P56-$Q56-$R56))</f>
        <v/>
      </c>
      <c r="T56" s="26"/>
      <c r="U56" s="35" t="str">
        <f aca="false">IF($A56="","",IF($T56="Void","Void",IF(OR($T56="",$T56="Draft"),"Draft",IF($T56="Disputed","Disputed",IF($S56&lt;-0.005,"Overpaid",IF($S56&lt;=0.005,"Paid",IF($R56+$Q56&gt;0.005,IF($V56&gt;0,"Part-paid, overdue","Part-paid"),IF($V56&gt;0,"Overdue","Outstanding"))))))))</f>
        <v/>
      </c>
      <c r="V56" s="36" t="str">
        <f aca="true">IF($A56="","",IF(AND(OR($T56="Issued",$T56="Disputed"),$S56&gt;0.005,$K56&lt;&gt;"",$K56&lt;TODAY()),TODAY()-$K56,0))</f>
        <v/>
      </c>
      <c r="W56" s="35" t="str">
        <f aca="false">IF($A56="","",IF(AND(OR($T56="Issued",$T56="Disputed"),$S56&gt;0.005),IF($V56&lt;=0,"Not yet due",IF($V56&lt;=30,"1 to 30 days",IF($V56&lt;=60,"31 to 60 days",IF($V56&lt;=90,"61 to 90 days","Over 90 days")))),""))</f>
        <v/>
      </c>
      <c r="X56" s="26"/>
      <c r="Y56" s="29"/>
      <c r="Z56" s="28"/>
      <c r="AA56" s="28"/>
    </row>
    <row r="57" customFormat="false" ht="15" hidden="false" customHeight="false" outlineLevel="0" collapsed="false">
      <c r="A57" s="26"/>
      <c r="B57" s="26"/>
      <c r="C57" s="27" t="str">
        <f aca="false">IF($B57="","",IFERROR(INDEX(Clients!$B$6:$B$105,MATCH($B57,Clients!$A$6:$A$105,0)),"Client not found"))</f>
        <v/>
      </c>
      <c r="D57" s="26"/>
      <c r="E57" s="26"/>
      <c r="F57" s="26"/>
      <c r="G57" s="26"/>
      <c r="H57" s="28"/>
      <c r="I57" s="29"/>
      <c r="J57" s="30" t="str">
        <f aca="false">IF($A57="","",IFERROR(IF(N(INDEX(Clients!$E$6:$E$105,MATCH($B57,Clients!$A$6:$A$105,0)))&gt;0,INDEX(Clients!$E$6:$E$105,MATCH($B57,Clients!$A$6:$A$105,0)),Dashboard!$B$6),Dashboard!$B$6))</f>
        <v/>
      </c>
      <c r="K57" s="31" t="str">
        <f aca="false">IF(OR($A57="",$I57=""),"",$I57+$J57)</f>
        <v/>
      </c>
      <c r="L57" s="26"/>
      <c r="M57" s="32"/>
      <c r="N57" s="33"/>
      <c r="O57" s="34" t="str">
        <f aca="false">IF($A57="","",N($M57)*N($N57))</f>
        <v/>
      </c>
      <c r="P57" s="34" t="str">
        <f aca="false">IF($A57="","",N($M57)+$O57)</f>
        <v/>
      </c>
      <c r="Q57" s="34" t="str">
        <f aca="false">IF($A57="","",SUMIFS('Credit Notes'!$F$6:$F$205,'Credit Notes'!$B$6:$B$205,$A57,'Credit Notes'!$H$6:$H$205,"Issued"))</f>
        <v/>
      </c>
      <c r="R57" s="34" t="str">
        <f aca="false">IF($A57="","",SUMIFS(Payments!$I$6:$I$505,Payments!$C$6:$C$505,$A57))</f>
        <v/>
      </c>
      <c r="S57" s="34" t="str">
        <f aca="false">IF($A57="","",IF($T57="Void",0,$P57-$Q57-$R57))</f>
        <v/>
      </c>
      <c r="T57" s="26"/>
      <c r="U57" s="35" t="str">
        <f aca="false">IF($A57="","",IF($T57="Void","Void",IF(OR($T57="",$T57="Draft"),"Draft",IF($T57="Disputed","Disputed",IF($S57&lt;-0.005,"Overpaid",IF($S57&lt;=0.005,"Paid",IF($R57+$Q57&gt;0.005,IF($V57&gt;0,"Part-paid, overdue","Part-paid"),IF($V57&gt;0,"Overdue","Outstanding"))))))))</f>
        <v/>
      </c>
      <c r="V57" s="36" t="str">
        <f aca="true">IF($A57="","",IF(AND(OR($T57="Issued",$T57="Disputed"),$S57&gt;0.005,$K57&lt;&gt;"",$K57&lt;TODAY()),TODAY()-$K57,0))</f>
        <v/>
      </c>
      <c r="W57" s="35" t="str">
        <f aca="false">IF($A57="","",IF(AND(OR($T57="Issued",$T57="Disputed"),$S57&gt;0.005),IF($V57&lt;=0,"Not yet due",IF($V57&lt;=30,"1 to 30 days",IF($V57&lt;=60,"31 to 60 days",IF($V57&lt;=90,"61 to 90 days","Over 90 days")))),""))</f>
        <v/>
      </c>
      <c r="X57" s="26"/>
      <c r="Y57" s="29"/>
      <c r="Z57" s="28"/>
      <c r="AA57" s="28"/>
    </row>
    <row r="58" customFormat="false" ht="15" hidden="false" customHeight="false" outlineLevel="0" collapsed="false">
      <c r="A58" s="26"/>
      <c r="B58" s="26"/>
      <c r="C58" s="27" t="str">
        <f aca="false">IF($B58="","",IFERROR(INDEX(Clients!$B$6:$B$105,MATCH($B58,Clients!$A$6:$A$105,0)),"Client not found"))</f>
        <v/>
      </c>
      <c r="D58" s="26"/>
      <c r="E58" s="26"/>
      <c r="F58" s="26"/>
      <c r="G58" s="26"/>
      <c r="H58" s="28"/>
      <c r="I58" s="29"/>
      <c r="J58" s="30" t="str">
        <f aca="false">IF($A58="","",IFERROR(IF(N(INDEX(Clients!$E$6:$E$105,MATCH($B58,Clients!$A$6:$A$105,0)))&gt;0,INDEX(Clients!$E$6:$E$105,MATCH($B58,Clients!$A$6:$A$105,0)),Dashboard!$B$6),Dashboard!$B$6))</f>
        <v/>
      </c>
      <c r="K58" s="31" t="str">
        <f aca="false">IF(OR($A58="",$I58=""),"",$I58+$J58)</f>
        <v/>
      </c>
      <c r="L58" s="26"/>
      <c r="M58" s="32"/>
      <c r="N58" s="33"/>
      <c r="O58" s="34" t="str">
        <f aca="false">IF($A58="","",N($M58)*N($N58))</f>
        <v/>
      </c>
      <c r="P58" s="34" t="str">
        <f aca="false">IF($A58="","",N($M58)+$O58)</f>
        <v/>
      </c>
      <c r="Q58" s="34" t="str">
        <f aca="false">IF($A58="","",SUMIFS('Credit Notes'!$F$6:$F$205,'Credit Notes'!$B$6:$B$205,$A58,'Credit Notes'!$H$6:$H$205,"Issued"))</f>
        <v/>
      </c>
      <c r="R58" s="34" t="str">
        <f aca="false">IF($A58="","",SUMIFS(Payments!$I$6:$I$505,Payments!$C$6:$C$505,$A58))</f>
        <v/>
      </c>
      <c r="S58" s="34" t="str">
        <f aca="false">IF($A58="","",IF($T58="Void",0,$P58-$Q58-$R58))</f>
        <v/>
      </c>
      <c r="T58" s="26"/>
      <c r="U58" s="35" t="str">
        <f aca="false">IF($A58="","",IF($T58="Void","Void",IF(OR($T58="",$T58="Draft"),"Draft",IF($T58="Disputed","Disputed",IF($S58&lt;-0.005,"Overpaid",IF($S58&lt;=0.005,"Paid",IF($R58+$Q58&gt;0.005,IF($V58&gt;0,"Part-paid, overdue","Part-paid"),IF($V58&gt;0,"Overdue","Outstanding"))))))))</f>
        <v/>
      </c>
      <c r="V58" s="36" t="str">
        <f aca="true">IF($A58="","",IF(AND(OR($T58="Issued",$T58="Disputed"),$S58&gt;0.005,$K58&lt;&gt;"",$K58&lt;TODAY()),TODAY()-$K58,0))</f>
        <v/>
      </c>
      <c r="W58" s="35" t="str">
        <f aca="false">IF($A58="","",IF(AND(OR($T58="Issued",$T58="Disputed"),$S58&gt;0.005),IF($V58&lt;=0,"Not yet due",IF($V58&lt;=30,"1 to 30 days",IF($V58&lt;=60,"31 to 60 days",IF($V58&lt;=90,"61 to 90 days","Over 90 days")))),""))</f>
        <v/>
      </c>
      <c r="X58" s="26"/>
      <c r="Y58" s="29"/>
      <c r="Z58" s="28"/>
      <c r="AA58" s="28"/>
    </row>
    <row r="59" customFormat="false" ht="15" hidden="false" customHeight="false" outlineLevel="0" collapsed="false">
      <c r="A59" s="26"/>
      <c r="B59" s="26"/>
      <c r="C59" s="27" t="str">
        <f aca="false">IF($B59="","",IFERROR(INDEX(Clients!$B$6:$B$105,MATCH($B59,Clients!$A$6:$A$105,0)),"Client not found"))</f>
        <v/>
      </c>
      <c r="D59" s="26"/>
      <c r="E59" s="26"/>
      <c r="F59" s="26"/>
      <c r="G59" s="26"/>
      <c r="H59" s="28"/>
      <c r="I59" s="29"/>
      <c r="J59" s="30" t="str">
        <f aca="false">IF($A59="","",IFERROR(IF(N(INDEX(Clients!$E$6:$E$105,MATCH($B59,Clients!$A$6:$A$105,0)))&gt;0,INDEX(Clients!$E$6:$E$105,MATCH($B59,Clients!$A$6:$A$105,0)),Dashboard!$B$6),Dashboard!$B$6))</f>
        <v/>
      </c>
      <c r="K59" s="31" t="str">
        <f aca="false">IF(OR($A59="",$I59=""),"",$I59+$J59)</f>
        <v/>
      </c>
      <c r="L59" s="26"/>
      <c r="M59" s="32"/>
      <c r="N59" s="33"/>
      <c r="O59" s="34" t="str">
        <f aca="false">IF($A59="","",N($M59)*N($N59))</f>
        <v/>
      </c>
      <c r="P59" s="34" t="str">
        <f aca="false">IF($A59="","",N($M59)+$O59)</f>
        <v/>
      </c>
      <c r="Q59" s="34" t="str">
        <f aca="false">IF($A59="","",SUMIFS('Credit Notes'!$F$6:$F$205,'Credit Notes'!$B$6:$B$205,$A59,'Credit Notes'!$H$6:$H$205,"Issued"))</f>
        <v/>
      </c>
      <c r="R59" s="34" t="str">
        <f aca="false">IF($A59="","",SUMIFS(Payments!$I$6:$I$505,Payments!$C$6:$C$505,$A59))</f>
        <v/>
      </c>
      <c r="S59" s="34" t="str">
        <f aca="false">IF($A59="","",IF($T59="Void",0,$P59-$Q59-$R59))</f>
        <v/>
      </c>
      <c r="T59" s="26"/>
      <c r="U59" s="35" t="str">
        <f aca="false">IF($A59="","",IF($T59="Void","Void",IF(OR($T59="",$T59="Draft"),"Draft",IF($T59="Disputed","Disputed",IF($S59&lt;-0.005,"Overpaid",IF($S59&lt;=0.005,"Paid",IF($R59+$Q59&gt;0.005,IF($V59&gt;0,"Part-paid, overdue","Part-paid"),IF($V59&gt;0,"Overdue","Outstanding"))))))))</f>
        <v/>
      </c>
      <c r="V59" s="36" t="str">
        <f aca="true">IF($A59="","",IF(AND(OR($T59="Issued",$T59="Disputed"),$S59&gt;0.005,$K59&lt;&gt;"",$K59&lt;TODAY()),TODAY()-$K59,0))</f>
        <v/>
      </c>
      <c r="W59" s="35" t="str">
        <f aca="false">IF($A59="","",IF(AND(OR($T59="Issued",$T59="Disputed"),$S59&gt;0.005),IF($V59&lt;=0,"Not yet due",IF($V59&lt;=30,"1 to 30 days",IF($V59&lt;=60,"31 to 60 days",IF($V59&lt;=90,"61 to 90 days","Over 90 days")))),""))</f>
        <v/>
      </c>
      <c r="X59" s="26"/>
      <c r="Y59" s="29"/>
      <c r="Z59" s="28"/>
      <c r="AA59" s="28"/>
    </row>
    <row r="60" customFormat="false" ht="15" hidden="false" customHeight="false" outlineLevel="0" collapsed="false">
      <c r="A60" s="26"/>
      <c r="B60" s="26"/>
      <c r="C60" s="27" t="str">
        <f aca="false">IF($B60="","",IFERROR(INDEX(Clients!$B$6:$B$105,MATCH($B60,Clients!$A$6:$A$105,0)),"Client not found"))</f>
        <v/>
      </c>
      <c r="D60" s="26"/>
      <c r="E60" s="26"/>
      <c r="F60" s="26"/>
      <c r="G60" s="26"/>
      <c r="H60" s="28"/>
      <c r="I60" s="29"/>
      <c r="J60" s="30" t="str">
        <f aca="false">IF($A60="","",IFERROR(IF(N(INDEX(Clients!$E$6:$E$105,MATCH($B60,Clients!$A$6:$A$105,0)))&gt;0,INDEX(Clients!$E$6:$E$105,MATCH($B60,Clients!$A$6:$A$105,0)),Dashboard!$B$6),Dashboard!$B$6))</f>
        <v/>
      </c>
      <c r="K60" s="31" t="str">
        <f aca="false">IF(OR($A60="",$I60=""),"",$I60+$J60)</f>
        <v/>
      </c>
      <c r="L60" s="26"/>
      <c r="M60" s="32"/>
      <c r="N60" s="33"/>
      <c r="O60" s="34" t="str">
        <f aca="false">IF($A60="","",N($M60)*N($N60))</f>
        <v/>
      </c>
      <c r="P60" s="34" t="str">
        <f aca="false">IF($A60="","",N($M60)+$O60)</f>
        <v/>
      </c>
      <c r="Q60" s="34" t="str">
        <f aca="false">IF($A60="","",SUMIFS('Credit Notes'!$F$6:$F$205,'Credit Notes'!$B$6:$B$205,$A60,'Credit Notes'!$H$6:$H$205,"Issued"))</f>
        <v/>
      </c>
      <c r="R60" s="34" t="str">
        <f aca="false">IF($A60="","",SUMIFS(Payments!$I$6:$I$505,Payments!$C$6:$C$505,$A60))</f>
        <v/>
      </c>
      <c r="S60" s="34" t="str">
        <f aca="false">IF($A60="","",IF($T60="Void",0,$P60-$Q60-$R60))</f>
        <v/>
      </c>
      <c r="T60" s="26"/>
      <c r="U60" s="35" t="str">
        <f aca="false">IF($A60="","",IF($T60="Void","Void",IF(OR($T60="",$T60="Draft"),"Draft",IF($T60="Disputed","Disputed",IF($S60&lt;-0.005,"Overpaid",IF($S60&lt;=0.005,"Paid",IF($R60+$Q60&gt;0.005,IF($V60&gt;0,"Part-paid, overdue","Part-paid"),IF($V60&gt;0,"Overdue","Outstanding"))))))))</f>
        <v/>
      </c>
      <c r="V60" s="36" t="str">
        <f aca="true">IF($A60="","",IF(AND(OR($T60="Issued",$T60="Disputed"),$S60&gt;0.005,$K60&lt;&gt;"",$K60&lt;TODAY()),TODAY()-$K60,0))</f>
        <v/>
      </c>
      <c r="W60" s="35" t="str">
        <f aca="false">IF($A60="","",IF(AND(OR($T60="Issued",$T60="Disputed"),$S60&gt;0.005),IF($V60&lt;=0,"Not yet due",IF($V60&lt;=30,"1 to 30 days",IF($V60&lt;=60,"31 to 60 days",IF($V60&lt;=90,"61 to 90 days","Over 90 days")))),""))</f>
        <v/>
      </c>
      <c r="X60" s="26"/>
      <c r="Y60" s="29"/>
      <c r="Z60" s="28"/>
      <c r="AA60" s="28"/>
    </row>
    <row r="61" customFormat="false" ht="15" hidden="false" customHeight="false" outlineLevel="0" collapsed="false">
      <c r="A61" s="26"/>
      <c r="B61" s="26"/>
      <c r="C61" s="27" t="str">
        <f aca="false">IF($B61="","",IFERROR(INDEX(Clients!$B$6:$B$105,MATCH($B61,Clients!$A$6:$A$105,0)),"Client not found"))</f>
        <v/>
      </c>
      <c r="D61" s="26"/>
      <c r="E61" s="26"/>
      <c r="F61" s="26"/>
      <c r="G61" s="26"/>
      <c r="H61" s="28"/>
      <c r="I61" s="29"/>
      <c r="J61" s="30" t="str">
        <f aca="false">IF($A61="","",IFERROR(IF(N(INDEX(Clients!$E$6:$E$105,MATCH($B61,Clients!$A$6:$A$105,0)))&gt;0,INDEX(Clients!$E$6:$E$105,MATCH($B61,Clients!$A$6:$A$105,0)),Dashboard!$B$6),Dashboard!$B$6))</f>
        <v/>
      </c>
      <c r="K61" s="31" t="str">
        <f aca="false">IF(OR($A61="",$I61=""),"",$I61+$J61)</f>
        <v/>
      </c>
      <c r="L61" s="26"/>
      <c r="M61" s="32"/>
      <c r="N61" s="33"/>
      <c r="O61" s="34" t="str">
        <f aca="false">IF($A61="","",N($M61)*N($N61))</f>
        <v/>
      </c>
      <c r="P61" s="34" t="str">
        <f aca="false">IF($A61="","",N($M61)+$O61)</f>
        <v/>
      </c>
      <c r="Q61" s="34" t="str">
        <f aca="false">IF($A61="","",SUMIFS('Credit Notes'!$F$6:$F$205,'Credit Notes'!$B$6:$B$205,$A61,'Credit Notes'!$H$6:$H$205,"Issued"))</f>
        <v/>
      </c>
      <c r="R61" s="34" t="str">
        <f aca="false">IF($A61="","",SUMIFS(Payments!$I$6:$I$505,Payments!$C$6:$C$505,$A61))</f>
        <v/>
      </c>
      <c r="S61" s="34" t="str">
        <f aca="false">IF($A61="","",IF($T61="Void",0,$P61-$Q61-$R61))</f>
        <v/>
      </c>
      <c r="T61" s="26"/>
      <c r="U61" s="35" t="str">
        <f aca="false">IF($A61="","",IF($T61="Void","Void",IF(OR($T61="",$T61="Draft"),"Draft",IF($T61="Disputed","Disputed",IF($S61&lt;-0.005,"Overpaid",IF($S61&lt;=0.005,"Paid",IF($R61+$Q61&gt;0.005,IF($V61&gt;0,"Part-paid, overdue","Part-paid"),IF($V61&gt;0,"Overdue","Outstanding"))))))))</f>
        <v/>
      </c>
      <c r="V61" s="36" t="str">
        <f aca="true">IF($A61="","",IF(AND(OR($T61="Issued",$T61="Disputed"),$S61&gt;0.005,$K61&lt;&gt;"",$K61&lt;TODAY()),TODAY()-$K61,0))</f>
        <v/>
      </c>
      <c r="W61" s="35" t="str">
        <f aca="false">IF($A61="","",IF(AND(OR($T61="Issued",$T61="Disputed"),$S61&gt;0.005),IF($V61&lt;=0,"Not yet due",IF($V61&lt;=30,"1 to 30 days",IF($V61&lt;=60,"31 to 60 days",IF($V61&lt;=90,"61 to 90 days","Over 90 days")))),""))</f>
        <v/>
      </c>
      <c r="X61" s="26"/>
      <c r="Y61" s="29"/>
      <c r="Z61" s="28"/>
      <c r="AA61" s="28"/>
    </row>
    <row r="62" customFormat="false" ht="15" hidden="false" customHeight="false" outlineLevel="0" collapsed="false">
      <c r="A62" s="26"/>
      <c r="B62" s="26"/>
      <c r="C62" s="27" t="str">
        <f aca="false">IF($B62="","",IFERROR(INDEX(Clients!$B$6:$B$105,MATCH($B62,Clients!$A$6:$A$105,0)),"Client not found"))</f>
        <v/>
      </c>
      <c r="D62" s="26"/>
      <c r="E62" s="26"/>
      <c r="F62" s="26"/>
      <c r="G62" s="26"/>
      <c r="H62" s="28"/>
      <c r="I62" s="29"/>
      <c r="J62" s="30" t="str">
        <f aca="false">IF($A62="","",IFERROR(IF(N(INDEX(Clients!$E$6:$E$105,MATCH($B62,Clients!$A$6:$A$105,0)))&gt;0,INDEX(Clients!$E$6:$E$105,MATCH($B62,Clients!$A$6:$A$105,0)),Dashboard!$B$6),Dashboard!$B$6))</f>
        <v/>
      </c>
      <c r="K62" s="31" t="str">
        <f aca="false">IF(OR($A62="",$I62=""),"",$I62+$J62)</f>
        <v/>
      </c>
      <c r="L62" s="26"/>
      <c r="M62" s="32"/>
      <c r="N62" s="33"/>
      <c r="O62" s="34" t="str">
        <f aca="false">IF($A62="","",N($M62)*N($N62))</f>
        <v/>
      </c>
      <c r="P62" s="34" t="str">
        <f aca="false">IF($A62="","",N($M62)+$O62)</f>
        <v/>
      </c>
      <c r="Q62" s="34" t="str">
        <f aca="false">IF($A62="","",SUMIFS('Credit Notes'!$F$6:$F$205,'Credit Notes'!$B$6:$B$205,$A62,'Credit Notes'!$H$6:$H$205,"Issued"))</f>
        <v/>
      </c>
      <c r="R62" s="34" t="str">
        <f aca="false">IF($A62="","",SUMIFS(Payments!$I$6:$I$505,Payments!$C$6:$C$505,$A62))</f>
        <v/>
      </c>
      <c r="S62" s="34" t="str">
        <f aca="false">IF($A62="","",IF($T62="Void",0,$P62-$Q62-$R62))</f>
        <v/>
      </c>
      <c r="T62" s="26"/>
      <c r="U62" s="35" t="str">
        <f aca="false">IF($A62="","",IF($T62="Void","Void",IF(OR($T62="",$T62="Draft"),"Draft",IF($T62="Disputed","Disputed",IF($S62&lt;-0.005,"Overpaid",IF($S62&lt;=0.005,"Paid",IF($R62+$Q62&gt;0.005,IF($V62&gt;0,"Part-paid, overdue","Part-paid"),IF($V62&gt;0,"Overdue","Outstanding"))))))))</f>
        <v/>
      </c>
      <c r="V62" s="36" t="str">
        <f aca="true">IF($A62="","",IF(AND(OR($T62="Issued",$T62="Disputed"),$S62&gt;0.005,$K62&lt;&gt;"",$K62&lt;TODAY()),TODAY()-$K62,0))</f>
        <v/>
      </c>
      <c r="W62" s="35" t="str">
        <f aca="false">IF($A62="","",IF(AND(OR($T62="Issued",$T62="Disputed"),$S62&gt;0.005),IF($V62&lt;=0,"Not yet due",IF($V62&lt;=30,"1 to 30 days",IF($V62&lt;=60,"31 to 60 days",IF($V62&lt;=90,"61 to 90 days","Over 90 days")))),""))</f>
        <v/>
      </c>
      <c r="X62" s="26"/>
      <c r="Y62" s="29"/>
      <c r="Z62" s="28"/>
      <c r="AA62" s="28"/>
    </row>
    <row r="63" customFormat="false" ht="15" hidden="false" customHeight="false" outlineLevel="0" collapsed="false">
      <c r="A63" s="26"/>
      <c r="B63" s="26"/>
      <c r="C63" s="27" t="str">
        <f aca="false">IF($B63="","",IFERROR(INDEX(Clients!$B$6:$B$105,MATCH($B63,Clients!$A$6:$A$105,0)),"Client not found"))</f>
        <v/>
      </c>
      <c r="D63" s="26"/>
      <c r="E63" s="26"/>
      <c r="F63" s="26"/>
      <c r="G63" s="26"/>
      <c r="H63" s="28"/>
      <c r="I63" s="29"/>
      <c r="J63" s="30" t="str">
        <f aca="false">IF($A63="","",IFERROR(IF(N(INDEX(Clients!$E$6:$E$105,MATCH($B63,Clients!$A$6:$A$105,0)))&gt;0,INDEX(Clients!$E$6:$E$105,MATCH($B63,Clients!$A$6:$A$105,0)),Dashboard!$B$6),Dashboard!$B$6))</f>
        <v/>
      </c>
      <c r="K63" s="31" t="str">
        <f aca="false">IF(OR($A63="",$I63=""),"",$I63+$J63)</f>
        <v/>
      </c>
      <c r="L63" s="26"/>
      <c r="M63" s="32"/>
      <c r="N63" s="33"/>
      <c r="O63" s="34" t="str">
        <f aca="false">IF($A63="","",N($M63)*N($N63))</f>
        <v/>
      </c>
      <c r="P63" s="34" t="str">
        <f aca="false">IF($A63="","",N($M63)+$O63)</f>
        <v/>
      </c>
      <c r="Q63" s="34" t="str">
        <f aca="false">IF($A63="","",SUMIFS('Credit Notes'!$F$6:$F$205,'Credit Notes'!$B$6:$B$205,$A63,'Credit Notes'!$H$6:$H$205,"Issued"))</f>
        <v/>
      </c>
      <c r="R63" s="34" t="str">
        <f aca="false">IF($A63="","",SUMIFS(Payments!$I$6:$I$505,Payments!$C$6:$C$505,$A63))</f>
        <v/>
      </c>
      <c r="S63" s="34" t="str">
        <f aca="false">IF($A63="","",IF($T63="Void",0,$P63-$Q63-$R63))</f>
        <v/>
      </c>
      <c r="T63" s="26"/>
      <c r="U63" s="35" t="str">
        <f aca="false">IF($A63="","",IF($T63="Void","Void",IF(OR($T63="",$T63="Draft"),"Draft",IF($T63="Disputed","Disputed",IF($S63&lt;-0.005,"Overpaid",IF($S63&lt;=0.005,"Paid",IF($R63+$Q63&gt;0.005,IF($V63&gt;0,"Part-paid, overdue","Part-paid"),IF($V63&gt;0,"Overdue","Outstanding"))))))))</f>
        <v/>
      </c>
      <c r="V63" s="36" t="str">
        <f aca="true">IF($A63="","",IF(AND(OR($T63="Issued",$T63="Disputed"),$S63&gt;0.005,$K63&lt;&gt;"",$K63&lt;TODAY()),TODAY()-$K63,0))</f>
        <v/>
      </c>
      <c r="W63" s="35" t="str">
        <f aca="false">IF($A63="","",IF(AND(OR($T63="Issued",$T63="Disputed"),$S63&gt;0.005),IF($V63&lt;=0,"Not yet due",IF($V63&lt;=30,"1 to 30 days",IF($V63&lt;=60,"31 to 60 days",IF($V63&lt;=90,"61 to 90 days","Over 90 days")))),""))</f>
        <v/>
      </c>
      <c r="X63" s="26"/>
      <c r="Y63" s="29"/>
      <c r="Z63" s="28"/>
      <c r="AA63" s="28"/>
    </row>
    <row r="64" customFormat="false" ht="15" hidden="false" customHeight="false" outlineLevel="0" collapsed="false">
      <c r="A64" s="26"/>
      <c r="B64" s="26"/>
      <c r="C64" s="27" t="str">
        <f aca="false">IF($B64="","",IFERROR(INDEX(Clients!$B$6:$B$105,MATCH($B64,Clients!$A$6:$A$105,0)),"Client not found"))</f>
        <v/>
      </c>
      <c r="D64" s="26"/>
      <c r="E64" s="26"/>
      <c r="F64" s="26"/>
      <c r="G64" s="26"/>
      <c r="H64" s="28"/>
      <c r="I64" s="29"/>
      <c r="J64" s="30" t="str">
        <f aca="false">IF($A64="","",IFERROR(IF(N(INDEX(Clients!$E$6:$E$105,MATCH($B64,Clients!$A$6:$A$105,0)))&gt;0,INDEX(Clients!$E$6:$E$105,MATCH($B64,Clients!$A$6:$A$105,0)),Dashboard!$B$6),Dashboard!$B$6))</f>
        <v/>
      </c>
      <c r="K64" s="31" t="str">
        <f aca="false">IF(OR($A64="",$I64=""),"",$I64+$J64)</f>
        <v/>
      </c>
      <c r="L64" s="26"/>
      <c r="M64" s="32"/>
      <c r="N64" s="33"/>
      <c r="O64" s="34" t="str">
        <f aca="false">IF($A64="","",N($M64)*N($N64))</f>
        <v/>
      </c>
      <c r="P64" s="34" t="str">
        <f aca="false">IF($A64="","",N($M64)+$O64)</f>
        <v/>
      </c>
      <c r="Q64" s="34" t="str">
        <f aca="false">IF($A64="","",SUMIFS('Credit Notes'!$F$6:$F$205,'Credit Notes'!$B$6:$B$205,$A64,'Credit Notes'!$H$6:$H$205,"Issued"))</f>
        <v/>
      </c>
      <c r="R64" s="34" t="str">
        <f aca="false">IF($A64="","",SUMIFS(Payments!$I$6:$I$505,Payments!$C$6:$C$505,$A64))</f>
        <v/>
      </c>
      <c r="S64" s="34" t="str">
        <f aca="false">IF($A64="","",IF($T64="Void",0,$P64-$Q64-$R64))</f>
        <v/>
      </c>
      <c r="T64" s="26"/>
      <c r="U64" s="35" t="str">
        <f aca="false">IF($A64="","",IF($T64="Void","Void",IF(OR($T64="",$T64="Draft"),"Draft",IF($T64="Disputed","Disputed",IF($S64&lt;-0.005,"Overpaid",IF($S64&lt;=0.005,"Paid",IF($R64+$Q64&gt;0.005,IF($V64&gt;0,"Part-paid, overdue","Part-paid"),IF($V64&gt;0,"Overdue","Outstanding"))))))))</f>
        <v/>
      </c>
      <c r="V64" s="36" t="str">
        <f aca="true">IF($A64="","",IF(AND(OR($T64="Issued",$T64="Disputed"),$S64&gt;0.005,$K64&lt;&gt;"",$K64&lt;TODAY()),TODAY()-$K64,0))</f>
        <v/>
      </c>
      <c r="W64" s="35" t="str">
        <f aca="false">IF($A64="","",IF(AND(OR($T64="Issued",$T64="Disputed"),$S64&gt;0.005),IF($V64&lt;=0,"Not yet due",IF($V64&lt;=30,"1 to 30 days",IF($V64&lt;=60,"31 to 60 days",IF($V64&lt;=90,"61 to 90 days","Over 90 days")))),""))</f>
        <v/>
      </c>
      <c r="X64" s="26"/>
      <c r="Y64" s="29"/>
      <c r="Z64" s="28"/>
      <c r="AA64" s="28"/>
    </row>
    <row r="65" customFormat="false" ht="15" hidden="false" customHeight="false" outlineLevel="0" collapsed="false">
      <c r="A65" s="26"/>
      <c r="B65" s="26"/>
      <c r="C65" s="27" t="str">
        <f aca="false">IF($B65="","",IFERROR(INDEX(Clients!$B$6:$B$105,MATCH($B65,Clients!$A$6:$A$105,0)),"Client not found"))</f>
        <v/>
      </c>
      <c r="D65" s="26"/>
      <c r="E65" s="26"/>
      <c r="F65" s="26"/>
      <c r="G65" s="26"/>
      <c r="H65" s="28"/>
      <c r="I65" s="29"/>
      <c r="J65" s="30" t="str">
        <f aca="false">IF($A65="","",IFERROR(IF(N(INDEX(Clients!$E$6:$E$105,MATCH($B65,Clients!$A$6:$A$105,0)))&gt;0,INDEX(Clients!$E$6:$E$105,MATCH($B65,Clients!$A$6:$A$105,0)),Dashboard!$B$6),Dashboard!$B$6))</f>
        <v/>
      </c>
      <c r="K65" s="31" t="str">
        <f aca="false">IF(OR($A65="",$I65=""),"",$I65+$J65)</f>
        <v/>
      </c>
      <c r="L65" s="26"/>
      <c r="M65" s="32"/>
      <c r="N65" s="33"/>
      <c r="O65" s="34" t="str">
        <f aca="false">IF($A65="","",N($M65)*N($N65))</f>
        <v/>
      </c>
      <c r="P65" s="34" t="str">
        <f aca="false">IF($A65="","",N($M65)+$O65)</f>
        <v/>
      </c>
      <c r="Q65" s="34" t="str">
        <f aca="false">IF($A65="","",SUMIFS('Credit Notes'!$F$6:$F$205,'Credit Notes'!$B$6:$B$205,$A65,'Credit Notes'!$H$6:$H$205,"Issued"))</f>
        <v/>
      </c>
      <c r="R65" s="34" t="str">
        <f aca="false">IF($A65="","",SUMIFS(Payments!$I$6:$I$505,Payments!$C$6:$C$505,$A65))</f>
        <v/>
      </c>
      <c r="S65" s="34" t="str">
        <f aca="false">IF($A65="","",IF($T65="Void",0,$P65-$Q65-$R65))</f>
        <v/>
      </c>
      <c r="T65" s="26"/>
      <c r="U65" s="35" t="str">
        <f aca="false">IF($A65="","",IF($T65="Void","Void",IF(OR($T65="",$T65="Draft"),"Draft",IF($T65="Disputed","Disputed",IF($S65&lt;-0.005,"Overpaid",IF($S65&lt;=0.005,"Paid",IF($R65+$Q65&gt;0.005,IF($V65&gt;0,"Part-paid, overdue","Part-paid"),IF($V65&gt;0,"Overdue","Outstanding"))))))))</f>
        <v/>
      </c>
      <c r="V65" s="36" t="str">
        <f aca="true">IF($A65="","",IF(AND(OR($T65="Issued",$T65="Disputed"),$S65&gt;0.005,$K65&lt;&gt;"",$K65&lt;TODAY()),TODAY()-$K65,0))</f>
        <v/>
      </c>
      <c r="W65" s="35" t="str">
        <f aca="false">IF($A65="","",IF(AND(OR($T65="Issued",$T65="Disputed"),$S65&gt;0.005),IF($V65&lt;=0,"Not yet due",IF($V65&lt;=30,"1 to 30 days",IF($V65&lt;=60,"31 to 60 days",IF($V65&lt;=90,"61 to 90 days","Over 90 days")))),""))</f>
        <v/>
      </c>
      <c r="X65" s="26"/>
      <c r="Y65" s="29"/>
      <c r="Z65" s="28"/>
      <c r="AA65" s="28"/>
    </row>
    <row r="66" customFormat="false" ht="15" hidden="false" customHeight="false" outlineLevel="0" collapsed="false">
      <c r="A66" s="26"/>
      <c r="B66" s="26"/>
      <c r="C66" s="27" t="str">
        <f aca="false">IF($B66="","",IFERROR(INDEX(Clients!$B$6:$B$105,MATCH($B66,Clients!$A$6:$A$105,0)),"Client not found"))</f>
        <v/>
      </c>
      <c r="D66" s="26"/>
      <c r="E66" s="26"/>
      <c r="F66" s="26"/>
      <c r="G66" s="26"/>
      <c r="H66" s="28"/>
      <c r="I66" s="29"/>
      <c r="J66" s="30" t="str">
        <f aca="false">IF($A66="","",IFERROR(IF(N(INDEX(Clients!$E$6:$E$105,MATCH($B66,Clients!$A$6:$A$105,0)))&gt;0,INDEX(Clients!$E$6:$E$105,MATCH($B66,Clients!$A$6:$A$105,0)),Dashboard!$B$6),Dashboard!$B$6))</f>
        <v/>
      </c>
      <c r="K66" s="31" t="str">
        <f aca="false">IF(OR($A66="",$I66=""),"",$I66+$J66)</f>
        <v/>
      </c>
      <c r="L66" s="26"/>
      <c r="M66" s="32"/>
      <c r="N66" s="33"/>
      <c r="O66" s="34" t="str">
        <f aca="false">IF($A66="","",N($M66)*N($N66))</f>
        <v/>
      </c>
      <c r="P66" s="34" t="str">
        <f aca="false">IF($A66="","",N($M66)+$O66)</f>
        <v/>
      </c>
      <c r="Q66" s="34" t="str">
        <f aca="false">IF($A66="","",SUMIFS('Credit Notes'!$F$6:$F$205,'Credit Notes'!$B$6:$B$205,$A66,'Credit Notes'!$H$6:$H$205,"Issued"))</f>
        <v/>
      </c>
      <c r="R66" s="34" t="str">
        <f aca="false">IF($A66="","",SUMIFS(Payments!$I$6:$I$505,Payments!$C$6:$C$505,$A66))</f>
        <v/>
      </c>
      <c r="S66" s="34" t="str">
        <f aca="false">IF($A66="","",IF($T66="Void",0,$P66-$Q66-$R66))</f>
        <v/>
      </c>
      <c r="T66" s="26"/>
      <c r="U66" s="35" t="str">
        <f aca="false">IF($A66="","",IF($T66="Void","Void",IF(OR($T66="",$T66="Draft"),"Draft",IF($T66="Disputed","Disputed",IF($S66&lt;-0.005,"Overpaid",IF($S66&lt;=0.005,"Paid",IF($R66+$Q66&gt;0.005,IF($V66&gt;0,"Part-paid, overdue","Part-paid"),IF($V66&gt;0,"Overdue","Outstanding"))))))))</f>
        <v/>
      </c>
      <c r="V66" s="36" t="str">
        <f aca="true">IF($A66="","",IF(AND(OR($T66="Issued",$T66="Disputed"),$S66&gt;0.005,$K66&lt;&gt;"",$K66&lt;TODAY()),TODAY()-$K66,0))</f>
        <v/>
      </c>
      <c r="W66" s="35" t="str">
        <f aca="false">IF($A66="","",IF(AND(OR($T66="Issued",$T66="Disputed"),$S66&gt;0.005),IF($V66&lt;=0,"Not yet due",IF($V66&lt;=30,"1 to 30 days",IF($V66&lt;=60,"31 to 60 days",IF($V66&lt;=90,"61 to 90 days","Over 90 days")))),""))</f>
        <v/>
      </c>
      <c r="X66" s="26"/>
      <c r="Y66" s="29"/>
      <c r="Z66" s="28"/>
      <c r="AA66" s="28"/>
    </row>
    <row r="67" customFormat="false" ht="15" hidden="false" customHeight="false" outlineLevel="0" collapsed="false">
      <c r="A67" s="26"/>
      <c r="B67" s="26"/>
      <c r="C67" s="27" t="str">
        <f aca="false">IF($B67="","",IFERROR(INDEX(Clients!$B$6:$B$105,MATCH($B67,Clients!$A$6:$A$105,0)),"Client not found"))</f>
        <v/>
      </c>
      <c r="D67" s="26"/>
      <c r="E67" s="26"/>
      <c r="F67" s="26"/>
      <c r="G67" s="26"/>
      <c r="H67" s="28"/>
      <c r="I67" s="29"/>
      <c r="J67" s="30" t="str">
        <f aca="false">IF($A67="","",IFERROR(IF(N(INDEX(Clients!$E$6:$E$105,MATCH($B67,Clients!$A$6:$A$105,0)))&gt;0,INDEX(Clients!$E$6:$E$105,MATCH($B67,Clients!$A$6:$A$105,0)),Dashboard!$B$6),Dashboard!$B$6))</f>
        <v/>
      </c>
      <c r="K67" s="31" t="str">
        <f aca="false">IF(OR($A67="",$I67=""),"",$I67+$J67)</f>
        <v/>
      </c>
      <c r="L67" s="26"/>
      <c r="M67" s="32"/>
      <c r="N67" s="33"/>
      <c r="O67" s="34" t="str">
        <f aca="false">IF($A67="","",N($M67)*N($N67))</f>
        <v/>
      </c>
      <c r="P67" s="34" t="str">
        <f aca="false">IF($A67="","",N($M67)+$O67)</f>
        <v/>
      </c>
      <c r="Q67" s="34" t="str">
        <f aca="false">IF($A67="","",SUMIFS('Credit Notes'!$F$6:$F$205,'Credit Notes'!$B$6:$B$205,$A67,'Credit Notes'!$H$6:$H$205,"Issued"))</f>
        <v/>
      </c>
      <c r="R67" s="34" t="str">
        <f aca="false">IF($A67="","",SUMIFS(Payments!$I$6:$I$505,Payments!$C$6:$C$505,$A67))</f>
        <v/>
      </c>
      <c r="S67" s="34" t="str">
        <f aca="false">IF($A67="","",IF($T67="Void",0,$P67-$Q67-$R67))</f>
        <v/>
      </c>
      <c r="T67" s="26"/>
      <c r="U67" s="35" t="str">
        <f aca="false">IF($A67="","",IF($T67="Void","Void",IF(OR($T67="",$T67="Draft"),"Draft",IF($T67="Disputed","Disputed",IF($S67&lt;-0.005,"Overpaid",IF($S67&lt;=0.005,"Paid",IF($R67+$Q67&gt;0.005,IF($V67&gt;0,"Part-paid, overdue","Part-paid"),IF($V67&gt;0,"Overdue","Outstanding"))))))))</f>
        <v/>
      </c>
      <c r="V67" s="36" t="str">
        <f aca="true">IF($A67="","",IF(AND(OR($T67="Issued",$T67="Disputed"),$S67&gt;0.005,$K67&lt;&gt;"",$K67&lt;TODAY()),TODAY()-$K67,0))</f>
        <v/>
      </c>
      <c r="W67" s="35" t="str">
        <f aca="false">IF($A67="","",IF(AND(OR($T67="Issued",$T67="Disputed"),$S67&gt;0.005),IF($V67&lt;=0,"Not yet due",IF($V67&lt;=30,"1 to 30 days",IF($V67&lt;=60,"31 to 60 days",IF($V67&lt;=90,"61 to 90 days","Over 90 days")))),""))</f>
        <v/>
      </c>
      <c r="X67" s="26"/>
      <c r="Y67" s="29"/>
      <c r="Z67" s="28"/>
      <c r="AA67" s="28"/>
    </row>
    <row r="68" customFormat="false" ht="15" hidden="false" customHeight="false" outlineLevel="0" collapsed="false">
      <c r="A68" s="26"/>
      <c r="B68" s="26"/>
      <c r="C68" s="27" t="str">
        <f aca="false">IF($B68="","",IFERROR(INDEX(Clients!$B$6:$B$105,MATCH($B68,Clients!$A$6:$A$105,0)),"Client not found"))</f>
        <v/>
      </c>
      <c r="D68" s="26"/>
      <c r="E68" s="26"/>
      <c r="F68" s="26"/>
      <c r="G68" s="26"/>
      <c r="H68" s="28"/>
      <c r="I68" s="29"/>
      <c r="J68" s="30" t="str">
        <f aca="false">IF($A68="","",IFERROR(IF(N(INDEX(Clients!$E$6:$E$105,MATCH($B68,Clients!$A$6:$A$105,0)))&gt;0,INDEX(Clients!$E$6:$E$105,MATCH($B68,Clients!$A$6:$A$105,0)),Dashboard!$B$6),Dashboard!$B$6))</f>
        <v/>
      </c>
      <c r="K68" s="31" t="str">
        <f aca="false">IF(OR($A68="",$I68=""),"",$I68+$J68)</f>
        <v/>
      </c>
      <c r="L68" s="26"/>
      <c r="M68" s="32"/>
      <c r="N68" s="33"/>
      <c r="O68" s="34" t="str">
        <f aca="false">IF($A68="","",N($M68)*N($N68))</f>
        <v/>
      </c>
      <c r="P68" s="34" t="str">
        <f aca="false">IF($A68="","",N($M68)+$O68)</f>
        <v/>
      </c>
      <c r="Q68" s="34" t="str">
        <f aca="false">IF($A68="","",SUMIFS('Credit Notes'!$F$6:$F$205,'Credit Notes'!$B$6:$B$205,$A68,'Credit Notes'!$H$6:$H$205,"Issued"))</f>
        <v/>
      </c>
      <c r="R68" s="34" t="str">
        <f aca="false">IF($A68="","",SUMIFS(Payments!$I$6:$I$505,Payments!$C$6:$C$505,$A68))</f>
        <v/>
      </c>
      <c r="S68" s="34" t="str">
        <f aca="false">IF($A68="","",IF($T68="Void",0,$P68-$Q68-$R68))</f>
        <v/>
      </c>
      <c r="T68" s="26"/>
      <c r="U68" s="35" t="str">
        <f aca="false">IF($A68="","",IF($T68="Void","Void",IF(OR($T68="",$T68="Draft"),"Draft",IF($T68="Disputed","Disputed",IF($S68&lt;-0.005,"Overpaid",IF($S68&lt;=0.005,"Paid",IF($R68+$Q68&gt;0.005,IF($V68&gt;0,"Part-paid, overdue","Part-paid"),IF($V68&gt;0,"Overdue","Outstanding"))))))))</f>
        <v/>
      </c>
      <c r="V68" s="36" t="str">
        <f aca="true">IF($A68="","",IF(AND(OR($T68="Issued",$T68="Disputed"),$S68&gt;0.005,$K68&lt;&gt;"",$K68&lt;TODAY()),TODAY()-$K68,0))</f>
        <v/>
      </c>
      <c r="W68" s="35" t="str">
        <f aca="false">IF($A68="","",IF(AND(OR($T68="Issued",$T68="Disputed"),$S68&gt;0.005),IF($V68&lt;=0,"Not yet due",IF($V68&lt;=30,"1 to 30 days",IF($V68&lt;=60,"31 to 60 days",IF($V68&lt;=90,"61 to 90 days","Over 90 days")))),""))</f>
        <v/>
      </c>
      <c r="X68" s="26"/>
      <c r="Y68" s="29"/>
      <c r="Z68" s="28"/>
      <c r="AA68" s="28"/>
    </row>
    <row r="69" customFormat="false" ht="15" hidden="false" customHeight="false" outlineLevel="0" collapsed="false">
      <c r="A69" s="26"/>
      <c r="B69" s="26"/>
      <c r="C69" s="27" t="str">
        <f aca="false">IF($B69="","",IFERROR(INDEX(Clients!$B$6:$B$105,MATCH($B69,Clients!$A$6:$A$105,0)),"Client not found"))</f>
        <v/>
      </c>
      <c r="D69" s="26"/>
      <c r="E69" s="26"/>
      <c r="F69" s="26"/>
      <c r="G69" s="26"/>
      <c r="H69" s="28"/>
      <c r="I69" s="29"/>
      <c r="J69" s="30" t="str">
        <f aca="false">IF($A69="","",IFERROR(IF(N(INDEX(Clients!$E$6:$E$105,MATCH($B69,Clients!$A$6:$A$105,0)))&gt;0,INDEX(Clients!$E$6:$E$105,MATCH($B69,Clients!$A$6:$A$105,0)),Dashboard!$B$6),Dashboard!$B$6))</f>
        <v/>
      </c>
      <c r="K69" s="31" t="str">
        <f aca="false">IF(OR($A69="",$I69=""),"",$I69+$J69)</f>
        <v/>
      </c>
      <c r="L69" s="26"/>
      <c r="M69" s="32"/>
      <c r="N69" s="33"/>
      <c r="O69" s="34" t="str">
        <f aca="false">IF($A69="","",N($M69)*N($N69))</f>
        <v/>
      </c>
      <c r="P69" s="34" t="str">
        <f aca="false">IF($A69="","",N($M69)+$O69)</f>
        <v/>
      </c>
      <c r="Q69" s="34" t="str">
        <f aca="false">IF($A69="","",SUMIFS('Credit Notes'!$F$6:$F$205,'Credit Notes'!$B$6:$B$205,$A69,'Credit Notes'!$H$6:$H$205,"Issued"))</f>
        <v/>
      </c>
      <c r="R69" s="34" t="str">
        <f aca="false">IF($A69="","",SUMIFS(Payments!$I$6:$I$505,Payments!$C$6:$C$505,$A69))</f>
        <v/>
      </c>
      <c r="S69" s="34" t="str">
        <f aca="false">IF($A69="","",IF($T69="Void",0,$P69-$Q69-$R69))</f>
        <v/>
      </c>
      <c r="T69" s="26"/>
      <c r="U69" s="35" t="str">
        <f aca="false">IF($A69="","",IF($T69="Void","Void",IF(OR($T69="",$T69="Draft"),"Draft",IF($T69="Disputed","Disputed",IF($S69&lt;-0.005,"Overpaid",IF($S69&lt;=0.005,"Paid",IF($R69+$Q69&gt;0.005,IF($V69&gt;0,"Part-paid, overdue","Part-paid"),IF($V69&gt;0,"Overdue","Outstanding"))))))))</f>
        <v/>
      </c>
      <c r="V69" s="36" t="str">
        <f aca="true">IF($A69="","",IF(AND(OR($T69="Issued",$T69="Disputed"),$S69&gt;0.005,$K69&lt;&gt;"",$K69&lt;TODAY()),TODAY()-$K69,0))</f>
        <v/>
      </c>
      <c r="W69" s="35" t="str">
        <f aca="false">IF($A69="","",IF(AND(OR($T69="Issued",$T69="Disputed"),$S69&gt;0.005),IF($V69&lt;=0,"Not yet due",IF($V69&lt;=30,"1 to 30 days",IF($V69&lt;=60,"31 to 60 days",IF($V69&lt;=90,"61 to 90 days","Over 90 days")))),""))</f>
        <v/>
      </c>
      <c r="X69" s="26"/>
      <c r="Y69" s="29"/>
      <c r="Z69" s="28"/>
      <c r="AA69" s="28"/>
    </row>
    <row r="70" customFormat="false" ht="15" hidden="false" customHeight="false" outlineLevel="0" collapsed="false">
      <c r="A70" s="26"/>
      <c r="B70" s="26"/>
      <c r="C70" s="27" t="str">
        <f aca="false">IF($B70="","",IFERROR(INDEX(Clients!$B$6:$B$105,MATCH($B70,Clients!$A$6:$A$105,0)),"Client not found"))</f>
        <v/>
      </c>
      <c r="D70" s="26"/>
      <c r="E70" s="26"/>
      <c r="F70" s="26"/>
      <c r="G70" s="26"/>
      <c r="H70" s="28"/>
      <c r="I70" s="29"/>
      <c r="J70" s="30" t="str">
        <f aca="false">IF($A70="","",IFERROR(IF(N(INDEX(Clients!$E$6:$E$105,MATCH($B70,Clients!$A$6:$A$105,0)))&gt;0,INDEX(Clients!$E$6:$E$105,MATCH($B70,Clients!$A$6:$A$105,0)),Dashboard!$B$6),Dashboard!$B$6))</f>
        <v/>
      </c>
      <c r="K70" s="31" t="str">
        <f aca="false">IF(OR($A70="",$I70=""),"",$I70+$J70)</f>
        <v/>
      </c>
      <c r="L70" s="26"/>
      <c r="M70" s="32"/>
      <c r="N70" s="33"/>
      <c r="O70" s="34" t="str">
        <f aca="false">IF($A70="","",N($M70)*N($N70))</f>
        <v/>
      </c>
      <c r="P70" s="34" t="str">
        <f aca="false">IF($A70="","",N($M70)+$O70)</f>
        <v/>
      </c>
      <c r="Q70" s="34" t="str">
        <f aca="false">IF($A70="","",SUMIFS('Credit Notes'!$F$6:$F$205,'Credit Notes'!$B$6:$B$205,$A70,'Credit Notes'!$H$6:$H$205,"Issued"))</f>
        <v/>
      </c>
      <c r="R70" s="34" t="str">
        <f aca="false">IF($A70="","",SUMIFS(Payments!$I$6:$I$505,Payments!$C$6:$C$505,$A70))</f>
        <v/>
      </c>
      <c r="S70" s="34" t="str">
        <f aca="false">IF($A70="","",IF($T70="Void",0,$P70-$Q70-$R70))</f>
        <v/>
      </c>
      <c r="T70" s="26"/>
      <c r="U70" s="35" t="str">
        <f aca="false">IF($A70="","",IF($T70="Void","Void",IF(OR($T70="",$T70="Draft"),"Draft",IF($T70="Disputed","Disputed",IF($S70&lt;-0.005,"Overpaid",IF($S70&lt;=0.005,"Paid",IF($R70+$Q70&gt;0.005,IF($V70&gt;0,"Part-paid, overdue","Part-paid"),IF($V70&gt;0,"Overdue","Outstanding"))))))))</f>
        <v/>
      </c>
      <c r="V70" s="36" t="str">
        <f aca="true">IF($A70="","",IF(AND(OR($T70="Issued",$T70="Disputed"),$S70&gt;0.005,$K70&lt;&gt;"",$K70&lt;TODAY()),TODAY()-$K70,0))</f>
        <v/>
      </c>
      <c r="W70" s="35" t="str">
        <f aca="false">IF($A70="","",IF(AND(OR($T70="Issued",$T70="Disputed"),$S70&gt;0.005),IF($V70&lt;=0,"Not yet due",IF($V70&lt;=30,"1 to 30 days",IF($V70&lt;=60,"31 to 60 days",IF($V70&lt;=90,"61 to 90 days","Over 90 days")))),""))</f>
        <v/>
      </c>
      <c r="X70" s="26"/>
      <c r="Y70" s="29"/>
      <c r="Z70" s="28"/>
      <c r="AA70" s="28"/>
    </row>
    <row r="71" customFormat="false" ht="15" hidden="false" customHeight="false" outlineLevel="0" collapsed="false">
      <c r="A71" s="26"/>
      <c r="B71" s="26"/>
      <c r="C71" s="27" t="str">
        <f aca="false">IF($B71="","",IFERROR(INDEX(Clients!$B$6:$B$105,MATCH($B71,Clients!$A$6:$A$105,0)),"Client not found"))</f>
        <v/>
      </c>
      <c r="D71" s="26"/>
      <c r="E71" s="26"/>
      <c r="F71" s="26"/>
      <c r="G71" s="26"/>
      <c r="H71" s="28"/>
      <c r="I71" s="29"/>
      <c r="J71" s="30" t="str">
        <f aca="false">IF($A71="","",IFERROR(IF(N(INDEX(Clients!$E$6:$E$105,MATCH($B71,Clients!$A$6:$A$105,0)))&gt;0,INDEX(Clients!$E$6:$E$105,MATCH($B71,Clients!$A$6:$A$105,0)),Dashboard!$B$6),Dashboard!$B$6))</f>
        <v/>
      </c>
      <c r="K71" s="31" t="str">
        <f aca="false">IF(OR($A71="",$I71=""),"",$I71+$J71)</f>
        <v/>
      </c>
      <c r="L71" s="26"/>
      <c r="M71" s="32"/>
      <c r="N71" s="33"/>
      <c r="O71" s="34" t="str">
        <f aca="false">IF($A71="","",N($M71)*N($N71))</f>
        <v/>
      </c>
      <c r="P71" s="34" t="str">
        <f aca="false">IF($A71="","",N($M71)+$O71)</f>
        <v/>
      </c>
      <c r="Q71" s="34" t="str">
        <f aca="false">IF($A71="","",SUMIFS('Credit Notes'!$F$6:$F$205,'Credit Notes'!$B$6:$B$205,$A71,'Credit Notes'!$H$6:$H$205,"Issued"))</f>
        <v/>
      </c>
      <c r="R71" s="34" t="str">
        <f aca="false">IF($A71="","",SUMIFS(Payments!$I$6:$I$505,Payments!$C$6:$C$505,$A71))</f>
        <v/>
      </c>
      <c r="S71" s="34" t="str">
        <f aca="false">IF($A71="","",IF($T71="Void",0,$P71-$Q71-$R71))</f>
        <v/>
      </c>
      <c r="T71" s="26"/>
      <c r="U71" s="35" t="str">
        <f aca="false">IF($A71="","",IF($T71="Void","Void",IF(OR($T71="",$T71="Draft"),"Draft",IF($T71="Disputed","Disputed",IF($S71&lt;-0.005,"Overpaid",IF($S71&lt;=0.005,"Paid",IF($R71+$Q71&gt;0.005,IF($V71&gt;0,"Part-paid, overdue","Part-paid"),IF($V71&gt;0,"Overdue","Outstanding"))))))))</f>
        <v/>
      </c>
      <c r="V71" s="36" t="str">
        <f aca="true">IF($A71="","",IF(AND(OR($T71="Issued",$T71="Disputed"),$S71&gt;0.005,$K71&lt;&gt;"",$K71&lt;TODAY()),TODAY()-$K71,0))</f>
        <v/>
      </c>
      <c r="W71" s="35" t="str">
        <f aca="false">IF($A71="","",IF(AND(OR($T71="Issued",$T71="Disputed"),$S71&gt;0.005),IF($V71&lt;=0,"Not yet due",IF($V71&lt;=30,"1 to 30 days",IF($V71&lt;=60,"31 to 60 days",IF($V71&lt;=90,"61 to 90 days","Over 90 days")))),""))</f>
        <v/>
      </c>
      <c r="X71" s="26"/>
      <c r="Y71" s="29"/>
      <c r="Z71" s="28"/>
      <c r="AA71" s="28"/>
    </row>
    <row r="72" customFormat="false" ht="15" hidden="false" customHeight="false" outlineLevel="0" collapsed="false">
      <c r="A72" s="26"/>
      <c r="B72" s="26"/>
      <c r="C72" s="27" t="str">
        <f aca="false">IF($B72="","",IFERROR(INDEX(Clients!$B$6:$B$105,MATCH($B72,Clients!$A$6:$A$105,0)),"Client not found"))</f>
        <v/>
      </c>
      <c r="D72" s="26"/>
      <c r="E72" s="26"/>
      <c r="F72" s="26"/>
      <c r="G72" s="26"/>
      <c r="H72" s="28"/>
      <c r="I72" s="29"/>
      <c r="J72" s="30" t="str">
        <f aca="false">IF($A72="","",IFERROR(IF(N(INDEX(Clients!$E$6:$E$105,MATCH($B72,Clients!$A$6:$A$105,0)))&gt;0,INDEX(Clients!$E$6:$E$105,MATCH($B72,Clients!$A$6:$A$105,0)),Dashboard!$B$6),Dashboard!$B$6))</f>
        <v/>
      </c>
      <c r="K72" s="31" t="str">
        <f aca="false">IF(OR($A72="",$I72=""),"",$I72+$J72)</f>
        <v/>
      </c>
      <c r="L72" s="26"/>
      <c r="M72" s="32"/>
      <c r="N72" s="33"/>
      <c r="O72" s="34" t="str">
        <f aca="false">IF($A72="","",N($M72)*N($N72))</f>
        <v/>
      </c>
      <c r="P72" s="34" t="str">
        <f aca="false">IF($A72="","",N($M72)+$O72)</f>
        <v/>
      </c>
      <c r="Q72" s="34" t="str">
        <f aca="false">IF($A72="","",SUMIFS('Credit Notes'!$F$6:$F$205,'Credit Notes'!$B$6:$B$205,$A72,'Credit Notes'!$H$6:$H$205,"Issued"))</f>
        <v/>
      </c>
      <c r="R72" s="34" t="str">
        <f aca="false">IF($A72="","",SUMIFS(Payments!$I$6:$I$505,Payments!$C$6:$C$505,$A72))</f>
        <v/>
      </c>
      <c r="S72" s="34" t="str">
        <f aca="false">IF($A72="","",IF($T72="Void",0,$P72-$Q72-$R72))</f>
        <v/>
      </c>
      <c r="T72" s="26"/>
      <c r="U72" s="35" t="str">
        <f aca="false">IF($A72="","",IF($T72="Void","Void",IF(OR($T72="",$T72="Draft"),"Draft",IF($T72="Disputed","Disputed",IF($S72&lt;-0.005,"Overpaid",IF($S72&lt;=0.005,"Paid",IF($R72+$Q72&gt;0.005,IF($V72&gt;0,"Part-paid, overdue","Part-paid"),IF($V72&gt;0,"Overdue","Outstanding"))))))))</f>
        <v/>
      </c>
      <c r="V72" s="36" t="str">
        <f aca="true">IF($A72="","",IF(AND(OR($T72="Issued",$T72="Disputed"),$S72&gt;0.005,$K72&lt;&gt;"",$K72&lt;TODAY()),TODAY()-$K72,0))</f>
        <v/>
      </c>
      <c r="W72" s="35" t="str">
        <f aca="false">IF($A72="","",IF(AND(OR($T72="Issued",$T72="Disputed"),$S72&gt;0.005),IF($V72&lt;=0,"Not yet due",IF($V72&lt;=30,"1 to 30 days",IF($V72&lt;=60,"31 to 60 days",IF($V72&lt;=90,"61 to 90 days","Over 90 days")))),""))</f>
        <v/>
      </c>
      <c r="X72" s="26"/>
      <c r="Y72" s="29"/>
      <c r="Z72" s="28"/>
      <c r="AA72" s="28"/>
    </row>
    <row r="73" customFormat="false" ht="15" hidden="false" customHeight="false" outlineLevel="0" collapsed="false">
      <c r="A73" s="26"/>
      <c r="B73" s="26"/>
      <c r="C73" s="27" t="str">
        <f aca="false">IF($B73="","",IFERROR(INDEX(Clients!$B$6:$B$105,MATCH($B73,Clients!$A$6:$A$105,0)),"Client not found"))</f>
        <v/>
      </c>
      <c r="D73" s="26"/>
      <c r="E73" s="26"/>
      <c r="F73" s="26"/>
      <c r="G73" s="26"/>
      <c r="H73" s="28"/>
      <c r="I73" s="29"/>
      <c r="J73" s="30" t="str">
        <f aca="false">IF($A73="","",IFERROR(IF(N(INDEX(Clients!$E$6:$E$105,MATCH($B73,Clients!$A$6:$A$105,0)))&gt;0,INDEX(Clients!$E$6:$E$105,MATCH($B73,Clients!$A$6:$A$105,0)),Dashboard!$B$6),Dashboard!$B$6))</f>
        <v/>
      </c>
      <c r="K73" s="31" t="str">
        <f aca="false">IF(OR($A73="",$I73=""),"",$I73+$J73)</f>
        <v/>
      </c>
      <c r="L73" s="26"/>
      <c r="M73" s="32"/>
      <c r="N73" s="33"/>
      <c r="O73" s="34" t="str">
        <f aca="false">IF($A73="","",N($M73)*N($N73))</f>
        <v/>
      </c>
      <c r="P73" s="34" t="str">
        <f aca="false">IF($A73="","",N($M73)+$O73)</f>
        <v/>
      </c>
      <c r="Q73" s="34" t="str">
        <f aca="false">IF($A73="","",SUMIFS('Credit Notes'!$F$6:$F$205,'Credit Notes'!$B$6:$B$205,$A73,'Credit Notes'!$H$6:$H$205,"Issued"))</f>
        <v/>
      </c>
      <c r="R73" s="34" t="str">
        <f aca="false">IF($A73="","",SUMIFS(Payments!$I$6:$I$505,Payments!$C$6:$C$505,$A73))</f>
        <v/>
      </c>
      <c r="S73" s="34" t="str">
        <f aca="false">IF($A73="","",IF($T73="Void",0,$P73-$Q73-$R73))</f>
        <v/>
      </c>
      <c r="T73" s="26"/>
      <c r="U73" s="35" t="str">
        <f aca="false">IF($A73="","",IF($T73="Void","Void",IF(OR($T73="",$T73="Draft"),"Draft",IF($T73="Disputed","Disputed",IF($S73&lt;-0.005,"Overpaid",IF($S73&lt;=0.005,"Paid",IF($R73+$Q73&gt;0.005,IF($V73&gt;0,"Part-paid, overdue","Part-paid"),IF($V73&gt;0,"Overdue","Outstanding"))))))))</f>
        <v/>
      </c>
      <c r="V73" s="36" t="str">
        <f aca="true">IF($A73="","",IF(AND(OR($T73="Issued",$T73="Disputed"),$S73&gt;0.005,$K73&lt;&gt;"",$K73&lt;TODAY()),TODAY()-$K73,0))</f>
        <v/>
      </c>
      <c r="W73" s="35" t="str">
        <f aca="false">IF($A73="","",IF(AND(OR($T73="Issued",$T73="Disputed"),$S73&gt;0.005),IF($V73&lt;=0,"Not yet due",IF($V73&lt;=30,"1 to 30 days",IF($V73&lt;=60,"31 to 60 days",IF($V73&lt;=90,"61 to 90 days","Over 90 days")))),""))</f>
        <v/>
      </c>
      <c r="X73" s="26"/>
      <c r="Y73" s="29"/>
      <c r="Z73" s="28"/>
      <c r="AA73" s="28"/>
    </row>
    <row r="74" customFormat="false" ht="15" hidden="false" customHeight="false" outlineLevel="0" collapsed="false">
      <c r="A74" s="26"/>
      <c r="B74" s="26"/>
      <c r="C74" s="27" t="str">
        <f aca="false">IF($B74="","",IFERROR(INDEX(Clients!$B$6:$B$105,MATCH($B74,Clients!$A$6:$A$105,0)),"Client not found"))</f>
        <v/>
      </c>
      <c r="D74" s="26"/>
      <c r="E74" s="26"/>
      <c r="F74" s="26"/>
      <c r="G74" s="26"/>
      <c r="H74" s="28"/>
      <c r="I74" s="29"/>
      <c r="J74" s="30" t="str">
        <f aca="false">IF($A74="","",IFERROR(IF(N(INDEX(Clients!$E$6:$E$105,MATCH($B74,Clients!$A$6:$A$105,0)))&gt;0,INDEX(Clients!$E$6:$E$105,MATCH($B74,Clients!$A$6:$A$105,0)),Dashboard!$B$6),Dashboard!$B$6))</f>
        <v/>
      </c>
      <c r="K74" s="31" t="str">
        <f aca="false">IF(OR($A74="",$I74=""),"",$I74+$J74)</f>
        <v/>
      </c>
      <c r="L74" s="26"/>
      <c r="M74" s="32"/>
      <c r="N74" s="33"/>
      <c r="O74" s="34" t="str">
        <f aca="false">IF($A74="","",N($M74)*N($N74))</f>
        <v/>
      </c>
      <c r="P74" s="34" t="str">
        <f aca="false">IF($A74="","",N($M74)+$O74)</f>
        <v/>
      </c>
      <c r="Q74" s="34" t="str">
        <f aca="false">IF($A74="","",SUMIFS('Credit Notes'!$F$6:$F$205,'Credit Notes'!$B$6:$B$205,$A74,'Credit Notes'!$H$6:$H$205,"Issued"))</f>
        <v/>
      </c>
      <c r="R74" s="34" t="str">
        <f aca="false">IF($A74="","",SUMIFS(Payments!$I$6:$I$505,Payments!$C$6:$C$505,$A74))</f>
        <v/>
      </c>
      <c r="S74" s="34" t="str">
        <f aca="false">IF($A74="","",IF($T74="Void",0,$P74-$Q74-$R74))</f>
        <v/>
      </c>
      <c r="T74" s="26"/>
      <c r="U74" s="35" t="str">
        <f aca="false">IF($A74="","",IF($T74="Void","Void",IF(OR($T74="",$T74="Draft"),"Draft",IF($T74="Disputed","Disputed",IF($S74&lt;-0.005,"Overpaid",IF($S74&lt;=0.005,"Paid",IF($R74+$Q74&gt;0.005,IF($V74&gt;0,"Part-paid, overdue","Part-paid"),IF($V74&gt;0,"Overdue","Outstanding"))))))))</f>
        <v/>
      </c>
      <c r="V74" s="36" t="str">
        <f aca="true">IF($A74="","",IF(AND(OR($T74="Issued",$T74="Disputed"),$S74&gt;0.005,$K74&lt;&gt;"",$K74&lt;TODAY()),TODAY()-$K74,0))</f>
        <v/>
      </c>
      <c r="W74" s="35" t="str">
        <f aca="false">IF($A74="","",IF(AND(OR($T74="Issued",$T74="Disputed"),$S74&gt;0.005),IF($V74&lt;=0,"Not yet due",IF($V74&lt;=30,"1 to 30 days",IF($V74&lt;=60,"31 to 60 days",IF($V74&lt;=90,"61 to 90 days","Over 90 days")))),""))</f>
        <v/>
      </c>
      <c r="X74" s="26"/>
      <c r="Y74" s="29"/>
      <c r="Z74" s="28"/>
      <c r="AA74" s="28"/>
    </row>
    <row r="75" customFormat="false" ht="15" hidden="false" customHeight="false" outlineLevel="0" collapsed="false">
      <c r="A75" s="26"/>
      <c r="B75" s="26"/>
      <c r="C75" s="27" t="str">
        <f aca="false">IF($B75="","",IFERROR(INDEX(Clients!$B$6:$B$105,MATCH($B75,Clients!$A$6:$A$105,0)),"Client not found"))</f>
        <v/>
      </c>
      <c r="D75" s="26"/>
      <c r="E75" s="26"/>
      <c r="F75" s="26"/>
      <c r="G75" s="26"/>
      <c r="H75" s="28"/>
      <c r="I75" s="29"/>
      <c r="J75" s="30" t="str">
        <f aca="false">IF($A75="","",IFERROR(IF(N(INDEX(Clients!$E$6:$E$105,MATCH($B75,Clients!$A$6:$A$105,0)))&gt;0,INDEX(Clients!$E$6:$E$105,MATCH($B75,Clients!$A$6:$A$105,0)),Dashboard!$B$6),Dashboard!$B$6))</f>
        <v/>
      </c>
      <c r="K75" s="31" t="str">
        <f aca="false">IF(OR($A75="",$I75=""),"",$I75+$J75)</f>
        <v/>
      </c>
      <c r="L75" s="26"/>
      <c r="M75" s="32"/>
      <c r="N75" s="33"/>
      <c r="O75" s="34" t="str">
        <f aca="false">IF($A75="","",N($M75)*N($N75))</f>
        <v/>
      </c>
      <c r="P75" s="34" t="str">
        <f aca="false">IF($A75="","",N($M75)+$O75)</f>
        <v/>
      </c>
      <c r="Q75" s="34" t="str">
        <f aca="false">IF($A75="","",SUMIFS('Credit Notes'!$F$6:$F$205,'Credit Notes'!$B$6:$B$205,$A75,'Credit Notes'!$H$6:$H$205,"Issued"))</f>
        <v/>
      </c>
      <c r="R75" s="34" t="str">
        <f aca="false">IF($A75="","",SUMIFS(Payments!$I$6:$I$505,Payments!$C$6:$C$505,$A75))</f>
        <v/>
      </c>
      <c r="S75" s="34" t="str">
        <f aca="false">IF($A75="","",IF($T75="Void",0,$P75-$Q75-$R75))</f>
        <v/>
      </c>
      <c r="T75" s="26"/>
      <c r="U75" s="35" t="str">
        <f aca="false">IF($A75="","",IF($T75="Void","Void",IF(OR($T75="",$T75="Draft"),"Draft",IF($T75="Disputed","Disputed",IF($S75&lt;-0.005,"Overpaid",IF($S75&lt;=0.005,"Paid",IF($R75+$Q75&gt;0.005,IF($V75&gt;0,"Part-paid, overdue","Part-paid"),IF($V75&gt;0,"Overdue","Outstanding"))))))))</f>
        <v/>
      </c>
      <c r="V75" s="36" t="str">
        <f aca="true">IF($A75="","",IF(AND(OR($T75="Issued",$T75="Disputed"),$S75&gt;0.005,$K75&lt;&gt;"",$K75&lt;TODAY()),TODAY()-$K75,0))</f>
        <v/>
      </c>
      <c r="W75" s="35" t="str">
        <f aca="false">IF($A75="","",IF(AND(OR($T75="Issued",$T75="Disputed"),$S75&gt;0.005),IF($V75&lt;=0,"Not yet due",IF($V75&lt;=30,"1 to 30 days",IF($V75&lt;=60,"31 to 60 days",IF($V75&lt;=90,"61 to 90 days","Over 90 days")))),""))</f>
        <v/>
      </c>
      <c r="X75" s="26"/>
      <c r="Y75" s="29"/>
      <c r="Z75" s="28"/>
      <c r="AA75" s="28"/>
    </row>
    <row r="76" customFormat="false" ht="15" hidden="false" customHeight="false" outlineLevel="0" collapsed="false">
      <c r="A76" s="26"/>
      <c r="B76" s="26"/>
      <c r="C76" s="27" t="str">
        <f aca="false">IF($B76="","",IFERROR(INDEX(Clients!$B$6:$B$105,MATCH($B76,Clients!$A$6:$A$105,0)),"Client not found"))</f>
        <v/>
      </c>
      <c r="D76" s="26"/>
      <c r="E76" s="26"/>
      <c r="F76" s="26"/>
      <c r="G76" s="26"/>
      <c r="H76" s="28"/>
      <c r="I76" s="29"/>
      <c r="J76" s="30" t="str">
        <f aca="false">IF($A76="","",IFERROR(IF(N(INDEX(Clients!$E$6:$E$105,MATCH($B76,Clients!$A$6:$A$105,0)))&gt;0,INDEX(Clients!$E$6:$E$105,MATCH($B76,Clients!$A$6:$A$105,0)),Dashboard!$B$6),Dashboard!$B$6))</f>
        <v/>
      </c>
      <c r="K76" s="31" t="str">
        <f aca="false">IF(OR($A76="",$I76=""),"",$I76+$J76)</f>
        <v/>
      </c>
      <c r="L76" s="26"/>
      <c r="M76" s="32"/>
      <c r="N76" s="33"/>
      <c r="O76" s="34" t="str">
        <f aca="false">IF($A76="","",N($M76)*N($N76))</f>
        <v/>
      </c>
      <c r="P76" s="34" t="str">
        <f aca="false">IF($A76="","",N($M76)+$O76)</f>
        <v/>
      </c>
      <c r="Q76" s="34" t="str">
        <f aca="false">IF($A76="","",SUMIFS('Credit Notes'!$F$6:$F$205,'Credit Notes'!$B$6:$B$205,$A76,'Credit Notes'!$H$6:$H$205,"Issued"))</f>
        <v/>
      </c>
      <c r="R76" s="34" t="str">
        <f aca="false">IF($A76="","",SUMIFS(Payments!$I$6:$I$505,Payments!$C$6:$C$505,$A76))</f>
        <v/>
      </c>
      <c r="S76" s="34" t="str">
        <f aca="false">IF($A76="","",IF($T76="Void",0,$P76-$Q76-$R76))</f>
        <v/>
      </c>
      <c r="T76" s="26"/>
      <c r="U76" s="35" t="str">
        <f aca="false">IF($A76="","",IF($T76="Void","Void",IF(OR($T76="",$T76="Draft"),"Draft",IF($T76="Disputed","Disputed",IF($S76&lt;-0.005,"Overpaid",IF($S76&lt;=0.005,"Paid",IF($R76+$Q76&gt;0.005,IF($V76&gt;0,"Part-paid, overdue","Part-paid"),IF($V76&gt;0,"Overdue","Outstanding"))))))))</f>
        <v/>
      </c>
      <c r="V76" s="36" t="str">
        <f aca="true">IF($A76="","",IF(AND(OR($T76="Issued",$T76="Disputed"),$S76&gt;0.005,$K76&lt;&gt;"",$K76&lt;TODAY()),TODAY()-$K76,0))</f>
        <v/>
      </c>
      <c r="W76" s="35" t="str">
        <f aca="false">IF($A76="","",IF(AND(OR($T76="Issued",$T76="Disputed"),$S76&gt;0.005),IF($V76&lt;=0,"Not yet due",IF($V76&lt;=30,"1 to 30 days",IF($V76&lt;=60,"31 to 60 days",IF($V76&lt;=90,"61 to 90 days","Over 90 days")))),""))</f>
        <v/>
      </c>
      <c r="X76" s="26"/>
      <c r="Y76" s="29"/>
      <c r="Z76" s="28"/>
      <c r="AA76" s="28"/>
    </row>
    <row r="77" customFormat="false" ht="15" hidden="false" customHeight="false" outlineLevel="0" collapsed="false">
      <c r="A77" s="26"/>
      <c r="B77" s="26"/>
      <c r="C77" s="27" t="str">
        <f aca="false">IF($B77="","",IFERROR(INDEX(Clients!$B$6:$B$105,MATCH($B77,Clients!$A$6:$A$105,0)),"Client not found"))</f>
        <v/>
      </c>
      <c r="D77" s="26"/>
      <c r="E77" s="26"/>
      <c r="F77" s="26"/>
      <c r="G77" s="26"/>
      <c r="H77" s="28"/>
      <c r="I77" s="29"/>
      <c r="J77" s="30" t="str">
        <f aca="false">IF($A77="","",IFERROR(IF(N(INDEX(Clients!$E$6:$E$105,MATCH($B77,Clients!$A$6:$A$105,0)))&gt;0,INDEX(Clients!$E$6:$E$105,MATCH($B77,Clients!$A$6:$A$105,0)),Dashboard!$B$6),Dashboard!$B$6))</f>
        <v/>
      </c>
      <c r="K77" s="31" t="str">
        <f aca="false">IF(OR($A77="",$I77=""),"",$I77+$J77)</f>
        <v/>
      </c>
      <c r="L77" s="26"/>
      <c r="M77" s="32"/>
      <c r="N77" s="33"/>
      <c r="O77" s="34" t="str">
        <f aca="false">IF($A77="","",N($M77)*N($N77))</f>
        <v/>
      </c>
      <c r="P77" s="34" t="str">
        <f aca="false">IF($A77="","",N($M77)+$O77)</f>
        <v/>
      </c>
      <c r="Q77" s="34" t="str">
        <f aca="false">IF($A77="","",SUMIFS('Credit Notes'!$F$6:$F$205,'Credit Notes'!$B$6:$B$205,$A77,'Credit Notes'!$H$6:$H$205,"Issued"))</f>
        <v/>
      </c>
      <c r="R77" s="34" t="str">
        <f aca="false">IF($A77="","",SUMIFS(Payments!$I$6:$I$505,Payments!$C$6:$C$505,$A77))</f>
        <v/>
      </c>
      <c r="S77" s="34" t="str">
        <f aca="false">IF($A77="","",IF($T77="Void",0,$P77-$Q77-$R77))</f>
        <v/>
      </c>
      <c r="T77" s="26"/>
      <c r="U77" s="35" t="str">
        <f aca="false">IF($A77="","",IF($T77="Void","Void",IF(OR($T77="",$T77="Draft"),"Draft",IF($T77="Disputed","Disputed",IF($S77&lt;-0.005,"Overpaid",IF($S77&lt;=0.005,"Paid",IF($R77+$Q77&gt;0.005,IF($V77&gt;0,"Part-paid, overdue","Part-paid"),IF($V77&gt;0,"Overdue","Outstanding"))))))))</f>
        <v/>
      </c>
      <c r="V77" s="36" t="str">
        <f aca="true">IF($A77="","",IF(AND(OR($T77="Issued",$T77="Disputed"),$S77&gt;0.005,$K77&lt;&gt;"",$K77&lt;TODAY()),TODAY()-$K77,0))</f>
        <v/>
      </c>
      <c r="W77" s="35" t="str">
        <f aca="false">IF($A77="","",IF(AND(OR($T77="Issued",$T77="Disputed"),$S77&gt;0.005),IF($V77&lt;=0,"Not yet due",IF($V77&lt;=30,"1 to 30 days",IF($V77&lt;=60,"31 to 60 days",IF($V77&lt;=90,"61 to 90 days","Over 90 days")))),""))</f>
        <v/>
      </c>
      <c r="X77" s="26"/>
      <c r="Y77" s="29"/>
      <c r="Z77" s="28"/>
      <c r="AA77" s="28"/>
    </row>
    <row r="78" customFormat="false" ht="15" hidden="false" customHeight="false" outlineLevel="0" collapsed="false">
      <c r="A78" s="26"/>
      <c r="B78" s="26"/>
      <c r="C78" s="27" t="str">
        <f aca="false">IF($B78="","",IFERROR(INDEX(Clients!$B$6:$B$105,MATCH($B78,Clients!$A$6:$A$105,0)),"Client not found"))</f>
        <v/>
      </c>
      <c r="D78" s="26"/>
      <c r="E78" s="26"/>
      <c r="F78" s="26"/>
      <c r="G78" s="26"/>
      <c r="H78" s="28"/>
      <c r="I78" s="29"/>
      <c r="J78" s="30" t="str">
        <f aca="false">IF($A78="","",IFERROR(IF(N(INDEX(Clients!$E$6:$E$105,MATCH($B78,Clients!$A$6:$A$105,0)))&gt;0,INDEX(Clients!$E$6:$E$105,MATCH($B78,Clients!$A$6:$A$105,0)),Dashboard!$B$6),Dashboard!$B$6))</f>
        <v/>
      </c>
      <c r="K78" s="31" t="str">
        <f aca="false">IF(OR($A78="",$I78=""),"",$I78+$J78)</f>
        <v/>
      </c>
      <c r="L78" s="26"/>
      <c r="M78" s="32"/>
      <c r="N78" s="33"/>
      <c r="O78" s="34" t="str">
        <f aca="false">IF($A78="","",N($M78)*N($N78))</f>
        <v/>
      </c>
      <c r="P78" s="34" t="str">
        <f aca="false">IF($A78="","",N($M78)+$O78)</f>
        <v/>
      </c>
      <c r="Q78" s="34" t="str">
        <f aca="false">IF($A78="","",SUMIFS('Credit Notes'!$F$6:$F$205,'Credit Notes'!$B$6:$B$205,$A78,'Credit Notes'!$H$6:$H$205,"Issued"))</f>
        <v/>
      </c>
      <c r="R78" s="34" t="str">
        <f aca="false">IF($A78="","",SUMIFS(Payments!$I$6:$I$505,Payments!$C$6:$C$505,$A78))</f>
        <v/>
      </c>
      <c r="S78" s="34" t="str">
        <f aca="false">IF($A78="","",IF($T78="Void",0,$P78-$Q78-$R78))</f>
        <v/>
      </c>
      <c r="T78" s="26"/>
      <c r="U78" s="35" t="str">
        <f aca="false">IF($A78="","",IF($T78="Void","Void",IF(OR($T78="",$T78="Draft"),"Draft",IF($T78="Disputed","Disputed",IF($S78&lt;-0.005,"Overpaid",IF($S78&lt;=0.005,"Paid",IF($R78+$Q78&gt;0.005,IF($V78&gt;0,"Part-paid, overdue","Part-paid"),IF($V78&gt;0,"Overdue","Outstanding"))))))))</f>
        <v/>
      </c>
      <c r="V78" s="36" t="str">
        <f aca="true">IF($A78="","",IF(AND(OR($T78="Issued",$T78="Disputed"),$S78&gt;0.005,$K78&lt;&gt;"",$K78&lt;TODAY()),TODAY()-$K78,0))</f>
        <v/>
      </c>
      <c r="W78" s="35" t="str">
        <f aca="false">IF($A78="","",IF(AND(OR($T78="Issued",$T78="Disputed"),$S78&gt;0.005),IF($V78&lt;=0,"Not yet due",IF($V78&lt;=30,"1 to 30 days",IF($V78&lt;=60,"31 to 60 days",IF($V78&lt;=90,"61 to 90 days","Over 90 days")))),""))</f>
        <v/>
      </c>
      <c r="X78" s="26"/>
      <c r="Y78" s="29"/>
      <c r="Z78" s="28"/>
      <c r="AA78" s="28"/>
    </row>
    <row r="79" customFormat="false" ht="15" hidden="false" customHeight="false" outlineLevel="0" collapsed="false">
      <c r="A79" s="26"/>
      <c r="B79" s="26"/>
      <c r="C79" s="27" t="str">
        <f aca="false">IF($B79="","",IFERROR(INDEX(Clients!$B$6:$B$105,MATCH($B79,Clients!$A$6:$A$105,0)),"Client not found"))</f>
        <v/>
      </c>
      <c r="D79" s="26"/>
      <c r="E79" s="26"/>
      <c r="F79" s="26"/>
      <c r="G79" s="26"/>
      <c r="H79" s="28"/>
      <c r="I79" s="29"/>
      <c r="J79" s="30" t="str">
        <f aca="false">IF($A79="","",IFERROR(IF(N(INDEX(Clients!$E$6:$E$105,MATCH($B79,Clients!$A$6:$A$105,0)))&gt;0,INDEX(Clients!$E$6:$E$105,MATCH($B79,Clients!$A$6:$A$105,0)),Dashboard!$B$6),Dashboard!$B$6))</f>
        <v/>
      </c>
      <c r="K79" s="31" t="str">
        <f aca="false">IF(OR($A79="",$I79=""),"",$I79+$J79)</f>
        <v/>
      </c>
      <c r="L79" s="26"/>
      <c r="M79" s="32"/>
      <c r="N79" s="33"/>
      <c r="O79" s="34" t="str">
        <f aca="false">IF($A79="","",N($M79)*N($N79))</f>
        <v/>
      </c>
      <c r="P79" s="34" t="str">
        <f aca="false">IF($A79="","",N($M79)+$O79)</f>
        <v/>
      </c>
      <c r="Q79" s="34" t="str">
        <f aca="false">IF($A79="","",SUMIFS('Credit Notes'!$F$6:$F$205,'Credit Notes'!$B$6:$B$205,$A79,'Credit Notes'!$H$6:$H$205,"Issued"))</f>
        <v/>
      </c>
      <c r="R79" s="34" t="str">
        <f aca="false">IF($A79="","",SUMIFS(Payments!$I$6:$I$505,Payments!$C$6:$C$505,$A79))</f>
        <v/>
      </c>
      <c r="S79" s="34" t="str">
        <f aca="false">IF($A79="","",IF($T79="Void",0,$P79-$Q79-$R79))</f>
        <v/>
      </c>
      <c r="T79" s="26"/>
      <c r="U79" s="35" t="str">
        <f aca="false">IF($A79="","",IF($T79="Void","Void",IF(OR($T79="",$T79="Draft"),"Draft",IF($T79="Disputed","Disputed",IF($S79&lt;-0.005,"Overpaid",IF($S79&lt;=0.005,"Paid",IF($R79+$Q79&gt;0.005,IF($V79&gt;0,"Part-paid, overdue","Part-paid"),IF($V79&gt;0,"Overdue","Outstanding"))))))))</f>
        <v/>
      </c>
      <c r="V79" s="36" t="str">
        <f aca="true">IF($A79="","",IF(AND(OR($T79="Issued",$T79="Disputed"),$S79&gt;0.005,$K79&lt;&gt;"",$K79&lt;TODAY()),TODAY()-$K79,0))</f>
        <v/>
      </c>
      <c r="W79" s="35" t="str">
        <f aca="false">IF($A79="","",IF(AND(OR($T79="Issued",$T79="Disputed"),$S79&gt;0.005),IF($V79&lt;=0,"Not yet due",IF($V79&lt;=30,"1 to 30 days",IF($V79&lt;=60,"31 to 60 days",IF($V79&lt;=90,"61 to 90 days","Over 90 days")))),""))</f>
        <v/>
      </c>
      <c r="X79" s="26"/>
      <c r="Y79" s="29"/>
      <c r="Z79" s="28"/>
      <c r="AA79" s="28"/>
    </row>
    <row r="80" customFormat="false" ht="15" hidden="false" customHeight="false" outlineLevel="0" collapsed="false">
      <c r="A80" s="26"/>
      <c r="B80" s="26"/>
      <c r="C80" s="27" t="str">
        <f aca="false">IF($B80="","",IFERROR(INDEX(Clients!$B$6:$B$105,MATCH($B80,Clients!$A$6:$A$105,0)),"Client not found"))</f>
        <v/>
      </c>
      <c r="D80" s="26"/>
      <c r="E80" s="26"/>
      <c r="F80" s="26"/>
      <c r="G80" s="26"/>
      <c r="H80" s="28"/>
      <c r="I80" s="29"/>
      <c r="J80" s="30" t="str">
        <f aca="false">IF($A80="","",IFERROR(IF(N(INDEX(Clients!$E$6:$E$105,MATCH($B80,Clients!$A$6:$A$105,0)))&gt;0,INDEX(Clients!$E$6:$E$105,MATCH($B80,Clients!$A$6:$A$105,0)),Dashboard!$B$6),Dashboard!$B$6))</f>
        <v/>
      </c>
      <c r="K80" s="31" t="str">
        <f aca="false">IF(OR($A80="",$I80=""),"",$I80+$J80)</f>
        <v/>
      </c>
      <c r="L80" s="26"/>
      <c r="M80" s="32"/>
      <c r="N80" s="33"/>
      <c r="O80" s="34" t="str">
        <f aca="false">IF($A80="","",N($M80)*N($N80))</f>
        <v/>
      </c>
      <c r="P80" s="34" t="str">
        <f aca="false">IF($A80="","",N($M80)+$O80)</f>
        <v/>
      </c>
      <c r="Q80" s="34" t="str">
        <f aca="false">IF($A80="","",SUMIFS('Credit Notes'!$F$6:$F$205,'Credit Notes'!$B$6:$B$205,$A80,'Credit Notes'!$H$6:$H$205,"Issued"))</f>
        <v/>
      </c>
      <c r="R80" s="34" t="str">
        <f aca="false">IF($A80="","",SUMIFS(Payments!$I$6:$I$505,Payments!$C$6:$C$505,$A80))</f>
        <v/>
      </c>
      <c r="S80" s="34" t="str">
        <f aca="false">IF($A80="","",IF($T80="Void",0,$P80-$Q80-$R80))</f>
        <v/>
      </c>
      <c r="T80" s="26"/>
      <c r="U80" s="35" t="str">
        <f aca="false">IF($A80="","",IF($T80="Void","Void",IF(OR($T80="",$T80="Draft"),"Draft",IF($T80="Disputed","Disputed",IF($S80&lt;-0.005,"Overpaid",IF($S80&lt;=0.005,"Paid",IF($R80+$Q80&gt;0.005,IF($V80&gt;0,"Part-paid, overdue","Part-paid"),IF($V80&gt;0,"Overdue","Outstanding"))))))))</f>
        <v/>
      </c>
      <c r="V80" s="36" t="str">
        <f aca="true">IF($A80="","",IF(AND(OR($T80="Issued",$T80="Disputed"),$S80&gt;0.005,$K80&lt;&gt;"",$K80&lt;TODAY()),TODAY()-$K80,0))</f>
        <v/>
      </c>
      <c r="W80" s="35" t="str">
        <f aca="false">IF($A80="","",IF(AND(OR($T80="Issued",$T80="Disputed"),$S80&gt;0.005),IF($V80&lt;=0,"Not yet due",IF($V80&lt;=30,"1 to 30 days",IF($V80&lt;=60,"31 to 60 days",IF($V80&lt;=90,"61 to 90 days","Over 90 days")))),""))</f>
        <v/>
      </c>
      <c r="X80" s="26"/>
      <c r="Y80" s="29"/>
      <c r="Z80" s="28"/>
      <c r="AA80" s="28"/>
    </row>
    <row r="81" customFormat="false" ht="15" hidden="false" customHeight="false" outlineLevel="0" collapsed="false">
      <c r="A81" s="26"/>
      <c r="B81" s="26"/>
      <c r="C81" s="27" t="str">
        <f aca="false">IF($B81="","",IFERROR(INDEX(Clients!$B$6:$B$105,MATCH($B81,Clients!$A$6:$A$105,0)),"Client not found"))</f>
        <v/>
      </c>
      <c r="D81" s="26"/>
      <c r="E81" s="26"/>
      <c r="F81" s="26"/>
      <c r="G81" s="26"/>
      <c r="H81" s="28"/>
      <c r="I81" s="29"/>
      <c r="J81" s="30" t="str">
        <f aca="false">IF($A81="","",IFERROR(IF(N(INDEX(Clients!$E$6:$E$105,MATCH($B81,Clients!$A$6:$A$105,0)))&gt;0,INDEX(Clients!$E$6:$E$105,MATCH($B81,Clients!$A$6:$A$105,0)),Dashboard!$B$6),Dashboard!$B$6))</f>
        <v/>
      </c>
      <c r="K81" s="31" t="str">
        <f aca="false">IF(OR($A81="",$I81=""),"",$I81+$J81)</f>
        <v/>
      </c>
      <c r="L81" s="26"/>
      <c r="M81" s="32"/>
      <c r="N81" s="33"/>
      <c r="O81" s="34" t="str">
        <f aca="false">IF($A81="","",N($M81)*N($N81))</f>
        <v/>
      </c>
      <c r="P81" s="34" t="str">
        <f aca="false">IF($A81="","",N($M81)+$O81)</f>
        <v/>
      </c>
      <c r="Q81" s="34" t="str">
        <f aca="false">IF($A81="","",SUMIFS('Credit Notes'!$F$6:$F$205,'Credit Notes'!$B$6:$B$205,$A81,'Credit Notes'!$H$6:$H$205,"Issued"))</f>
        <v/>
      </c>
      <c r="R81" s="34" t="str">
        <f aca="false">IF($A81="","",SUMIFS(Payments!$I$6:$I$505,Payments!$C$6:$C$505,$A81))</f>
        <v/>
      </c>
      <c r="S81" s="34" t="str">
        <f aca="false">IF($A81="","",IF($T81="Void",0,$P81-$Q81-$R81))</f>
        <v/>
      </c>
      <c r="T81" s="26"/>
      <c r="U81" s="35" t="str">
        <f aca="false">IF($A81="","",IF($T81="Void","Void",IF(OR($T81="",$T81="Draft"),"Draft",IF($T81="Disputed","Disputed",IF($S81&lt;-0.005,"Overpaid",IF($S81&lt;=0.005,"Paid",IF($R81+$Q81&gt;0.005,IF($V81&gt;0,"Part-paid, overdue","Part-paid"),IF($V81&gt;0,"Overdue","Outstanding"))))))))</f>
        <v/>
      </c>
      <c r="V81" s="36" t="str">
        <f aca="true">IF($A81="","",IF(AND(OR($T81="Issued",$T81="Disputed"),$S81&gt;0.005,$K81&lt;&gt;"",$K81&lt;TODAY()),TODAY()-$K81,0))</f>
        <v/>
      </c>
      <c r="W81" s="35" t="str">
        <f aca="false">IF($A81="","",IF(AND(OR($T81="Issued",$T81="Disputed"),$S81&gt;0.005),IF($V81&lt;=0,"Not yet due",IF($V81&lt;=30,"1 to 30 days",IF($V81&lt;=60,"31 to 60 days",IF($V81&lt;=90,"61 to 90 days","Over 90 days")))),""))</f>
        <v/>
      </c>
      <c r="X81" s="26"/>
      <c r="Y81" s="29"/>
      <c r="Z81" s="28"/>
      <c r="AA81" s="28"/>
    </row>
    <row r="82" customFormat="false" ht="15" hidden="false" customHeight="false" outlineLevel="0" collapsed="false">
      <c r="A82" s="26"/>
      <c r="B82" s="26"/>
      <c r="C82" s="27" t="str">
        <f aca="false">IF($B82="","",IFERROR(INDEX(Clients!$B$6:$B$105,MATCH($B82,Clients!$A$6:$A$105,0)),"Client not found"))</f>
        <v/>
      </c>
      <c r="D82" s="26"/>
      <c r="E82" s="26"/>
      <c r="F82" s="26"/>
      <c r="G82" s="26"/>
      <c r="H82" s="28"/>
      <c r="I82" s="29"/>
      <c r="J82" s="30" t="str">
        <f aca="false">IF($A82="","",IFERROR(IF(N(INDEX(Clients!$E$6:$E$105,MATCH($B82,Clients!$A$6:$A$105,0)))&gt;0,INDEX(Clients!$E$6:$E$105,MATCH($B82,Clients!$A$6:$A$105,0)),Dashboard!$B$6),Dashboard!$B$6))</f>
        <v/>
      </c>
      <c r="K82" s="31" t="str">
        <f aca="false">IF(OR($A82="",$I82=""),"",$I82+$J82)</f>
        <v/>
      </c>
      <c r="L82" s="26"/>
      <c r="M82" s="32"/>
      <c r="N82" s="33"/>
      <c r="O82" s="34" t="str">
        <f aca="false">IF($A82="","",N($M82)*N($N82))</f>
        <v/>
      </c>
      <c r="P82" s="34" t="str">
        <f aca="false">IF($A82="","",N($M82)+$O82)</f>
        <v/>
      </c>
      <c r="Q82" s="34" t="str">
        <f aca="false">IF($A82="","",SUMIFS('Credit Notes'!$F$6:$F$205,'Credit Notes'!$B$6:$B$205,$A82,'Credit Notes'!$H$6:$H$205,"Issued"))</f>
        <v/>
      </c>
      <c r="R82" s="34" t="str">
        <f aca="false">IF($A82="","",SUMIFS(Payments!$I$6:$I$505,Payments!$C$6:$C$505,$A82))</f>
        <v/>
      </c>
      <c r="S82" s="34" t="str">
        <f aca="false">IF($A82="","",IF($T82="Void",0,$P82-$Q82-$R82))</f>
        <v/>
      </c>
      <c r="T82" s="26"/>
      <c r="U82" s="35" t="str">
        <f aca="false">IF($A82="","",IF($T82="Void","Void",IF(OR($T82="",$T82="Draft"),"Draft",IF($T82="Disputed","Disputed",IF($S82&lt;-0.005,"Overpaid",IF($S82&lt;=0.005,"Paid",IF($R82+$Q82&gt;0.005,IF($V82&gt;0,"Part-paid, overdue","Part-paid"),IF($V82&gt;0,"Overdue","Outstanding"))))))))</f>
        <v/>
      </c>
      <c r="V82" s="36" t="str">
        <f aca="true">IF($A82="","",IF(AND(OR($T82="Issued",$T82="Disputed"),$S82&gt;0.005,$K82&lt;&gt;"",$K82&lt;TODAY()),TODAY()-$K82,0))</f>
        <v/>
      </c>
      <c r="W82" s="35" t="str">
        <f aca="false">IF($A82="","",IF(AND(OR($T82="Issued",$T82="Disputed"),$S82&gt;0.005),IF($V82&lt;=0,"Not yet due",IF($V82&lt;=30,"1 to 30 days",IF($V82&lt;=60,"31 to 60 days",IF($V82&lt;=90,"61 to 90 days","Over 90 days")))),""))</f>
        <v/>
      </c>
      <c r="X82" s="26"/>
      <c r="Y82" s="29"/>
      <c r="Z82" s="28"/>
      <c r="AA82" s="28"/>
    </row>
    <row r="83" customFormat="false" ht="15" hidden="false" customHeight="false" outlineLevel="0" collapsed="false">
      <c r="A83" s="26"/>
      <c r="B83" s="26"/>
      <c r="C83" s="27" t="str">
        <f aca="false">IF($B83="","",IFERROR(INDEX(Clients!$B$6:$B$105,MATCH($B83,Clients!$A$6:$A$105,0)),"Client not found"))</f>
        <v/>
      </c>
      <c r="D83" s="26"/>
      <c r="E83" s="26"/>
      <c r="F83" s="26"/>
      <c r="G83" s="26"/>
      <c r="H83" s="28"/>
      <c r="I83" s="29"/>
      <c r="J83" s="30" t="str">
        <f aca="false">IF($A83="","",IFERROR(IF(N(INDEX(Clients!$E$6:$E$105,MATCH($B83,Clients!$A$6:$A$105,0)))&gt;0,INDEX(Clients!$E$6:$E$105,MATCH($B83,Clients!$A$6:$A$105,0)),Dashboard!$B$6),Dashboard!$B$6))</f>
        <v/>
      </c>
      <c r="K83" s="31" t="str">
        <f aca="false">IF(OR($A83="",$I83=""),"",$I83+$J83)</f>
        <v/>
      </c>
      <c r="L83" s="26"/>
      <c r="M83" s="32"/>
      <c r="N83" s="33"/>
      <c r="O83" s="34" t="str">
        <f aca="false">IF($A83="","",N($M83)*N($N83))</f>
        <v/>
      </c>
      <c r="P83" s="34" t="str">
        <f aca="false">IF($A83="","",N($M83)+$O83)</f>
        <v/>
      </c>
      <c r="Q83" s="34" t="str">
        <f aca="false">IF($A83="","",SUMIFS('Credit Notes'!$F$6:$F$205,'Credit Notes'!$B$6:$B$205,$A83,'Credit Notes'!$H$6:$H$205,"Issued"))</f>
        <v/>
      </c>
      <c r="R83" s="34" t="str">
        <f aca="false">IF($A83="","",SUMIFS(Payments!$I$6:$I$505,Payments!$C$6:$C$505,$A83))</f>
        <v/>
      </c>
      <c r="S83" s="34" t="str">
        <f aca="false">IF($A83="","",IF($T83="Void",0,$P83-$Q83-$R83))</f>
        <v/>
      </c>
      <c r="T83" s="26"/>
      <c r="U83" s="35" t="str">
        <f aca="false">IF($A83="","",IF($T83="Void","Void",IF(OR($T83="",$T83="Draft"),"Draft",IF($T83="Disputed","Disputed",IF($S83&lt;-0.005,"Overpaid",IF($S83&lt;=0.005,"Paid",IF($R83+$Q83&gt;0.005,IF($V83&gt;0,"Part-paid, overdue","Part-paid"),IF($V83&gt;0,"Overdue","Outstanding"))))))))</f>
        <v/>
      </c>
      <c r="V83" s="36" t="str">
        <f aca="true">IF($A83="","",IF(AND(OR($T83="Issued",$T83="Disputed"),$S83&gt;0.005,$K83&lt;&gt;"",$K83&lt;TODAY()),TODAY()-$K83,0))</f>
        <v/>
      </c>
      <c r="W83" s="35" t="str">
        <f aca="false">IF($A83="","",IF(AND(OR($T83="Issued",$T83="Disputed"),$S83&gt;0.005),IF($V83&lt;=0,"Not yet due",IF($V83&lt;=30,"1 to 30 days",IF($V83&lt;=60,"31 to 60 days",IF($V83&lt;=90,"61 to 90 days","Over 90 days")))),""))</f>
        <v/>
      </c>
      <c r="X83" s="26"/>
      <c r="Y83" s="29"/>
      <c r="Z83" s="28"/>
      <c r="AA83" s="28"/>
    </row>
    <row r="84" customFormat="false" ht="15" hidden="false" customHeight="false" outlineLevel="0" collapsed="false">
      <c r="A84" s="26"/>
      <c r="B84" s="26"/>
      <c r="C84" s="27" t="str">
        <f aca="false">IF($B84="","",IFERROR(INDEX(Clients!$B$6:$B$105,MATCH($B84,Clients!$A$6:$A$105,0)),"Client not found"))</f>
        <v/>
      </c>
      <c r="D84" s="26"/>
      <c r="E84" s="26"/>
      <c r="F84" s="26"/>
      <c r="G84" s="26"/>
      <c r="H84" s="28"/>
      <c r="I84" s="29"/>
      <c r="J84" s="30" t="str">
        <f aca="false">IF($A84="","",IFERROR(IF(N(INDEX(Clients!$E$6:$E$105,MATCH($B84,Clients!$A$6:$A$105,0)))&gt;0,INDEX(Clients!$E$6:$E$105,MATCH($B84,Clients!$A$6:$A$105,0)),Dashboard!$B$6),Dashboard!$B$6))</f>
        <v/>
      </c>
      <c r="K84" s="31" t="str">
        <f aca="false">IF(OR($A84="",$I84=""),"",$I84+$J84)</f>
        <v/>
      </c>
      <c r="L84" s="26"/>
      <c r="M84" s="32"/>
      <c r="N84" s="33"/>
      <c r="O84" s="34" t="str">
        <f aca="false">IF($A84="","",N($M84)*N($N84))</f>
        <v/>
      </c>
      <c r="P84" s="34" t="str">
        <f aca="false">IF($A84="","",N($M84)+$O84)</f>
        <v/>
      </c>
      <c r="Q84" s="34" t="str">
        <f aca="false">IF($A84="","",SUMIFS('Credit Notes'!$F$6:$F$205,'Credit Notes'!$B$6:$B$205,$A84,'Credit Notes'!$H$6:$H$205,"Issued"))</f>
        <v/>
      </c>
      <c r="R84" s="34" t="str">
        <f aca="false">IF($A84="","",SUMIFS(Payments!$I$6:$I$505,Payments!$C$6:$C$505,$A84))</f>
        <v/>
      </c>
      <c r="S84" s="34" t="str">
        <f aca="false">IF($A84="","",IF($T84="Void",0,$P84-$Q84-$R84))</f>
        <v/>
      </c>
      <c r="T84" s="26"/>
      <c r="U84" s="35" t="str">
        <f aca="false">IF($A84="","",IF($T84="Void","Void",IF(OR($T84="",$T84="Draft"),"Draft",IF($T84="Disputed","Disputed",IF($S84&lt;-0.005,"Overpaid",IF($S84&lt;=0.005,"Paid",IF($R84+$Q84&gt;0.005,IF($V84&gt;0,"Part-paid, overdue","Part-paid"),IF($V84&gt;0,"Overdue","Outstanding"))))))))</f>
        <v/>
      </c>
      <c r="V84" s="36" t="str">
        <f aca="true">IF($A84="","",IF(AND(OR($T84="Issued",$T84="Disputed"),$S84&gt;0.005,$K84&lt;&gt;"",$K84&lt;TODAY()),TODAY()-$K84,0))</f>
        <v/>
      </c>
      <c r="W84" s="35" t="str">
        <f aca="false">IF($A84="","",IF(AND(OR($T84="Issued",$T84="Disputed"),$S84&gt;0.005),IF($V84&lt;=0,"Not yet due",IF($V84&lt;=30,"1 to 30 days",IF($V84&lt;=60,"31 to 60 days",IF($V84&lt;=90,"61 to 90 days","Over 90 days")))),""))</f>
        <v/>
      </c>
      <c r="X84" s="26"/>
      <c r="Y84" s="29"/>
      <c r="Z84" s="28"/>
      <c r="AA84" s="28"/>
    </row>
    <row r="85" customFormat="false" ht="15" hidden="false" customHeight="false" outlineLevel="0" collapsed="false">
      <c r="A85" s="26"/>
      <c r="B85" s="26"/>
      <c r="C85" s="27" t="str">
        <f aca="false">IF($B85="","",IFERROR(INDEX(Clients!$B$6:$B$105,MATCH($B85,Clients!$A$6:$A$105,0)),"Client not found"))</f>
        <v/>
      </c>
      <c r="D85" s="26"/>
      <c r="E85" s="26"/>
      <c r="F85" s="26"/>
      <c r="G85" s="26"/>
      <c r="H85" s="28"/>
      <c r="I85" s="29"/>
      <c r="J85" s="30" t="str">
        <f aca="false">IF($A85="","",IFERROR(IF(N(INDEX(Clients!$E$6:$E$105,MATCH($B85,Clients!$A$6:$A$105,0)))&gt;0,INDEX(Clients!$E$6:$E$105,MATCH($B85,Clients!$A$6:$A$105,0)),Dashboard!$B$6),Dashboard!$B$6))</f>
        <v/>
      </c>
      <c r="K85" s="31" t="str">
        <f aca="false">IF(OR($A85="",$I85=""),"",$I85+$J85)</f>
        <v/>
      </c>
      <c r="L85" s="26"/>
      <c r="M85" s="32"/>
      <c r="N85" s="33"/>
      <c r="O85" s="34" t="str">
        <f aca="false">IF($A85="","",N($M85)*N($N85))</f>
        <v/>
      </c>
      <c r="P85" s="34" t="str">
        <f aca="false">IF($A85="","",N($M85)+$O85)</f>
        <v/>
      </c>
      <c r="Q85" s="34" t="str">
        <f aca="false">IF($A85="","",SUMIFS('Credit Notes'!$F$6:$F$205,'Credit Notes'!$B$6:$B$205,$A85,'Credit Notes'!$H$6:$H$205,"Issued"))</f>
        <v/>
      </c>
      <c r="R85" s="34" t="str">
        <f aca="false">IF($A85="","",SUMIFS(Payments!$I$6:$I$505,Payments!$C$6:$C$505,$A85))</f>
        <v/>
      </c>
      <c r="S85" s="34" t="str">
        <f aca="false">IF($A85="","",IF($T85="Void",0,$P85-$Q85-$R85))</f>
        <v/>
      </c>
      <c r="T85" s="26"/>
      <c r="U85" s="35" t="str">
        <f aca="false">IF($A85="","",IF($T85="Void","Void",IF(OR($T85="",$T85="Draft"),"Draft",IF($T85="Disputed","Disputed",IF($S85&lt;-0.005,"Overpaid",IF($S85&lt;=0.005,"Paid",IF($R85+$Q85&gt;0.005,IF($V85&gt;0,"Part-paid, overdue","Part-paid"),IF($V85&gt;0,"Overdue","Outstanding"))))))))</f>
        <v/>
      </c>
      <c r="V85" s="36" t="str">
        <f aca="true">IF($A85="","",IF(AND(OR($T85="Issued",$T85="Disputed"),$S85&gt;0.005,$K85&lt;&gt;"",$K85&lt;TODAY()),TODAY()-$K85,0))</f>
        <v/>
      </c>
      <c r="W85" s="35" t="str">
        <f aca="false">IF($A85="","",IF(AND(OR($T85="Issued",$T85="Disputed"),$S85&gt;0.005),IF($V85&lt;=0,"Not yet due",IF($V85&lt;=30,"1 to 30 days",IF($V85&lt;=60,"31 to 60 days",IF($V85&lt;=90,"61 to 90 days","Over 90 days")))),""))</f>
        <v/>
      </c>
      <c r="X85" s="26"/>
      <c r="Y85" s="29"/>
      <c r="Z85" s="28"/>
      <c r="AA85" s="28"/>
    </row>
    <row r="86" customFormat="false" ht="15" hidden="false" customHeight="false" outlineLevel="0" collapsed="false">
      <c r="A86" s="26"/>
      <c r="B86" s="26"/>
      <c r="C86" s="27" t="str">
        <f aca="false">IF($B86="","",IFERROR(INDEX(Clients!$B$6:$B$105,MATCH($B86,Clients!$A$6:$A$105,0)),"Client not found"))</f>
        <v/>
      </c>
      <c r="D86" s="26"/>
      <c r="E86" s="26"/>
      <c r="F86" s="26"/>
      <c r="G86" s="26"/>
      <c r="H86" s="28"/>
      <c r="I86" s="29"/>
      <c r="J86" s="30" t="str">
        <f aca="false">IF($A86="","",IFERROR(IF(N(INDEX(Clients!$E$6:$E$105,MATCH($B86,Clients!$A$6:$A$105,0)))&gt;0,INDEX(Clients!$E$6:$E$105,MATCH($B86,Clients!$A$6:$A$105,0)),Dashboard!$B$6),Dashboard!$B$6))</f>
        <v/>
      </c>
      <c r="K86" s="31" t="str">
        <f aca="false">IF(OR($A86="",$I86=""),"",$I86+$J86)</f>
        <v/>
      </c>
      <c r="L86" s="26"/>
      <c r="M86" s="32"/>
      <c r="N86" s="33"/>
      <c r="O86" s="34" t="str">
        <f aca="false">IF($A86="","",N($M86)*N($N86))</f>
        <v/>
      </c>
      <c r="P86" s="34" t="str">
        <f aca="false">IF($A86="","",N($M86)+$O86)</f>
        <v/>
      </c>
      <c r="Q86" s="34" t="str">
        <f aca="false">IF($A86="","",SUMIFS('Credit Notes'!$F$6:$F$205,'Credit Notes'!$B$6:$B$205,$A86,'Credit Notes'!$H$6:$H$205,"Issued"))</f>
        <v/>
      </c>
      <c r="R86" s="34" t="str">
        <f aca="false">IF($A86="","",SUMIFS(Payments!$I$6:$I$505,Payments!$C$6:$C$505,$A86))</f>
        <v/>
      </c>
      <c r="S86" s="34" t="str">
        <f aca="false">IF($A86="","",IF($T86="Void",0,$P86-$Q86-$R86))</f>
        <v/>
      </c>
      <c r="T86" s="26"/>
      <c r="U86" s="35" t="str">
        <f aca="false">IF($A86="","",IF($T86="Void","Void",IF(OR($T86="",$T86="Draft"),"Draft",IF($T86="Disputed","Disputed",IF($S86&lt;-0.005,"Overpaid",IF($S86&lt;=0.005,"Paid",IF($R86+$Q86&gt;0.005,IF($V86&gt;0,"Part-paid, overdue","Part-paid"),IF($V86&gt;0,"Overdue","Outstanding"))))))))</f>
        <v/>
      </c>
      <c r="V86" s="36" t="str">
        <f aca="true">IF($A86="","",IF(AND(OR($T86="Issued",$T86="Disputed"),$S86&gt;0.005,$K86&lt;&gt;"",$K86&lt;TODAY()),TODAY()-$K86,0))</f>
        <v/>
      </c>
      <c r="W86" s="35" t="str">
        <f aca="false">IF($A86="","",IF(AND(OR($T86="Issued",$T86="Disputed"),$S86&gt;0.005),IF($V86&lt;=0,"Not yet due",IF($V86&lt;=30,"1 to 30 days",IF($V86&lt;=60,"31 to 60 days",IF($V86&lt;=90,"61 to 90 days","Over 90 days")))),""))</f>
        <v/>
      </c>
      <c r="X86" s="26"/>
      <c r="Y86" s="29"/>
      <c r="Z86" s="28"/>
      <c r="AA86" s="28"/>
    </row>
    <row r="87" customFormat="false" ht="15" hidden="false" customHeight="false" outlineLevel="0" collapsed="false">
      <c r="A87" s="26"/>
      <c r="B87" s="26"/>
      <c r="C87" s="27" t="str">
        <f aca="false">IF($B87="","",IFERROR(INDEX(Clients!$B$6:$B$105,MATCH($B87,Clients!$A$6:$A$105,0)),"Client not found"))</f>
        <v/>
      </c>
      <c r="D87" s="26"/>
      <c r="E87" s="26"/>
      <c r="F87" s="26"/>
      <c r="G87" s="26"/>
      <c r="H87" s="28"/>
      <c r="I87" s="29"/>
      <c r="J87" s="30" t="str">
        <f aca="false">IF($A87="","",IFERROR(IF(N(INDEX(Clients!$E$6:$E$105,MATCH($B87,Clients!$A$6:$A$105,0)))&gt;0,INDEX(Clients!$E$6:$E$105,MATCH($B87,Clients!$A$6:$A$105,0)),Dashboard!$B$6),Dashboard!$B$6))</f>
        <v/>
      </c>
      <c r="K87" s="31" t="str">
        <f aca="false">IF(OR($A87="",$I87=""),"",$I87+$J87)</f>
        <v/>
      </c>
      <c r="L87" s="26"/>
      <c r="M87" s="32"/>
      <c r="N87" s="33"/>
      <c r="O87" s="34" t="str">
        <f aca="false">IF($A87="","",N($M87)*N($N87))</f>
        <v/>
      </c>
      <c r="P87" s="34" t="str">
        <f aca="false">IF($A87="","",N($M87)+$O87)</f>
        <v/>
      </c>
      <c r="Q87" s="34" t="str">
        <f aca="false">IF($A87="","",SUMIFS('Credit Notes'!$F$6:$F$205,'Credit Notes'!$B$6:$B$205,$A87,'Credit Notes'!$H$6:$H$205,"Issued"))</f>
        <v/>
      </c>
      <c r="R87" s="34" t="str">
        <f aca="false">IF($A87="","",SUMIFS(Payments!$I$6:$I$505,Payments!$C$6:$C$505,$A87))</f>
        <v/>
      </c>
      <c r="S87" s="34" t="str">
        <f aca="false">IF($A87="","",IF($T87="Void",0,$P87-$Q87-$R87))</f>
        <v/>
      </c>
      <c r="T87" s="26"/>
      <c r="U87" s="35" t="str">
        <f aca="false">IF($A87="","",IF($T87="Void","Void",IF(OR($T87="",$T87="Draft"),"Draft",IF($T87="Disputed","Disputed",IF($S87&lt;-0.005,"Overpaid",IF($S87&lt;=0.005,"Paid",IF($R87+$Q87&gt;0.005,IF($V87&gt;0,"Part-paid, overdue","Part-paid"),IF($V87&gt;0,"Overdue","Outstanding"))))))))</f>
        <v/>
      </c>
      <c r="V87" s="36" t="str">
        <f aca="true">IF($A87="","",IF(AND(OR($T87="Issued",$T87="Disputed"),$S87&gt;0.005,$K87&lt;&gt;"",$K87&lt;TODAY()),TODAY()-$K87,0))</f>
        <v/>
      </c>
      <c r="W87" s="35" t="str">
        <f aca="false">IF($A87="","",IF(AND(OR($T87="Issued",$T87="Disputed"),$S87&gt;0.005),IF($V87&lt;=0,"Not yet due",IF($V87&lt;=30,"1 to 30 days",IF($V87&lt;=60,"31 to 60 days",IF($V87&lt;=90,"61 to 90 days","Over 90 days")))),""))</f>
        <v/>
      </c>
      <c r="X87" s="26"/>
      <c r="Y87" s="29"/>
      <c r="Z87" s="28"/>
      <c r="AA87" s="28"/>
    </row>
    <row r="88" customFormat="false" ht="15" hidden="false" customHeight="false" outlineLevel="0" collapsed="false">
      <c r="A88" s="26"/>
      <c r="B88" s="26"/>
      <c r="C88" s="27" t="str">
        <f aca="false">IF($B88="","",IFERROR(INDEX(Clients!$B$6:$B$105,MATCH($B88,Clients!$A$6:$A$105,0)),"Client not found"))</f>
        <v/>
      </c>
      <c r="D88" s="26"/>
      <c r="E88" s="26"/>
      <c r="F88" s="26"/>
      <c r="G88" s="26"/>
      <c r="H88" s="28"/>
      <c r="I88" s="29"/>
      <c r="J88" s="30" t="str">
        <f aca="false">IF($A88="","",IFERROR(IF(N(INDEX(Clients!$E$6:$E$105,MATCH($B88,Clients!$A$6:$A$105,0)))&gt;0,INDEX(Clients!$E$6:$E$105,MATCH($B88,Clients!$A$6:$A$105,0)),Dashboard!$B$6),Dashboard!$B$6))</f>
        <v/>
      </c>
      <c r="K88" s="31" t="str">
        <f aca="false">IF(OR($A88="",$I88=""),"",$I88+$J88)</f>
        <v/>
      </c>
      <c r="L88" s="26"/>
      <c r="M88" s="32"/>
      <c r="N88" s="33"/>
      <c r="O88" s="34" t="str">
        <f aca="false">IF($A88="","",N($M88)*N($N88))</f>
        <v/>
      </c>
      <c r="P88" s="34" t="str">
        <f aca="false">IF($A88="","",N($M88)+$O88)</f>
        <v/>
      </c>
      <c r="Q88" s="34" t="str">
        <f aca="false">IF($A88="","",SUMIFS('Credit Notes'!$F$6:$F$205,'Credit Notes'!$B$6:$B$205,$A88,'Credit Notes'!$H$6:$H$205,"Issued"))</f>
        <v/>
      </c>
      <c r="R88" s="34" t="str">
        <f aca="false">IF($A88="","",SUMIFS(Payments!$I$6:$I$505,Payments!$C$6:$C$505,$A88))</f>
        <v/>
      </c>
      <c r="S88" s="34" t="str">
        <f aca="false">IF($A88="","",IF($T88="Void",0,$P88-$Q88-$R88))</f>
        <v/>
      </c>
      <c r="T88" s="26"/>
      <c r="U88" s="35" t="str">
        <f aca="false">IF($A88="","",IF($T88="Void","Void",IF(OR($T88="",$T88="Draft"),"Draft",IF($T88="Disputed","Disputed",IF($S88&lt;-0.005,"Overpaid",IF($S88&lt;=0.005,"Paid",IF($R88+$Q88&gt;0.005,IF($V88&gt;0,"Part-paid, overdue","Part-paid"),IF($V88&gt;0,"Overdue","Outstanding"))))))))</f>
        <v/>
      </c>
      <c r="V88" s="36" t="str">
        <f aca="true">IF($A88="","",IF(AND(OR($T88="Issued",$T88="Disputed"),$S88&gt;0.005,$K88&lt;&gt;"",$K88&lt;TODAY()),TODAY()-$K88,0))</f>
        <v/>
      </c>
      <c r="W88" s="35" t="str">
        <f aca="false">IF($A88="","",IF(AND(OR($T88="Issued",$T88="Disputed"),$S88&gt;0.005),IF($V88&lt;=0,"Not yet due",IF($V88&lt;=30,"1 to 30 days",IF($V88&lt;=60,"31 to 60 days",IF($V88&lt;=90,"61 to 90 days","Over 90 days")))),""))</f>
        <v/>
      </c>
      <c r="X88" s="26"/>
      <c r="Y88" s="29"/>
      <c r="Z88" s="28"/>
      <c r="AA88" s="28"/>
    </row>
    <row r="89" customFormat="false" ht="15" hidden="false" customHeight="false" outlineLevel="0" collapsed="false">
      <c r="A89" s="26"/>
      <c r="B89" s="26"/>
      <c r="C89" s="27" t="str">
        <f aca="false">IF($B89="","",IFERROR(INDEX(Clients!$B$6:$B$105,MATCH($B89,Clients!$A$6:$A$105,0)),"Client not found"))</f>
        <v/>
      </c>
      <c r="D89" s="26"/>
      <c r="E89" s="26"/>
      <c r="F89" s="26"/>
      <c r="G89" s="26"/>
      <c r="H89" s="28"/>
      <c r="I89" s="29"/>
      <c r="J89" s="30" t="str">
        <f aca="false">IF($A89="","",IFERROR(IF(N(INDEX(Clients!$E$6:$E$105,MATCH($B89,Clients!$A$6:$A$105,0)))&gt;0,INDEX(Clients!$E$6:$E$105,MATCH($B89,Clients!$A$6:$A$105,0)),Dashboard!$B$6),Dashboard!$B$6))</f>
        <v/>
      </c>
      <c r="K89" s="31" t="str">
        <f aca="false">IF(OR($A89="",$I89=""),"",$I89+$J89)</f>
        <v/>
      </c>
      <c r="L89" s="26"/>
      <c r="M89" s="32"/>
      <c r="N89" s="33"/>
      <c r="O89" s="34" t="str">
        <f aca="false">IF($A89="","",N($M89)*N($N89))</f>
        <v/>
      </c>
      <c r="P89" s="34" t="str">
        <f aca="false">IF($A89="","",N($M89)+$O89)</f>
        <v/>
      </c>
      <c r="Q89" s="34" t="str">
        <f aca="false">IF($A89="","",SUMIFS('Credit Notes'!$F$6:$F$205,'Credit Notes'!$B$6:$B$205,$A89,'Credit Notes'!$H$6:$H$205,"Issued"))</f>
        <v/>
      </c>
      <c r="R89" s="34" t="str">
        <f aca="false">IF($A89="","",SUMIFS(Payments!$I$6:$I$505,Payments!$C$6:$C$505,$A89))</f>
        <v/>
      </c>
      <c r="S89" s="34" t="str">
        <f aca="false">IF($A89="","",IF($T89="Void",0,$P89-$Q89-$R89))</f>
        <v/>
      </c>
      <c r="T89" s="26"/>
      <c r="U89" s="35" t="str">
        <f aca="false">IF($A89="","",IF($T89="Void","Void",IF(OR($T89="",$T89="Draft"),"Draft",IF($T89="Disputed","Disputed",IF($S89&lt;-0.005,"Overpaid",IF($S89&lt;=0.005,"Paid",IF($R89+$Q89&gt;0.005,IF($V89&gt;0,"Part-paid, overdue","Part-paid"),IF($V89&gt;0,"Overdue","Outstanding"))))))))</f>
        <v/>
      </c>
      <c r="V89" s="36" t="str">
        <f aca="true">IF($A89="","",IF(AND(OR($T89="Issued",$T89="Disputed"),$S89&gt;0.005,$K89&lt;&gt;"",$K89&lt;TODAY()),TODAY()-$K89,0))</f>
        <v/>
      </c>
      <c r="W89" s="35" t="str">
        <f aca="false">IF($A89="","",IF(AND(OR($T89="Issued",$T89="Disputed"),$S89&gt;0.005),IF($V89&lt;=0,"Not yet due",IF($V89&lt;=30,"1 to 30 days",IF($V89&lt;=60,"31 to 60 days",IF($V89&lt;=90,"61 to 90 days","Over 90 days")))),""))</f>
        <v/>
      </c>
      <c r="X89" s="26"/>
      <c r="Y89" s="29"/>
      <c r="Z89" s="28"/>
      <c r="AA89" s="28"/>
    </row>
    <row r="90" customFormat="false" ht="15" hidden="false" customHeight="false" outlineLevel="0" collapsed="false">
      <c r="A90" s="26"/>
      <c r="B90" s="26"/>
      <c r="C90" s="27" t="str">
        <f aca="false">IF($B90="","",IFERROR(INDEX(Clients!$B$6:$B$105,MATCH($B90,Clients!$A$6:$A$105,0)),"Client not found"))</f>
        <v/>
      </c>
      <c r="D90" s="26"/>
      <c r="E90" s="26"/>
      <c r="F90" s="26"/>
      <c r="G90" s="26"/>
      <c r="H90" s="28"/>
      <c r="I90" s="29"/>
      <c r="J90" s="30" t="str">
        <f aca="false">IF($A90="","",IFERROR(IF(N(INDEX(Clients!$E$6:$E$105,MATCH($B90,Clients!$A$6:$A$105,0)))&gt;0,INDEX(Clients!$E$6:$E$105,MATCH($B90,Clients!$A$6:$A$105,0)),Dashboard!$B$6),Dashboard!$B$6))</f>
        <v/>
      </c>
      <c r="K90" s="31" t="str">
        <f aca="false">IF(OR($A90="",$I90=""),"",$I90+$J90)</f>
        <v/>
      </c>
      <c r="L90" s="26"/>
      <c r="M90" s="32"/>
      <c r="N90" s="33"/>
      <c r="O90" s="34" t="str">
        <f aca="false">IF($A90="","",N($M90)*N($N90))</f>
        <v/>
      </c>
      <c r="P90" s="34" t="str">
        <f aca="false">IF($A90="","",N($M90)+$O90)</f>
        <v/>
      </c>
      <c r="Q90" s="34" t="str">
        <f aca="false">IF($A90="","",SUMIFS('Credit Notes'!$F$6:$F$205,'Credit Notes'!$B$6:$B$205,$A90,'Credit Notes'!$H$6:$H$205,"Issued"))</f>
        <v/>
      </c>
      <c r="R90" s="34" t="str">
        <f aca="false">IF($A90="","",SUMIFS(Payments!$I$6:$I$505,Payments!$C$6:$C$505,$A90))</f>
        <v/>
      </c>
      <c r="S90" s="34" t="str">
        <f aca="false">IF($A90="","",IF($T90="Void",0,$P90-$Q90-$R90))</f>
        <v/>
      </c>
      <c r="T90" s="26"/>
      <c r="U90" s="35" t="str">
        <f aca="false">IF($A90="","",IF($T90="Void","Void",IF(OR($T90="",$T90="Draft"),"Draft",IF($T90="Disputed","Disputed",IF($S90&lt;-0.005,"Overpaid",IF($S90&lt;=0.005,"Paid",IF($R90+$Q90&gt;0.005,IF($V90&gt;0,"Part-paid, overdue","Part-paid"),IF($V90&gt;0,"Overdue","Outstanding"))))))))</f>
        <v/>
      </c>
      <c r="V90" s="36" t="str">
        <f aca="true">IF($A90="","",IF(AND(OR($T90="Issued",$T90="Disputed"),$S90&gt;0.005,$K90&lt;&gt;"",$K90&lt;TODAY()),TODAY()-$K90,0))</f>
        <v/>
      </c>
      <c r="W90" s="35" t="str">
        <f aca="false">IF($A90="","",IF(AND(OR($T90="Issued",$T90="Disputed"),$S90&gt;0.005),IF($V90&lt;=0,"Not yet due",IF($V90&lt;=30,"1 to 30 days",IF($V90&lt;=60,"31 to 60 days",IF($V90&lt;=90,"61 to 90 days","Over 90 days")))),""))</f>
        <v/>
      </c>
      <c r="X90" s="26"/>
      <c r="Y90" s="29"/>
      <c r="Z90" s="28"/>
      <c r="AA90" s="28"/>
    </row>
    <row r="91" customFormat="false" ht="15" hidden="false" customHeight="false" outlineLevel="0" collapsed="false">
      <c r="A91" s="26"/>
      <c r="B91" s="26"/>
      <c r="C91" s="27" t="str">
        <f aca="false">IF($B91="","",IFERROR(INDEX(Clients!$B$6:$B$105,MATCH($B91,Clients!$A$6:$A$105,0)),"Client not found"))</f>
        <v/>
      </c>
      <c r="D91" s="26"/>
      <c r="E91" s="26"/>
      <c r="F91" s="26"/>
      <c r="G91" s="26"/>
      <c r="H91" s="28"/>
      <c r="I91" s="29"/>
      <c r="J91" s="30" t="str">
        <f aca="false">IF($A91="","",IFERROR(IF(N(INDEX(Clients!$E$6:$E$105,MATCH($B91,Clients!$A$6:$A$105,0)))&gt;0,INDEX(Clients!$E$6:$E$105,MATCH($B91,Clients!$A$6:$A$105,0)),Dashboard!$B$6),Dashboard!$B$6))</f>
        <v/>
      </c>
      <c r="K91" s="31" t="str">
        <f aca="false">IF(OR($A91="",$I91=""),"",$I91+$J91)</f>
        <v/>
      </c>
      <c r="L91" s="26"/>
      <c r="M91" s="32"/>
      <c r="N91" s="33"/>
      <c r="O91" s="34" t="str">
        <f aca="false">IF($A91="","",N($M91)*N($N91))</f>
        <v/>
      </c>
      <c r="P91" s="34" t="str">
        <f aca="false">IF($A91="","",N($M91)+$O91)</f>
        <v/>
      </c>
      <c r="Q91" s="34" t="str">
        <f aca="false">IF($A91="","",SUMIFS('Credit Notes'!$F$6:$F$205,'Credit Notes'!$B$6:$B$205,$A91,'Credit Notes'!$H$6:$H$205,"Issued"))</f>
        <v/>
      </c>
      <c r="R91" s="34" t="str">
        <f aca="false">IF($A91="","",SUMIFS(Payments!$I$6:$I$505,Payments!$C$6:$C$505,$A91))</f>
        <v/>
      </c>
      <c r="S91" s="34" t="str">
        <f aca="false">IF($A91="","",IF($T91="Void",0,$P91-$Q91-$R91))</f>
        <v/>
      </c>
      <c r="T91" s="26"/>
      <c r="U91" s="35" t="str">
        <f aca="false">IF($A91="","",IF($T91="Void","Void",IF(OR($T91="",$T91="Draft"),"Draft",IF($T91="Disputed","Disputed",IF($S91&lt;-0.005,"Overpaid",IF($S91&lt;=0.005,"Paid",IF($R91+$Q91&gt;0.005,IF($V91&gt;0,"Part-paid, overdue","Part-paid"),IF($V91&gt;0,"Overdue","Outstanding"))))))))</f>
        <v/>
      </c>
      <c r="V91" s="36" t="str">
        <f aca="true">IF($A91="","",IF(AND(OR($T91="Issued",$T91="Disputed"),$S91&gt;0.005,$K91&lt;&gt;"",$K91&lt;TODAY()),TODAY()-$K91,0))</f>
        <v/>
      </c>
      <c r="W91" s="35" t="str">
        <f aca="false">IF($A91="","",IF(AND(OR($T91="Issued",$T91="Disputed"),$S91&gt;0.005),IF($V91&lt;=0,"Not yet due",IF($V91&lt;=30,"1 to 30 days",IF($V91&lt;=60,"31 to 60 days",IF($V91&lt;=90,"61 to 90 days","Over 90 days")))),""))</f>
        <v/>
      </c>
      <c r="X91" s="26"/>
      <c r="Y91" s="29"/>
      <c r="Z91" s="28"/>
      <c r="AA91" s="28"/>
    </row>
    <row r="92" customFormat="false" ht="15" hidden="false" customHeight="false" outlineLevel="0" collapsed="false">
      <c r="A92" s="26"/>
      <c r="B92" s="26"/>
      <c r="C92" s="27" t="str">
        <f aca="false">IF($B92="","",IFERROR(INDEX(Clients!$B$6:$B$105,MATCH($B92,Clients!$A$6:$A$105,0)),"Client not found"))</f>
        <v/>
      </c>
      <c r="D92" s="26"/>
      <c r="E92" s="26"/>
      <c r="F92" s="26"/>
      <c r="G92" s="26"/>
      <c r="H92" s="28"/>
      <c r="I92" s="29"/>
      <c r="J92" s="30" t="str">
        <f aca="false">IF($A92="","",IFERROR(IF(N(INDEX(Clients!$E$6:$E$105,MATCH($B92,Clients!$A$6:$A$105,0)))&gt;0,INDEX(Clients!$E$6:$E$105,MATCH($B92,Clients!$A$6:$A$105,0)),Dashboard!$B$6),Dashboard!$B$6))</f>
        <v/>
      </c>
      <c r="K92" s="31" t="str">
        <f aca="false">IF(OR($A92="",$I92=""),"",$I92+$J92)</f>
        <v/>
      </c>
      <c r="L92" s="26"/>
      <c r="M92" s="32"/>
      <c r="N92" s="33"/>
      <c r="O92" s="34" t="str">
        <f aca="false">IF($A92="","",N($M92)*N($N92))</f>
        <v/>
      </c>
      <c r="P92" s="34" t="str">
        <f aca="false">IF($A92="","",N($M92)+$O92)</f>
        <v/>
      </c>
      <c r="Q92" s="34" t="str">
        <f aca="false">IF($A92="","",SUMIFS('Credit Notes'!$F$6:$F$205,'Credit Notes'!$B$6:$B$205,$A92,'Credit Notes'!$H$6:$H$205,"Issued"))</f>
        <v/>
      </c>
      <c r="R92" s="34" t="str">
        <f aca="false">IF($A92="","",SUMIFS(Payments!$I$6:$I$505,Payments!$C$6:$C$505,$A92))</f>
        <v/>
      </c>
      <c r="S92" s="34" t="str">
        <f aca="false">IF($A92="","",IF($T92="Void",0,$P92-$Q92-$R92))</f>
        <v/>
      </c>
      <c r="T92" s="26"/>
      <c r="U92" s="35" t="str">
        <f aca="false">IF($A92="","",IF($T92="Void","Void",IF(OR($T92="",$T92="Draft"),"Draft",IF($T92="Disputed","Disputed",IF($S92&lt;-0.005,"Overpaid",IF($S92&lt;=0.005,"Paid",IF($R92+$Q92&gt;0.005,IF($V92&gt;0,"Part-paid, overdue","Part-paid"),IF($V92&gt;0,"Overdue","Outstanding"))))))))</f>
        <v/>
      </c>
      <c r="V92" s="36" t="str">
        <f aca="true">IF($A92="","",IF(AND(OR($T92="Issued",$T92="Disputed"),$S92&gt;0.005,$K92&lt;&gt;"",$K92&lt;TODAY()),TODAY()-$K92,0))</f>
        <v/>
      </c>
      <c r="W92" s="35" t="str">
        <f aca="false">IF($A92="","",IF(AND(OR($T92="Issued",$T92="Disputed"),$S92&gt;0.005),IF($V92&lt;=0,"Not yet due",IF($V92&lt;=30,"1 to 30 days",IF($V92&lt;=60,"31 to 60 days",IF($V92&lt;=90,"61 to 90 days","Over 90 days")))),""))</f>
        <v/>
      </c>
      <c r="X92" s="26"/>
      <c r="Y92" s="29"/>
      <c r="Z92" s="28"/>
      <c r="AA92" s="28"/>
    </row>
    <row r="93" customFormat="false" ht="15" hidden="false" customHeight="false" outlineLevel="0" collapsed="false">
      <c r="A93" s="26"/>
      <c r="B93" s="26"/>
      <c r="C93" s="27" t="str">
        <f aca="false">IF($B93="","",IFERROR(INDEX(Clients!$B$6:$B$105,MATCH($B93,Clients!$A$6:$A$105,0)),"Client not found"))</f>
        <v/>
      </c>
      <c r="D93" s="26"/>
      <c r="E93" s="26"/>
      <c r="F93" s="26"/>
      <c r="G93" s="26"/>
      <c r="H93" s="28"/>
      <c r="I93" s="29"/>
      <c r="J93" s="30" t="str">
        <f aca="false">IF($A93="","",IFERROR(IF(N(INDEX(Clients!$E$6:$E$105,MATCH($B93,Clients!$A$6:$A$105,0)))&gt;0,INDEX(Clients!$E$6:$E$105,MATCH($B93,Clients!$A$6:$A$105,0)),Dashboard!$B$6),Dashboard!$B$6))</f>
        <v/>
      </c>
      <c r="K93" s="31" t="str">
        <f aca="false">IF(OR($A93="",$I93=""),"",$I93+$J93)</f>
        <v/>
      </c>
      <c r="L93" s="26"/>
      <c r="M93" s="32"/>
      <c r="N93" s="33"/>
      <c r="O93" s="34" t="str">
        <f aca="false">IF($A93="","",N($M93)*N($N93))</f>
        <v/>
      </c>
      <c r="P93" s="34" t="str">
        <f aca="false">IF($A93="","",N($M93)+$O93)</f>
        <v/>
      </c>
      <c r="Q93" s="34" t="str">
        <f aca="false">IF($A93="","",SUMIFS('Credit Notes'!$F$6:$F$205,'Credit Notes'!$B$6:$B$205,$A93,'Credit Notes'!$H$6:$H$205,"Issued"))</f>
        <v/>
      </c>
      <c r="R93" s="34" t="str">
        <f aca="false">IF($A93="","",SUMIFS(Payments!$I$6:$I$505,Payments!$C$6:$C$505,$A93))</f>
        <v/>
      </c>
      <c r="S93" s="34" t="str">
        <f aca="false">IF($A93="","",IF($T93="Void",0,$P93-$Q93-$R93))</f>
        <v/>
      </c>
      <c r="T93" s="26"/>
      <c r="U93" s="35" t="str">
        <f aca="false">IF($A93="","",IF($T93="Void","Void",IF(OR($T93="",$T93="Draft"),"Draft",IF($T93="Disputed","Disputed",IF($S93&lt;-0.005,"Overpaid",IF($S93&lt;=0.005,"Paid",IF($R93+$Q93&gt;0.005,IF($V93&gt;0,"Part-paid, overdue","Part-paid"),IF($V93&gt;0,"Overdue","Outstanding"))))))))</f>
        <v/>
      </c>
      <c r="V93" s="36" t="str">
        <f aca="true">IF($A93="","",IF(AND(OR($T93="Issued",$T93="Disputed"),$S93&gt;0.005,$K93&lt;&gt;"",$K93&lt;TODAY()),TODAY()-$K93,0))</f>
        <v/>
      </c>
      <c r="W93" s="35" t="str">
        <f aca="false">IF($A93="","",IF(AND(OR($T93="Issued",$T93="Disputed"),$S93&gt;0.005),IF($V93&lt;=0,"Not yet due",IF($V93&lt;=30,"1 to 30 days",IF($V93&lt;=60,"31 to 60 days",IF($V93&lt;=90,"61 to 90 days","Over 90 days")))),""))</f>
        <v/>
      </c>
      <c r="X93" s="26"/>
      <c r="Y93" s="29"/>
      <c r="Z93" s="28"/>
      <c r="AA93" s="28"/>
    </row>
    <row r="94" customFormat="false" ht="15" hidden="false" customHeight="false" outlineLevel="0" collapsed="false">
      <c r="A94" s="26"/>
      <c r="B94" s="26"/>
      <c r="C94" s="27" t="str">
        <f aca="false">IF($B94="","",IFERROR(INDEX(Clients!$B$6:$B$105,MATCH($B94,Clients!$A$6:$A$105,0)),"Client not found"))</f>
        <v/>
      </c>
      <c r="D94" s="26"/>
      <c r="E94" s="26"/>
      <c r="F94" s="26"/>
      <c r="G94" s="26"/>
      <c r="H94" s="28"/>
      <c r="I94" s="29"/>
      <c r="J94" s="30" t="str">
        <f aca="false">IF($A94="","",IFERROR(IF(N(INDEX(Clients!$E$6:$E$105,MATCH($B94,Clients!$A$6:$A$105,0)))&gt;0,INDEX(Clients!$E$6:$E$105,MATCH($B94,Clients!$A$6:$A$105,0)),Dashboard!$B$6),Dashboard!$B$6))</f>
        <v/>
      </c>
      <c r="K94" s="31" t="str">
        <f aca="false">IF(OR($A94="",$I94=""),"",$I94+$J94)</f>
        <v/>
      </c>
      <c r="L94" s="26"/>
      <c r="M94" s="32"/>
      <c r="N94" s="33"/>
      <c r="O94" s="34" t="str">
        <f aca="false">IF($A94="","",N($M94)*N($N94))</f>
        <v/>
      </c>
      <c r="P94" s="34" t="str">
        <f aca="false">IF($A94="","",N($M94)+$O94)</f>
        <v/>
      </c>
      <c r="Q94" s="34" t="str">
        <f aca="false">IF($A94="","",SUMIFS('Credit Notes'!$F$6:$F$205,'Credit Notes'!$B$6:$B$205,$A94,'Credit Notes'!$H$6:$H$205,"Issued"))</f>
        <v/>
      </c>
      <c r="R94" s="34" t="str">
        <f aca="false">IF($A94="","",SUMIFS(Payments!$I$6:$I$505,Payments!$C$6:$C$505,$A94))</f>
        <v/>
      </c>
      <c r="S94" s="34" t="str">
        <f aca="false">IF($A94="","",IF($T94="Void",0,$P94-$Q94-$R94))</f>
        <v/>
      </c>
      <c r="T94" s="26"/>
      <c r="U94" s="35" t="str">
        <f aca="false">IF($A94="","",IF($T94="Void","Void",IF(OR($T94="",$T94="Draft"),"Draft",IF($T94="Disputed","Disputed",IF($S94&lt;-0.005,"Overpaid",IF($S94&lt;=0.005,"Paid",IF($R94+$Q94&gt;0.005,IF($V94&gt;0,"Part-paid, overdue","Part-paid"),IF($V94&gt;0,"Overdue","Outstanding"))))))))</f>
        <v/>
      </c>
      <c r="V94" s="36" t="str">
        <f aca="true">IF($A94="","",IF(AND(OR($T94="Issued",$T94="Disputed"),$S94&gt;0.005,$K94&lt;&gt;"",$K94&lt;TODAY()),TODAY()-$K94,0))</f>
        <v/>
      </c>
      <c r="W94" s="35" t="str">
        <f aca="false">IF($A94="","",IF(AND(OR($T94="Issued",$T94="Disputed"),$S94&gt;0.005),IF($V94&lt;=0,"Not yet due",IF($V94&lt;=30,"1 to 30 days",IF($V94&lt;=60,"31 to 60 days",IF($V94&lt;=90,"61 to 90 days","Over 90 days")))),""))</f>
        <v/>
      </c>
      <c r="X94" s="26"/>
      <c r="Y94" s="29"/>
      <c r="Z94" s="28"/>
      <c r="AA94" s="28"/>
    </row>
    <row r="95" customFormat="false" ht="15" hidden="false" customHeight="false" outlineLevel="0" collapsed="false">
      <c r="A95" s="26"/>
      <c r="B95" s="26"/>
      <c r="C95" s="27" t="str">
        <f aca="false">IF($B95="","",IFERROR(INDEX(Clients!$B$6:$B$105,MATCH($B95,Clients!$A$6:$A$105,0)),"Client not found"))</f>
        <v/>
      </c>
      <c r="D95" s="26"/>
      <c r="E95" s="26"/>
      <c r="F95" s="26"/>
      <c r="G95" s="26"/>
      <c r="H95" s="28"/>
      <c r="I95" s="29"/>
      <c r="J95" s="30" t="str">
        <f aca="false">IF($A95="","",IFERROR(IF(N(INDEX(Clients!$E$6:$E$105,MATCH($B95,Clients!$A$6:$A$105,0)))&gt;0,INDEX(Clients!$E$6:$E$105,MATCH($B95,Clients!$A$6:$A$105,0)),Dashboard!$B$6),Dashboard!$B$6))</f>
        <v/>
      </c>
      <c r="K95" s="31" t="str">
        <f aca="false">IF(OR($A95="",$I95=""),"",$I95+$J95)</f>
        <v/>
      </c>
      <c r="L95" s="26"/>
      <c r="M95" s="32"/>
      <c r="N95" s="33"/>
      <c r="O95" s="34" t="str">
        <f aca="false">IF($A95="","",N($M95)*N($N95))</f>
        <v/>
      </c>
      <c r="P95" s="34" t="str">
        <f aca="false">IF($A95="","",N($M95)+$O95)</f>
        <v/>
      </c>
      <c r="Q95" s="34" t="str">
        <f aca="false">IF($A95="","",SUMIFS('Credit Notes'!$F$6:$F$205,'Credit Notes'!$B$6:$B$205,$A95,'Credit Notes'!$H$6:$H$205,"Issued"))</f>
        <v/>
      </c>
      <c r="R95" s="34" t="str">
        <f aca="false">IF($A95="","",SUMIFS(Payments!$I$6:$I$505,Payments!$C$6:$C$505,$A95))</f>
        <v/>
      </c>
      <c r="S95" s="34" t="str">
        <f aca="false">IF($A95="","",IF($T95="Void",0,$P95-$Q95-$R95))</f>
        <v/>
      </c>
      <c r="T95" s="26"/>
      <c r="U95" s="35" t="str">
        <f aca="false">IF($A95="","",IF($T95="Void","Void",IF(OR($T95="",$T95="Draft"),"Draft",IF($T95="Disputed","Disputed",IF($S95&lt;-0.005,"Overpaid",IF($S95&lt;=0.005,"Paid",IF($R95+$Q95&gt;0.005,IF($V95&gt;0,"Part-paid, overdue","Part-paid"),IF($V95&gt;0,"Overdue","Outstanding"))))))))</f>
        <v/>
      </c>
      <c r="V95" s="36" t="str">
        <f aca="true">IF($A95="","",IF(AND(OR($T95="Issued",$T95="Disputed"),$S95&gt;0.005,$K95&lt;&gt;"",$K95&lt;TODAY()),TODAY()-$K95,0))</f>
        <v/>
      </c>
      <c r="W95" s="35" t="str">
        <f aca="false">IF($A95="","",IF(AND(OR($T95="Issued",$T95="Disputed"),$S95&gt;0.005),IF($V95&lt;=0,"Not yet due",IF($V95&lt;=30,"1 to 30 days",IF($V95&lt;=60,"31 to 60 days",IF($V95&lt;=90,"61 to 90 days","Over 90 days")))),""))</f>
        <v/>
      </c>
      <c r="X95" s="26"/>
      <c r="Y95" s="29"/>
      <c r="Z95" s="28"/>
      <c r="AA95" s="28"/>
    </row>
    <row r="96" customFormat="false" ht="15" hidden="false" customHeight="false" outlineLevel="0" collapsed="false">
      <c r="A96" s="26"/>
      <c r="B96" s="26"/>
      <c r="C96" s="27" t="str">
        <f aca="false">IF($B96="","",IFERROR(INDEX(Clients!$B$6:$B$105,MATCH($B96,Clients!$A$6:$A$105,0)),"Client not found"))</f>
        <v/>
      </c>
      <c r="D96" s="26"/>
      <c r="E96" s="26"/>
      <c r="F96" s="26"/>
      <c r="G96" s="26"/>
      <c r="H96" s="28"/>
      <c r="I96" s="29"/>
      <c r="J96" s="30" t="str">
        <f aca="false">IF($A96="","",IFERROR(IF(N(INDEX(Clients!$E$6:$E$105,MATCH($B96,Clients!$A$6:$A$105,0)))&gt;0,INDEX(Clients!$E$6:$E$105,MATCH($B96,Clients!$A$6:$A$105,0)),Dashboard!$B$6),Dashboard!$B$6))</f>
        <v/>
      </c>
      <c r="K96" s="31" t="str">
        <f aca="false">IF(OR($A96="",$I96=""),"",$I96+$J96)</f>
        <v/>
      </c>
      <c r="L96" s="26"/>
      <c r="M96" s="32"/>
      <c r="N96" s="33"/>
      <c r="O96" s="34" t="str">
        <f aca="false">IF($A96="","",N($M96)*N($N96))</f>
        <v/>
      </c>
      <c r="P96" s="34" t="str">
        <f aca="false">IF($A96="","",N($M96)+$O96)</f>
        <v/>
      </c>
      <c r="Q96" s="34" t="str">
        <f aca="false">IF($A96="","",SUMIFS('Credit Notes'!$F$6:$F$205,'Credit Notes'!$B$6:$B$205,$A96,'Credit Notes'!$H$6:$H$205,"Issued"))</f>
        <v/>
      </c>
      <c r="R96" s="34" t="str">
        <f aca="false">IF($A96="","",SUMIFS(Payments!$I$6:$I$505,Payments!$C$6:$C$505,$A96))</f>
        <v/>
      </c>
      <c r="S96" s="34" t="str">
        <f aca="false">IF($A96="","",IF($T96="Void",0,$P96-$Q96-$R96))</f>
        <v/>
      </c>
      <c r="T96" s="26"/>
      <c r="U96" s="35" t="str">
        <f aca="false">IF($A96="","",IF($T96="Void","Void",IF(OR($T96="",$T96="Draft"),"Draft",IF($T96="Disputed","Disputed",IF($S96&lt;-0.005,"Overpaid",IF($S96&lt;=0.005,"Paid",IF($R96+$Q96&gt;0.005,IF($V96&gt;0,"Part-paid, overdue","Part-paid"),IF($V96&gt;0,"Overdue","Outstanding"))))))))</f>
        <v/>
      </c>
      <c r="V96" s="36" t="str">
        <f aca="true">IF($A96="","",IF(AND(OR($T96="Issued",$T96="Disputed"),$S96&gt;0.005,$K96&lt;&gt;"",$K96&lt;TODAY()),TODAY()-$K96,0))</f>
        <v/>
      </c>
      <c r="W96" s="35" t="str">
        <f aca="false">IF($A96="","",IF(AND(OR($T96="Issued",$T96="Disputed"),$S96&gt;0.005),IF($V96&lt;=0,"Not yet due",IF($V96&lt;=30,"1 to 30 days",IF($V96&lt;=60,"31 to 60 days",IF($V96&lt;=90,"61 to 90 days","Over 90 days")))),""))</f>
        <v/>
      </c>
      <c r="X96" s="26"/>
      <c r="Y96" s="29"/>
      <c r="Z96" s="28"/>
      <c r="AA96" s="28"/>
    </row>
    <row r="97" customFormat="false" ht="15" hidden="false" customHeight="false" outlineLevel="0" collapsed="false">
      <c r="A97" s="26"/>
      <c r="B97" s="26"/>
      <c r="C97" s="27" t="str">
        <f aca="false">IF($B97="","",IFERROR(INDEX(Clients!$B$6:$B$105,MATCH($B97,Clients!$A$6:$A$105,0)),"Client not found"))</f>
        <v/>
      </c>
      <c r="D97" s="26"/>
      <c r="E97" s="26"/>
      <c r="F97" s="26"/>
      <c r="G97" s="26"/>
      <c r="H97" s="28"/>
      <c r="I97" s="29"/>
      <c r="J97" s="30" t="str">
        <f aca="false">IF($A97="","",IFERROR(IF(N(INDEX(Clients!$E$6:$E$105,MATCH($B97,Clients!$A$6:$A$105,0)))&gt;0,INDEX(Clients!$E$6:$E$105,MATCH($B97,Clients!$A$6:$A$105,0)),Dashboard!$B$6),Dashboard!$B$6))</f>
        <v/>
      </c>
      <c r="K97" s="31" t="str">
        <f aca="false">IF(OR($A97="",$I97=""),"",$I97+$J97)</f>
        <v/>
      </c>
      <c r="L97" s="26"/>
      <c r="M97" s="32"/>
      <c r="N97" s="33"/>
      <c r="O97" s="34" t="str">
        <f aca="false">IF($A97="","",N($M97)*N($N97))</f>
        <v/>
      </c>
      <c r="P97" s="34" t="str">
        <f aca="false">IF($A97="","",N($M97)+$O97)</f>
        <v/>
      </c>
      <c r="Q97" s="34" t="str">
        <f aca="false">IF($A97="","",SUMIFS('Credit Notes'!$F$6:$F$205,'Credit Notes'!$B$6:$B$205,$A97,'Credit Notes'!$H$6:$H$205,"Issued"))</f>
        <v/>
      </c>
      <c r="R97" s="34" t="str">
        <f aca="false">IF($A97="","",SUMIFS(Payments!$I$6:$I$505,Payments!$C$6:$C$505,$A97))</f>
        <v/>
      </c>
      <c r="S97" s="34" t="str">
        <f aca="false">IF($A97="","",IF($T97="Void",0,$P97-$Q97-$R97))</f>
        <v/>
      </c>
      <c r="T97" s="26"/>
      <c r="U97" s="35" t="str">
        <f aca="false">IF($A97="","",IF($T97="Void","Void",IF(OR($T97="",$T97="Draft"),"Draft",IF($T97="Disputed","Disputed",IF($S97&lt;-0.005,"Overpaid",IF($S97&lt;=0.005,"Paid",IF($R97+$Q97&gt;0.005,IF($V97&gt;0,"Part-paid, overdue","Part-paid"),IF($V97&gt;0,"Overdue","Outstanding"))))))))</f>
        <v/>
      </c>
      <c r="V97" s="36" t="str">
        <f aca="true">IF($A97="","",IF(AND(OR($T97="Issued",$T97="Disputed"),$S97&gt;0.005,$K97&lt;&gt;"",$K97&lt;TODAY()),TODAY()-$K97,0))</f>
        <v/>
      </c>
      <c r="W97" s="35" t="str">
        <f aca="false">IF($A97="","",IF(AND(OR($T97="Issued",$T97="Disputed"),$S97&gt;0.005),IF($V97&lt;=0,"Not yet due",IF($V97&lt;=30,"1 to 30 days",IF($V97&lt;=60,"31 to 60 days",IF($V97&lt;=90,"61 to 90 days","Over 90 days")))),""))</f>
        <v/>
      </c>
      <c r="X97" s="26"/>
      <c r="Y97" s="29"/>
      <c r="Z97" s="28"/>
      <c r="AA97" s="28"/>
    </row>
    <row r="98" customFormat="false" ht="15" hidden="false" customHeight="false" outlineLevel="0" collapsed="false">
      <c r="A98" s="26"/>
      <c r="B98" s="26"/>
      <c r="C98" s="27" t="str">
        <f aca="false">IF($B98="","",IFERROR(INDEX(Clients!$B$6:$B$105,MATCH($B98,Clients!$A$6:$A$105,0)),"Client not found"))</f>
        <v/>
      </c>
      <c r="D98" s="26"/>
      <c r="E98" s="26"/>
      <c r="F98" s="26"/>
      <c r="G98" s="26"/>
      <c r="H98" s="28"/>
      <c r="I98" s="29"/>
      <c r="J98" s="30" t="str">
        <f aca="false">IF($A98="","",IFERROR(IF(N(INDEX(Clients!$E$6:$E$105,MATCH($B98,Clients!$A$6:$A$105,0)))&gt;0,INDEX(Clients!$E$6:$E$105,MATCH($B98,Clients!$A$6:$A$105,0)),Dashboard!$B$6),Dashboard!$B$6))</f>
        <v/>
      </c>
      <c r="K98" s="31" t="str">
        <f aca="false">IF(OR($A98="",$I98=""),"",$I98+$J98)</f>
        <v/>
      </c>
      <c r="L98" s="26"/>
      <c r="M98" s="32"/>
      <c r="N98" s="33"/>
      <c r="O98" s="34" t="str">
        <f aca="false">IF($A98="","",N($M98)*N($N98))</f>
        <v/>
      </c>
      <c r="P98" s="34" t="str">
        <f aca="false">IF($A98="","",N($M98)+$O98)</f>
        <v/>
      </c>
      <c r="Q98" s="34" t="str">
        <f aca="false">IF($A98="","",SUMIFS('Credit Notes'!$F$6:$F$205,'Credit Notes'!$B$6:$B$205,$A98,'Credit Notes'!$H$6:$H$205,"Issued"))</f>
        <v/>
      </c>
      <c r="R98" s="34" t="str">
        <f aca="false">IF($A98="","",SUMIFS(Payments!$I$6:$I$505,Payments!$C$6:$C$505,$A98))</f>
        <v/>
      </c>
      <c r="S98" s="34" t="str">
        <f aca="false">IF($A98="","",IF($T98="Void",0,$P98-$Q98-$R98))</f>
        <v/>
      </c>
      <c r="T98" s="26"/>
      <c r="U98" s="35" t="str">
        <f aca="false">IF($A98="","",IF($T98="Void","Void",IF(OR($T98="",$T98="Draft"),"Draft",IF($T98="Disputed","Disputed",IF($S98&lt;-0.005,"Overpaid",IF($S98&lt;=0.005,"Paid",IF($R98+$Q98&gt;0.005,IF($V98&gt;0,"Part-paid, overdue","Part-paid"),IF($V98&gt;0,"Overdue","Outstanding"))))))))</f>
        <v/>
      </c>
      <c r="V98" s="36" t="str">
        <f aca="true">IF($A98="","",IF(AND(OR($T98="Issued",$T98="Disputed"),$S98&gt;0.005,$K98&lt;&gt;"",$K98&lt;TODAY()),TODAY()-$K98,0))</f>
        <v/>
      </c>
      <c r="W98" s="35" t="str">
        <f aca="false">IF($A98="","",IF(AND(OR($T98="Issued",$T98="Disputed"),$S98&gt;0.005),IF($V98&lt;=0,"Not yet due",IF($V98&lt;=30,"1 to 30 days",IF($V98&lt;=60,"31 to 60 days",IF($V98&lt;=90,"61 to 90 days","Over 90 days")))),""))</f>
        <v/>
      </c>
      <c r="X98" s="26"/>
      <c r="Y98" s="29"/>
      <c r="Z98" s="28"/>
      <c r="AA98" s="28"/>
    </row>
    <row r="99" customFormat="false" ht="15" hidden="false" customHeight="false" outlineLevel="0" collapsed="false">
      <c r="A99" s="26"/>
      <c r="B99" s="26"/>
      <c r="C99" s="27" t="str">
        <f aca="false">IF($B99="","",IFERROR(INDEX(Clients!$B$6:$B$105,MATCH($B99,Clients!$A$6:$A$105,0)),"Client not found"))</f>
        <v/>
      </c>
      <c r="D99" s="26"/>
      <c r="E99" s="26"/>
      <c r="F99" s="26"/>
      <c r="G99" s="26"/>
      <c r="H99" s="28"/>
      <c r="I99" s="29"/>
      <c r="J99" s="30" t="str">
        <f aca="false">IF($A99="","",IFERROR(IF(N(INDEX(Clients!$E$6:$E$105,MATCH($B99,Clients!$A$6:$A$105,0)))&gt;0,INDEX(Clients!$E$6:$E$105,MATCH($B99,Clients!$A$6:$A$105,0)),Dashboard!$B$6),Dashboard!$B$6))</f>
        <v/>
      </c>
      <c r="K99" s="31" t="str">
        <f aca="false">IF(OR($A99="",$I99=""),"",$I99+$J99)</f>
        <v/>
      </c>
      <c r="L99" s="26"/>
      <c r="M99" s="32"/>
      <c r="N99" s="33"/>
      <c r="O99" s="34" t="str">
        <f aca="false">IF($A99="","",N($M99)*N($N99))</f>
        <v/>
      </c>
      <c r="P99" s="34" t="str">
        <f aca="false">IF($A99="","",N($M99)+$O99)</f>
        <v/>
      </c>
      <c r="Q99" s="34" t="str">
        <f aca="false">IF($A99="","",SUMIFS('Credit Notes'!$F$6:$F$205,'Credit Notes'!$B$6:$B$205,$A99,'Credit Notes'!$H$6:$H$205,"Issued"))</f>
        <v/>
      </c>
      <c r="R99" s="34" t="str">
        <f aca="false">IF($A99="","",SUMIFS(Payments!$I$6:$I$505,Payments!$C$6:$C$505,$A99))</f>
        <v/>
      </c>
      <c r="S99" s="34" t="str">
        <f aca="false">IF($A99="","",IF($T99="Void",0,$P99-$Q99-$R99))</f>
        <v/>
      </c>
      <c r="T99" s="26"/>
      <c r="U99" s="35" t="str">
        <f aca="false">IF($A99="","",IF($T99="Void","Void",IF(OR($T99="",$T99="Draft"),"Draft",IF($T99="Disputed","Disputed",IF($S99&lt;-0.005,"Overpaid",IF($S99&lt;=0.005,"Paid",IF($R99+$Q99&gt;0.005,IF($V99&gt;0,"Part-paid, overdue","Part-paid"),IF($V99&gt;0,"Overdue","Outstanding"))))))))</f>
        <v/>
      </c>
      <c r="V99" s="36" t="str">
        <f aca="true">IF($A99="","",IF(AND(OR($T99="Issued",$T99="Disputed"),$S99&gt;0.005,$K99&lt;&gt;"",$K99&lt;TODAY()),TODAY()-$K99,0))</f>
        <v/>
      </c>
      <c r="W99" s="35" t="str">
        <f aca="false">IF($A99="","",IF(AND(OR($T99="Issued",$T99="Disputed"),$S99&gt;0.005),IF($V99&lt;=0,"Not yet due",IF($V99&lt;=30,"1 to 30 days",IF($V99&lt;=60,"31 to 60 days",IF($V99&lt;=90,"61 to 90 days","Over 90 days")))),""))</f>
        <v/>
      </c>
      <c r="X99" s="26"/>
      <c r="Y99" s="29"/>
      <c r="Z99" s="28"/>
      <c r="AA99" s="28"/>
    </row>
    <row r="100" customFormat="false" ht="15" hidden="false" customHeight="false" outlineLevel="0" collapsed="false">
      <c r="A100" s="26"/>
      <c r="B100" s="26"/>
      <c r="C100" s="27" t="str">
        <f aca="false">IF($B100="","",IFERROR(INDEX(Clients!$B$6:$B$105,MATCH($B100,Clients!$A$6:$A$105,0)),"Client not found"))</f>
        <v/>
      </c>
      <c r="D100" s="26"/>
      <c r="E100" s="26"/>
      <c r="F100" s="26"/>
      <c r="G100" s="26"/>
      <c r="H100" s="28"/>
      <c r="I100" s="29"/>
      <c r="J100" s="30" t="str">
        <f aca="false">IF($A100="","",IFERROR(IF(N(INDEX(Clients!$E$6:$E$105,MATCH($B100,Clients!$A$6:$A$105,0)))&gt;0,INDEX(Clients!$E$6:$E$105,MATCH($B100,Clients!$A$6:$A$105,0)),Dashboard!$B$6),Dashboard!$B$6))</f>
        <v/>
      </c>
      <c r="K100" s="31" t="str">
        <f aca="false">IF(OR($A100="",$I100=""),"",$I100+$J100)</f>
        <v/>
      </c>
      <c r="L100" s="26"/>
      <c r="M100" s="32"/>
      <c r="N100" s="33"/>
      <c r="O100" s="34" t="str">
        <f aca="false">IF($A100="","",N($M100)*N($N100))</f>
        <v/>
      </c>
      <c r="P100" s="34" t="str">
        <f aca="false">IF($A100="","",N($M100)+$O100)</f>
        <v/>
      </c>
      <c r="Q100" s="34" t="str">
        <f aca="false">IF($A100="","",SUMIFS('Credit Notes'!$F$6:$F$205,'Credit Notes'!$B$6:$B$205,$A100,'Credit Notes'!$H$6:$H$205,"Issued"))</f>
        <v/>
      </c>
      <c r="R100" s="34" t="str">
        <f aca="false">IF($A100="","",SUMIFS(Payments!$I$6:$I$505,Payments!$C$6:$C$505,$A100))</f>
        <v/>
      </c>
      <c r="S100" s="34" t="str">
        <f aca="false">IF($A100="","",IF($T100="Void",0,$P100-$Q100-$R100))</f>
        <v/>
      </c>
      <c r="T100" s="26"/>
      <c r="U100" s="35" t="str">
        <f aca="false">IF($A100="","",IF($T100="Void","Void",IF(OR($T100="",$T100="Draft"),"Draft",IF($T100="Disputed","Disputed",IF($S100&lt;-0.005,"Overpaid",IF($S100&lt;=0.005,"Paid",IF($R100+$Q100&gt;0.005,IF($V100&gt;0,"Part-paid, overdue","Part-paid"),IF($V100&gt;0,"Overdue","Outstanding"))))))))</f>
        <v/>
      </c>
      <c r="V100" s="36" t="str">
        <f aca="true">IF($A100="","",IF(AND(OR($T100="Issued",$T100="Disputed"),$S100&gt;0.005,$K100&lt;&gt;"",$K100&lt;TODAY()),TODAY()-$K100,0))</f>
        <v/>
      </c>
      <c r="W100" s="35" t="str">
        <f aca="false">IF($A100="","",IF(AND(OR($T100="Issued",$T100="Disputed"),$S100&gt;0.005),IF($V100&lt;=0,"Not yet due",IF($V100&lt;=30,"1 to 30 days",IF($V100&lt;=60,"31 to 60 days",IF($V100&lt;=90,"61 to 90 days","Over 90 days")))),""))</f>
        <v/>
      </c>
      <c r="X100" s="26"/>
      <c r="Y100" s="29"/>
      <c r="Z100" s="28"/>
      <c r="AA100" s="28"/>
    </row>
    <row r="101" customFormat="false" ht="15" hidden="false" customHeight="false" outlineLevel="0" collapsed="false">
      <c r="A101" s="26"/>
      <c r="B101" s="26"/>
      <c r="C101" s="27" t="str">
        <f aca="false">IF($B101="","",IFERROR(INDEX(Clients!$B$6:$B$105,MATCH($B101,Clients!$A$6:$A$105,0)),"Client not found"))</f>
        <v/>
      </c>
      <c r="D101" s="26"/>
      <c r="E101" s="26"/>
      <c r="F101" s="26"/>
      <c r="G101" s="26"/>
      <c r="H101" s="28"/>
      <c r="I101" s="29"/>
      <c r="J101" s="30" t="str">
        <f aca="false">IF($A101="","",IFERROR(IF(N(INDEX(Clients!$E$6:$E$105,MATCH($B101,Clients!$A$6:$A$105,0)))&gt;0,INDEX(Clients!$E$6:$E$105,MATCH($B101,Clients!$A$6:$A$105,0)),Dashboard!$B$6),Dashboard!$B$6))</f>
        <v/>
      </c>
      <c r="K101" s="31" t="str">
        <f aca="false">IF(OR($A101="",$I101=""),"",$I101+$J101)</f>
        <v/>
      </c>
      <c r="L101" s="26"/>
      <c r="M101" s="32"/>
      <c r="N101" s="33"/>
      <c r="O101" s="34" t="str">
        <f aca="false">IF($A101="","",N($M101)*N($N101))</f>
        <v/>
      </c>
      <c r="P101" s="34" t="str">
        <f aca="false">IF($A101="","",N($M101)+$O101)</f>
        <v/>
      </c>
      <c r="Q101" s="34" t="str">
        <f aca="false">IF($A101="","",SUMIFS('Credit Notes'!$F$6:$F$205,'Credit Notes'!$B$6:$B$205,$A101,'Credit Notes'!$H$6:$H$205,"Issued"))</f>
        <v/>
      </c>
      <c r="R101" s="34" t="str">
        <f aca="false">IF($A101="","",SUMIFS(Payments!$I$6:$I$505,Payments!$C$6:$C$505,$A101))</f>
        <v/>
      </c>
      <c r="S101" s="34" t="str">
        <f aca="false">IF($A101="","",IF($T101="Void",0,$P101-$Q101-$R101))</f>
        <v/>
      </c>
      <c r="T101" s="26"/>
      <c r="U101" s="35" t="str">
        <f aca="false">IF($A101="","",IF($T101="Void","Void",IF(OR($T101="",$T101="Draft"),"Draft",IF($T101="Disputed","Disputed",IF($S101&lt;-0.005,"Overpaid",IF($S101&lt;=0.005,"Paid",IF($R101+$Q101&gt;0.005,IF($V101&gt;0,"Part-paid, overdue","Part-paid"),IF($V101&gt;0,"Overdue","Outstanding"))))))))</f>
        <v/>
      </c>
      <c r="V101" s="36" t="str">
        <f aca="true">IF($A101="","",IF(AND(OR($T101="Issued",$T101="Disputed"),$S101&gt;0.005,$K101&lt;&gt;"",$K101&lt;TODAY()),TODAY()-$K101,0))</f>
        <v/>
      </c>
      <c r="W101" s="35" t="str">
        <f aca="false">IF($A101="","",IF(AND(OR($T101="Issued",$T101="Disputed"),$S101&gt;0.005),IF($V101&lt;=0,"Not yet due",IF($V101&lt;=30,"1 to 30 days",IF($V101&lt;=60,"31 to 60 days",IF($V101&lt;=90,"61 to 90 days","Over 90 days")))),""))</f>
        <v/>
      </c>
      <c r="X101" s="26"/>
      <c r="Y101" s="29"/>
      <c r="Z101" s="28"/>
      <c r="AA101" s="28"/>
    </row>
    <row r="102" customFormat="false" ht="15" hidden="false" customHeight="false" outlineLevel="0" collapsed="false">
      <c r="A102" s="26"/>
      <c r="B102" s="26"/>
      <c r="C102" s="27" t="str">
        <f aca="false">IF($B102="","",IFERROR(INDEX(Clients!$B$6:$B$105,MATCH($B102,Clients!$A$6:$A$105,0)),"Client not found"))</f>
        <v/>
      </c>
      <c r="D102" s="26"/>
      <c r="E102" s="26"/>
      <c r="F102" s="26"/>
      <c r="G102" s="26"/>
      <c r="H102" s="28"/>
      <c r="I102" s="29"/>
      <c r="J102" s="30" t="str">
        <f aca="false">IF($A102="","",IFERROR(IF(N(INDEX(Clients!$E$6:$E$105,MATCH($B102,Clients!$A$6:$A$105,0)))&gt;0,INDEX(Clients!$E$6:$E$105,MATCH($B102,Clients!$A$6:$A$105,0)),Dashboard!$B$6),Dashboard!$B$6))</f>
        <v/>
      </c>
      <c r="K102" s="31" t="str">
        <f aca="false">IF(OR($A102="",$I102=""),"",$I102+$J102)</f>
        <v/>
      </c>
      <c r="L102" s="26"/>
      <c r="M102" s="32"/>
      <c r="N102" s="33"/>
      <c r="O102" s="34" t="str">
        <f aca="false">IF($A102="","",N($M102)*N($N102))</f>
        <v/>
      </c>
      <c r="P102" s="34" t="str">
        <f aca="false">IF($A102="","",N($M102)+$O102)</f>
        <v/>
      </c>
      <c r="Q102" s="34" t="str">
        <f aca="false">IF($A102="","",SUMIFS('Credit Notes'!$F$6:$F$205,'Credit Notes'!$B$6:$B$205,$A102,'Credit Notes'!$H$6:$H$205,"Issued"))</f>
        <v/>
      </c>
      <c r="R102" s="34" t="str">
        <f aca="false">IF($A102="","",SUMIFS(Payments!$I$6:$I$505,Payments!$C$6:$C$505,$A102))</f>
        <v/>
      </c>
      <c r="S102" s="34" t="str">
        <f aca="false">IF($A102="","",IF($T102="Void",0,$P102-$Q102-$R102))</f>
        <v/>
      </c>
      <c r="T102" s="26"/>
      <c r="U102" s="35" t="str">
        <f aca="false">IF($A102="","",IF($T102="Void","Void",IF(OR($T102="",$T102="Draft"),"Draft",IF($T102="Disputed","Disputed",IF($S102&lt;-0.005,"Overpaid",IF($S102&lt;=0.005,"Paid",IF($R102+$Q102&gt;0.005,IF($V102&gt;0,"Part-paid, overdue","Part-paid"),IF($V102&gt;0,"Overdue","Outstanding"))))))))</f>
        <v/>
      </c>
      <c r="V102" s="36" t="str">
        <f aca="true">IF($A102="","",IF(AND(OR($T102="Issued",$T102="Disputed"),$S102&gt;0.005,$K102&lt;&gt;"",$K102&lt;TODAY()),TODAY()-$K102,0))</f>
        <v/>
      </c>
      <c r="W102" s="35" t="str">
        <f aca="false">IF($A102="","",IF(AND(OR($T102="Issued",$T102="Disputed"),$S102&gt;0.005),IF($V102&lt;=0,"Not yet due",IF($V102&lt;=30,"1 to 30 days",IF($V102&lt;=60,"31 to 60 days",IF($V102&lt;=90,"61 to 90 days","Over 90 days")))),""))</f>
        <v/>
      </c>
      <c r="X102" s="26"/>
      <c r="Y102" s="29"/>
      <c r="Z102" s="28"/>
      <c r="AA102" s="28"/>
    </row>
    <row r="103" customFormat="false" ht="15" hidden="false" customHeight="false" outlineLevel="0" collapsed="false">
      <c r="A103" s="26"/>
      <c r="B103" s="26"/>
      <c r="C103" s="27" t="str">
        <f aca="false">IF($B103="","",IFERROR(INDEX(Clients!$B$6:$B$105,MATCH($B103,Clients!$A$6:$A$105,0)),"Client not found"))</f>
        <v/>
      </c>
      <c r="D103" s="26"/>
      <c r="E103" s="26"/>
      <c r="F103" s="26"/>
      <c r="G103" s="26"/>
      <c r="H103" s="28"/>
      <c r="I103" s="29"/>
      <c r="J103" s="30" t="str">
        <f aca="false">IF($A103="","",IFERROR(IF(N(INDEX(Clients!$E$6:$E$105,MATCH($B103,Clients!$A$6:$A$105,0)))&gt;0,INDEX(Clients!$E$6:$E$105,MATCH($B103,Clients!$A$6:$A$105,0)),Dashboard!$B$6),Dashboard!$B$6))</f>
        <v/>
      </c>
      <c r="K103" s="31" t="str">
        <f aca="false">IF(OR($A103="",$I103=""),"",$I103+$J103)</f>
        <v/>
      </c>
      <c r="L103" s="26"/>
      <c r="M103" s="32"/>
      <c r="N103" s="33"/>
      <c r="O103" s="34" t="str">
        <f aca="false">IF($A103="","",N($M103)*N($N103))</f>
        <v/>
      </c>
      <c r="P103" s="34" t="str">
        <f aca="false">IF($A103="","",N($M103)+$O103)</f>
        <v/>
      </c>
      <c r="Q103" s="34" t="str">
        <f aca="false">IF($A103="","",SUMIFS('Credit Notes'!$F$6:$F$205,'Credit Notes'!$B$6:$B$205,$A103,'Credit Notes'!$H$6:$H$205,"Issued"))</f>
        <v/>
      </c>
      <c r="R103" s="34" t="str">
        <f aca="false">IF($A103="","",SUMIFS(Payments!$I$6:$I$505,Payments!$C$6:$C$505,$A103))</f>
        <v/>
      </c>
      <c r="S103" s="34" t="str">
        <f aca="false">IF($A103="","",IF($T103="Void",0,$P103-$Q103-$R103))</f>
        <v/>
      </c>
      <c r="T103" s="26"/>
      <c r="U103" s="35" t="str">
        <f aca="false">IF($A103="","",IF($T103="Void","Void",IF(OR($T103="",$T103="Draft"),"Draft",IF($T103="Disputed","Disputed",IF($S103&lt;-0.005,"Overpaid",IF($S103&lt;=0.005,"Paid",IF($R103+$Q103&gt;0.005,IF($V103&gt;0,"Part-paid, overdue","Part-paid"),IF($V103&gt;0,"Overdue","Outstanding"))))))))</f>
        <v/>
      </c>
      <c r="V103" s="36" t="str">
        <f aca="true">IF($A103="","",IF(AND(OR($T103="Issued",$T103="Disputed"),$S103&gt;0.005,$K103&lt;&gt;"",$K103&lt;TODAY()),TODAY()-$K103,0))</f>
        <v/>
      </c>
      <c r="W103" s="35" t="str">
        <f aca="false">IF($A103="","",IF(AND(OR($T103="Issued",$T103="Disputed"),$S103&gt;0.005),IF($V103&lt;=0,"Not yet due",IF($V103&lt;=30,"1 to 30 days",IF($V103&lt;=60,"31 to 60 days",IF($V103&lt;=90,"61 to 90 days","Over 90 days")))),""))</f>
        <v/>
      </c>
      <c r="X103" s="26"/>
      <c r="Y103" s="29"/>
      <c r="Z103" s="28"/>
      <c r="AA103" s="28"/>
    </row>
    <row r="104" customFormat="false" ht="15" hidden="false" customHeight="false" outlineLevel="0" collapsed="false">
      <c r="A104" s="26"/>
      <c r="B104" s="26"/>
      <c r="C104" s="27" t="str">
        <f aca="false">IF($B104="","",IFERROR(INDEX(Clients!$B$6:$B$105,MATCH($B104,Clients!$A$6:$A$105,0)),"Client not found"))</f>
        <v/>
      </c>
      <c r="D104" s="26"/>
      <c r="E104" s="26"/>
      <c r="F104" s="26"/>
      <c r="G104" s="26"/>
      <c r="H104" s="28"/>
      <c r="I104" s="29"/>
      <c r="J104" s="30" t="str">
        <f aca="false">IF($A104="","",IFERROR(IF(N(INDEX(Clients!$E$6:$E$105,MATCH($B104,Clients!$A$6:$A$105,0)))&gt;0,INDEX(Clients!$E$6:$E$105,MATCH($B104,Clients!$A$6:$A$105,0)),Dashboard!$B$6),Dashboard!$B$6))</f>
        <v/>
      </c>
      <c r="K104" s="31" t="str">
        <f aca="false">IF(OR($A104="",$I104=""),"",$I104+$J104)</f>
        <v/>
      </c>
      <c r="L104" s="26"/>
      <c r="M104" s="32"/>
      <c r="N104" s="33"/>
      <c r="O104" s="34" t="str">
        <f aca="false">IF($A104="","",N($M104)*N($N104))</f>
        <v/>
      </c>
      <c r="P104" s="34" t="str">
        <f aca="false">IF($A104="","",N($M104)+$O104)</f>
        <v/>
      </c>
      <c r="Q104" s="34" t="str">
        <f aca="false">IF($A104="","",SUMIFS('Credit Notes'!$F$6:$F$205,'Credit Notes'!$B$6:$B$205,$A104,'Credit Notes'!$H$6:$H$205,"Issued"))</f>
        <v/>
      </c>
      <c r="R104" s="34" t="str">
        <f aca="false">IF($A104="","",SUMIFS(Payments!$I$6:$I$505,Payments!$C$6:$C$505,$A104))</f>
        <v/>
      </c>
      <c r="S104" s="34" t="str">
        <f aca="false">IF($A104="","",IF($T104="Void",0,$P104-$Q104-$R104))</f>
        <v/>
      </c>
      <c r="T104" s="26"/>
      <c r="U104" s="35" t="str">
        <f aca="false">IF($A104="","",IF($T104="Void","Void",IF(OR($T104="",$T104="Draft"),"Draft",IF($T104="Disputed","Disputed",IF($S104&lt;-0.005,"Overpaid",IF($S104&lt;=0.005,"Paid",IF($R104+$Q104&gt;0.005,IF($V104&gt;0,"Part-paid, overdue","Part-paid"),IF($V104&gt;0,"Overdue","Outstanding"))))))))</f>
        <v/>
      </c>
      <c r="V104" s="36" t="str">
        <f aca="true">IF($A104="","",IF(AND(OR($T104="Issued",$T104="Disputed"),$S104&gt;0.005,$K104&lt;&gt;"",$K104&lt;TODAY()),TODAY()-$K104,0))</f>
        <v/>
      </c>
      <c r="W104" s="35" t="str">
        <f aca="false">IF($A104="","",IF(AND(OR($T104="Issued",$T104="Disputed"),$S104&gt;0.005),IF($V104&lt;=0,"Not yet due",IF($V104&lt;=30,"1 to 30 days",IF($V104&lt;=60,"31 to 60 days",IF($V104&lt;=90,"61 to 90 days","Over 90 days")))),""))</f>
        <v/>
      </c>
      <c r="X104" s="26"/>
      <c r="Y104" s="29"/>
      <c r="Z104" s="28"/>
      <c r="AA104" s="28"/>
    </row>
    <row r="105" customFormat="false" ht="15" hidden="false" customHeight="false" outlineLevel="0" collapsed="false">
      <c r="A105" s="26"/>
      <c r="B105" s="26"/>
      <c r="C105" s="27" t="str">
        <f aca="false">IF($B105="","",IFERROR(INDEX(Clients!$B$6:$B$105,MATCH($B105,Clients!$A$6:$A$105,0)),"Client not found"))</f>
        <v/>
      </c>
      <c r="D105" s="26"/>
      <c r="E105" s="26"/>
      <c r="F105" s="26"/>
      <c r="G105" s="26"/>
      <c r="H105" s="28"/>
      <c r="I105" s="29"/>
      <c r="J105" s="30" t="str">
        <f aca="false">IF($A105="","",IFERROR(IF(N(INDEX(Clients!$E$6:$E$105,MATCH($B105,Clients!$A$6:$A$105,0)))&gt;0,INDEX(Clients!$E$6:$E$105,MATCH($B105,Clients!$A$6:$A$105,0)),Dashboard!$B$6),Dashboard!$B$6))</f>
        <v/>
      </c>
      <c r="K105" s="31" t="str">
        <f aca="false">IF(OR($A105="",$I105=""),"",$I105+$J105)</f>
        <v/>
      </c>
      <c r="L105" s="26"/>
      <c r="M105" s="32"/>
      <c r="N105" s="33"/>
      <c r="O105" s="34" t="str">
        <f aca="false">IF($A105="","",N($M105)*N($N105))</f>
        <v/>
      </c>
      <c r="P105" s="34" t="str">
        <f aca="false">IF($A105="","",N($M105)+$O105)</f>
        <v/>
      </c>
      <c r="Q105" s="34" t="str">
        <f aca="false">IF($A105="","",SUMIFS('Credit Notes'!$F$6:$F$205,'Credit Notes'!$B$6:$B$205,$A105,'Credit Notes'!$H$6:$H$205,"Issued"))</f>
        <v/>
      </c>
      <c r="R105" s="34" t="str">
        <f aca="false">IF($A105="","",SUMIFS(Payments!$I$6:$I$505,Payments!$C$6:$C$505,$A105))</f>
        <v/>
      </c>
      <c r="S105" s="34" t="str">
        <f aca="false">IF($A105="","",IF($T105="Void",0,$P105-$Q105-$R105))</f>
        <v/>
      </c>
      <c r="T105" s="26"/>
      <c r="U105" s="35" t="str">
        <f aca="false">IF($A105="","",IF($T105="Void","Void",IF(OR($T105="",$T105="Draft"),"Draft",IF($T105="Disputed","Disputed",IF($S105&lt;-0.005,"Overpaid",IF($S105&lt;=0.005,"Paid",IF($R105+$Q105&gt;0.005,IF($V105&gt;0,"Part-paid, overdue","Part-paid"),IF($V105&gt;0,"Overdue","Outstanding"))))))))</f>
        <v/>
      </c>
      <c r="V105" s="36" t="str">
        <f aca="true">IF($A105="","",IF(AND(OR($T105="Issued",$T105="Disputed"),$S105&gt;0.005,$K105&lt;&gt;"",$K105&lt;TODAY()),TODAY()-$K105,0))</f>
        <v/>
      </c>
      <c r="W105" s="35" t="str">
        <f aca="false">IF($A105="","",IF(AND(OR($T105="Issued",$T105="Disputed"),$S105&gt;0.005),IF($V105&lt;=0,"Not yet due",IF($V105&lt;=30,"1 to 30 days",IF($V105&lt;=60,"31 to 60 days",IF($V105&lt;=90,"61 to 90 days","Over 90 days")))),""))</f>
        <v/>
      </c>
      <c r="X105" s="26"/>
      <c r="Y105" s="29"/>
      <c r="Z105" s="28"/>
      <c r="AA105" s="28"/>
    </row>
    <row r="106" customFormat="false" ht="15" hidden="false" customHeight="false" outlineLevel="0" collapsed="false">
      <c r="A106" s="26"/>
      <c r="B106" s="26"/>
      <c r="C106" s="27" t="str">
        <f aca="false">IF($B106="","",IFERROR(INDEX(Clients!$B$6:$B$105,MATCH($B106,Clients!$A$6:$A$105,0)),"Client not found"))</f>
        <v/>
      </c>
      <c r="D106" s="26"/>
      <c r="E106" s="26"/>
      <c r="F106" s="26"/>
      <c r="G106" s="26"/>
      <c r="H106" s="28"/>
      <c r="I106" s="29"/>
      <c r="J106" s="30" t="str">
        <f aca="false">IF($A106="","",IFERROR(IF(N(INDEX(Clients!$E$6:$E$105,MATCH($B106,Clients!$A$6:$A$105,0)))&gt;0,INDEX(Clients!$E$6:$E$105,MATCH($B106,Clients!$A$6:$A$105,0)),Dashboard!$B$6),Dashboard!$B$6))</f>
        <v/>
      </c>
      <c r="K106" s="31" t="str">
        <f aca="false">IF(OR($A106="",$I106=""),"",$I106+$J106)</f>
        <v/>
      </c>
      <c r="L106" s="26"/>
      <c r="M106" s="32"/>
      <c r="N106" s="33"/>
      <c r="O106" s="34" t="str">
        <f aca="false">IF($A106="","",N($M106)*N($N106))</f>
        <v/>
      </c>
      <c r="P106" s="34" t="str">
        <f aca="false">IF($A106="","",N($M106)+$O106)</f>
        <v/>
      </c>
      <c r="Q106" s="34" t="str">
        <f aca="false">IF($A106="","",SUMIFS('Credit Notes'!$F$6:$F$205,'Credit Notes'!$B$6:$B$205,$A106,'Credit Notes'!$H$6:$H$205,"Issued"))</f>
        <v/>
      </c>
      <c r="R106" s="34" t="str">
        <f aca="false">IF($A106="","",SUMIFS(Payments!$I$6:$I$505,Payments!$C$6:$C$505,$A106))</f>
        <v/>
      </c>
      <c r="S106" s="34" t="str">
        <f aca="false">IF($A106="","",IF($T106="Void",0,$P106-$Q106-$R106))</f>
        <v/>
      </c>
      <c r="T106" s="26"/>
      <c r="U106" s="35" t="str">
        <f aca="false">IF($A106="","",IF($T106="Void","Void",IF(OR($T106="",$T106="Draft"),"Draft",IF($T106="Disputed","Disputed",IF($S106&lt;-0.005,"Overpaid",IF($S106&lt;=0.005,"Paid",IF($R106+$Q106&gt;0.005,IF($V106&gt;0,"Part-paid, overdue","Part-paid"),IF($V106&gt;0,"Overdue","Outstanding"))))))))</f>
        <v/>
      </c>
      <c r="V106" s="36" t="str">
        <f aca="true">IF($A106="","",IF(AND(OR($T106="Issued",$T106="Disputed"),$S106&gt;0.005,$K106&lt;&gt;"",$K106&lt;TODAY()),TODAY()-$K106,0))</f>
        <v/>
      </c>
      <c r="W106" s="35" t="str">
        <f aca="false">IF($A106="","",IF(AND(OR($T106="Issued",$T106="Disputed"),$S106&gt;0.005),IF($V106&lt;=0,"Not yet due",IF($V106&lt;=30,"1 to 30 days",IF($V106&lt;=60,"31 to 60 days",IF($V106&lt;=90,"61 to 90 days","Over 90 days")))),""))</f>
        <v/>
      </c>
      <c r="X106" s="26"/>
      <c r="Y106" s="29"/>
      <c r="Z106" s="28"/>
      <c r="AA106" s="28"/>
    </row>
    <row r="107" customFormat="false" ht="15" hidden="false" customHeight="false" outlineLevel="0" collapsed="false">
      <c r="A107" s="26"/>
      <c r="B107" s="26"/>
      <c r="C107" s="27" t="str">
        <f aca="false">IF($B107="","",IFERROR(INDEX(Clients!$B$6:$B$105,MATCH($B107,Clients!$A$6:$A$105,0)),"Client not found"))</f>
        <v/>
      </c>
      <c r="D107" s="26"/>
      <c r="E107" s="26"/>
      <c r="F107" s="26"/>
      <c r="G107" s="26"/>
      <c r="H107" s="28"/>
      <c r="I107" s="29"/>
      <c r="J107" s="30" t="str">
        <f aca="false">IF($A107="","",IFERROR(IF(N(INDEX(Clients!$E$6:$E$105,MATCH($B107,Clients!$A$6:$A$105,0)))&gt;0,INDEX(Clients!$E$6:$E$105,MATCH($B107,Clients!$A$6:$A$105,0)),Dashboard!$B$6),Dashboard!$B$6))</f>
        <v/>
      </c>
      <c r="K107" s="31" t="str">
        <f aca="false">IF(OR($A107="",$I107=""),"",$I107+$J107)</f>
        <v/>
      </c>
      <c r="L107" s="26"/>
      <c r="M107" s="32"/>
      <c r="N107" s="33"/>
      <c r="O107" s="34" t="str">
        <f aca="false">IF($A107="","",N($M107)*N($N107))</f>
        <v/>
      </c>
      <c r="P107" s="34" t="str">
        <f aca="false">IF($A107="","",N($M107)+$O107)</f>
        <v/>
      </c>
      <c r="Q107" s="34" t="str">
        <f aca="false">IF($A107="","",SUMIFS('Credit Notes'!$F$6:$F$205,'Credit Notes'!$B$6:$B$205,$A107,'Credit Notes'!$H$6:$H$205,"Issued"))</f>
        <v/>
      </c>
      <c r="R107" s="34" t="str">
        <f aca="false">IF($A107="","",SUMIFS(Payments!$I$6:$I$505,Payments!$C$6:$C$505,$A107))</f>
        <v/>
      </c>
      <c r="S107" s="34" t="str">
        <f aca="false">IF($A107="","",IF($T107="Void",0,$P107-$Q107-$R107))</f>
        <v/>
      </c>
      <c r="T107" s="26"/>
      <c r="U107" s="35" t="str">
        <f aca="false">IF($A107="","",IF($T107="Void","Void",IF(OR($T107="",$T107="Draft"),"Draft",IF($T107="Disputed","Disputed",IF($S107&lt;-0.005,"Overpaid",IF($S107&lt;=0.005,"Paid",IF($R107+$Q107&gt;0.005,IF($V107&gt;0,"Part-paid, overdue","Part-paid"),IF($V107&gt;0,"Overdue","Outstanding"))))))))</f>
        <v/>
      </c>
      <c r="V107" s="36" t="str">
        <f aca="true">IF($A107="","",IF(AND(OR($T107="Issued",$T107="Disputed"),$S107&gt;0.005,$K107&lt;&gt;"",$K107&lt;TODAY()),TODAY()-$K107,0))</f>
        <v/>
      </c>
      <c r="W107" s="35" t="str">
        <f aca="false">IF($A107="","",IF(AND(OR($T107="Issued",$T107="Disputed"),$S107&gt;0.005),IF($V107&lt;=0,"Not yet due",IF($V107&lt;=30,"1 to 30 days",IF($V107&lt;=60,"31 to 60 days",IF($V107&lt;=90,"61 to 90 days","Over 90 days")))),""))</f>
        <v/>
      </c>
      <c r="X107" s="26"/>
      <c r="Y107" s="29"/>
      <c r="Z107" s="28"/>
      <c r="AA107" s="28"/>
    </row>
    <row r="108" customFormat="false" ht="15" hidden="false" customHeight="false" outlineLevel="0" collapsed="false">
      <c r="A108" s="26"/>
      <c r="B108" s="26"/>
      <c r="C108" s="27" t="str">
        <f aca="false">IF($B108="","",IFERROR(INDEX(Clients!$B$6:$B$105,MATCH($B108,Clients!$A$6:$A$105,0)),"Client not found"))</f>
        <v/>
      </c>
      <c r="D108" s="26"/>
      <c r="E108" s="26"/>
      <c r="F108" s="26"/>
      <c r="G108" s="26"/>
      <c r="H108" s="28"/>
      <c r="I108" s="29"/>
      <c r="J108" s="30" t="str">
        <f aca="false">IF($A108="","",IFERROR(IF(N(INDEX(Clients!$E$6:$E$105,MATCH($B108,Clients!$A$6:$A$105,0)))&gt;0,INDEX(Clients!$E$6:$E$105,MATCH($B108,Clients!$A$6:$A$105,0)),Dashboard!$B$6),Dashboard!$B$6))</f>
        <v/>
      </c>
      <c r="K108" s="31" t="str">
        <f aca="false">IF(OR($A108="",$I108=""),"",$I108+$J108)</f>
        <v/>
      </c>
      <c r="L108" s="26"/>
      <c r="M108" s="32"/>
      <c r="N108" s="33"/>
      <c r="O108" s="34" t="str">
        <f aca="false">IF($A108="","",N($M108)*N($N108))</f>
        <v/>
      </c>
      <c r="P108" s="34" t="str">
        <f aca="false">IF($A108="","",N($M108)+$O108)</f>
        <v/>
      </c>
      <c r="Q108" s="34" t="str">
        <f aca="false">IF($A108="","",SUMIFS('Credit Notes'!$F$6:$F$205,'Credit Notes'!$B$6:$B$205,$A108,'Credit Notes'!$H$6:$H$205,"Issued"))</f>
        <v/>
      </c>
      <c r="R108" s="34" t="str">
        <f aca="false">IF($A108="","",SUMIFS(Payments!$I$6:$I$505,Payments!$C$6:$C$505,$A108))</f>
        <v/>
      </c>
      <c r="S108" s="34" t="str">
        <f aca="false">IF($A108="","",IF($T108="Void",0,$P108-$Q108-$R108))</f>
        <v/>
      </c>
      <c r="T108" s="26"/>
      <c r="U108" s="35" t="str">
        <f aca="false">IF($A108="","",IF($T108="Void","Void",IF(OR($T108="",$T108="Draft"),"Draft",IF($T108="Disputed","Disputed",IF($S108&lt;-0.005,"Overpaid",IF($S108&lt;=0.005,"Paid",IF($R108+$Q108&gt;0.005,IF($V108&gt;0,"Part-paid, overdue","Part-paid"),IF($V108&gt;0,"Overdue","Outstanding"))))))))</f>
        <v/>
      </c>
      <c r="V108" s="36" t="str">
        <f aca="true">IF($A108="","",IF(AND(OR($T108="Issued",$T108="Disputed"),$S108&gt;0.005,$K108&lt;&gt;"",$K108&lt;TODAY()),TODAY()-$K108,0))</f>
        <v/>
      </c>
      <c r="W108" s="35" t="str">
        <f aca="false">IF($A108="","",IF(AND(OR($T108="Issued",$T108="Disputed"),$S108&gt;0.005),IF($V108&lt;=0,"Not yet due",IF($V108&lt;=30,"1 to 30 days",IF($V108&lt;=60,"31 to 60 days",IF($V108&lt;=90,"61 to 90 days","Over 90 days")))),""))</f>
        <v/>
      </c>
      <c r="X108" s="26"/>
      <c r="Y108" s="29"/>
      <c r="Z108" s="28"/>
      <c r="AA108" s="28"/>
    </row>
    <row r="109" customFormat="false" ht="15" hidden="false" customHeight="false" outlineLevel="0" collapsed="false">
      <c r="A109" s="26"/>
      <c r="B109" s="26"/>
      <c r="C109" s="27" t="str">
        <f aca="false">IF($B109="","",IFERROR(INDEX(Clients!$B$6:$B$105,MATCH($B109,Clients!$A$6:$A$105,0)),"Client not found"))</f>
        <v/>
      </c>
      <c r="D109" s="26"/>
      <c r="E109" s="26"/>
      <c r="F109" s="26"/>
      <c r="G109" s="26"/>
      <c r="H109" s="28"/>
      <c r="I109" s="29"/>
      <c r="J109" s="30" t="str">
        <f aca="false">IF($A109="","",IFERROR(IF(N(INDEX(Clients!$E$6:$E$105,MATCH($B109,Clients!$A$6:$A$105,0)))&gt;0,INDEX(Clients!$E$6:$E$105,MATCH($B109,Clients!$A$6:$A$105,0)),Dashboard!$B$6),Dashboard!$B$6))</f>
        <v/>
      </c>
      <c r="K109" s="31" t="str">
        <f aca="false">IF(OR($A109="",$I109=""),"",$I109+$J109)</f>
        <v/>
      </c>
      <c r="L109" s="26"/>
      <c r="M109" s="32"/>
      <c r="N109" s="33"/>
      <c r="O109" s="34" t="str">
        <f aca="false">IF($A109="","",N($M109)*N($N109))</f>
        <v/>
      </c>
      <c r="P109" s="34" t="str">
        <f aca="false">IF($A109="","",N($M109)+$O109)</f>
        <v/>
      </c>
      <c r="Q109" s="34" t="str">
        <f aca="false">IF($A109="","",SUMIFS('Credit Notes'!$F$6:$F$205,'Credit Notes'!$B$6:$B$205,$A109,'Credit Notes'!$H$6:$H$205,"Issued"))</f>
        <v/>
      </c>
      <c r="R109" s="34" t="str">
        <f aca="false">IF($A109="","",SUMIFS(Payments!$I$6:$I$505,Payments!$C$6:$C$505,$A109))</f>
        <v/>
      </c>
      <c r="S109" s="34" t="str">
        <f aca="false">IF($A109="","",IF($T109="Void",0,$P109-$Q109-$R109))</f>
        <v/>
      </c>
      <c r="T109" s="26"/>
      <c r="U109" s="35" t="str">
        <f aca="false">IF($A109="","",IF($T109="Void","Void",IF(OR($T109="",$T109="Draft"),"Draft",IF($T109="Disputed","Disputed",IF($S109&lt;-0.005,"Overpaid",IF($S109&lt;=0.005,"Paid",IF($R109+$Q109&gt;0.005,IF($V109&gt;0,"Part-paid, overdue","Part-paid"),IF($V109&gt;0,"Overdue","Outstanding"))))))))</f>
        <v/>
      </c>
      <c r="V109" s="36" t="str">
        <f aca="true">IF($A109="","",IF(AND(OR($T109="Issued",$T109="Disputed"),$S109&gt;0.005,$K109&lt;&gt;"",$K109&lt;TODAY()),TODAY()-$K109,0))</f>
        <v/>
      </c>
      <c r="W109" s="35" t="str">
        <f aca="false">IF($A109="","",IF(AND(OR($T109="Issued",$T109="Disputed"),$S109&gt;0.005),IF($V109&lt;=0,"Not yet due",IF($V109&lt;=30,"1 to 30 days",IF($V109&lt;=60,"31 to 60 days",IF($V109&lt;=90,"61 to 90 days","Over 90 days")))),""))</f>
        <v/>
      </c>
      <c r="X109" s="26"/>
      <c r="Y109" s="29"/>
      <c r="Z109" s="28"/>
      <c r="AA109" s="28"/>
    </row>
    <row r="110" customFormat="false" ht="15" hidden="false" customHeight="false" outlineLevel="0" collapsed="false">
      <c r="A110" s="26"/>
      <c r="B110" s="26"/>
      <c r="C110" s="27" t="str">
        <f aca="false">IF($B110="","",IFERROR(INDEX(Clients!$B$6:$B$105,MATCH($B110,Clients!$A$6:$A$105,0)),"Client not found"))</f>
        <v/>
      </c>
      <c r="D110" s="26"/>
      <c r="E110" s="26"/>
      <c r="F110" s="26"/>
      <c r="G110" s="26"/>
      <c r="H110" s="28"/>
      <c r="I110" s="29"/>
      <c r="J110" s="30" t="str">
        <f aca="false">IF($A110="","",IFERROR(IF(N(INDEX(Clients!$E$6:$E$105,MATCH($B110,Clients!$A$6:$A$105,0)))&gt;0,INDEX(Clients!$E$6:$E$105,MATCH($B110,Clients!$A$6:$A$105,0)),Dashboard!$B$6),Dashboard!$B$6))</f>
        <v/>
      </c>
      <c r="K110" s="31" t="str">
        <f aca="false">IF(OR($A110="",$I110=""),"",$I110+$J110)</f>
        <v/>
      </c>
      <c r="L110" s="26"/>
      <c r="M110" s="32"/>
      <c r="N110" s="33"/>
      <c r="O110" s="34" t="str">
        <f aca="false">IF($A110="","",N($M110)*N($N110))</f>
        <v/>
      </c>
      <c r="P110" s="34" t="str">
        <f aca="false">IF($A110="","",N($M110)+$O110)</f>
        <v/>
      </c>
      <c r="Q110" s="34" t="str">
        <f aca="false">IF($A110="","",SUMIFS('Credit Notes'!$F$6:$F$205,'Credit Notes'!$B$6:$B$205,$A110,'Credit Notes'!$H$6:$H$205,"Issued"))</f>
        <v/>
      </c>
      <c r="R110" s="34" t="str">
        <f aca="false">IF($A110="","",SUMIFS(Payments!$I$6:$I$505,Payments!$C$6:$C$505,$A110))</f>
        <v/>
      </c>
      <c r="S110" s="34" t="str">
        <f aca="false">IF($A110="","",IF($T110="Void",0,$P110-$Q110-$R110))</f>
        <v/>
      </c>
      <c r="T110" s="26"/>
      <c r="U110" s="35" t="str">
        <f aca="false">IF($A110="","",IF($T110="Void","Void",IF(OR($T110="",$T110="Draft"),"Draft",IF($T110="Disputed","Disputed",IF($S110&lt;-0.005,"Overpaid",IF($S110&lt;=0.005,"Paid",IF($R110+$Q110&gt;0.005,IF($V110&gt;0,"Part-paid, overdue","Part-paid"),IF($V110&gt;0,"Overdue","Outstanding"))))))))</f>
        <v/>
      </c>
      <c r="V110" s="36" t="str">
        <f aca="true">IF($A110="","",IF(AND(OR($T110="Issued",$T110="Disputed"),$S110&gt;0.005,$K110&lt;&gt;"",$K110&lt;TODAY()),TODAY()-$K110,0))</f>
        <v/>
      </c>
      <c r="W110" s="35" t="str">
        <f aca="false">IF($A110="","",IF(AND(OR($T110="Issued",$T110="Disputed"),$S110&gt;0.005),IF($V110&lt;=0,"Not yet due",IF($V110&lt;=30,"1 to 30 days",IF($V110&lt;=60,"31 to 60 days",IF($V110&lt;=90,"61 to 90 days","Over 90 days")))),""))</f>
        <v/>
      </c>
      <c r="X110" s="26"/>
      <c r="Y110" s="29"/>
      <c r="Z110" s="28"/>
      <c r="AA110" s="28"/>
    </row>
    <row r="111" customFormat="false" ht="15" hidden="false" customHeight="false" outlineLevel="0" collapsed="false">
      <c r="A111" s="26"/>
      <c r="B111" s="26"/>
      <c r="C111" s="27" t="str">
        <f aca="false">IF($B111="","",IFERROR(INDEX(Clients!$B$6:$B$105,MATCH($B111,Clients!$A$6:$A$105,0)),"Client not found"))</f>
        <v/>
      </c>
      <c r="D111" s="26"/>
      <c r="E111" s="26"/>
      <c r="F111" s="26"/>
      <c r="G111" s="26"/>
      <c r="H111" s="28"/>
      <c r="I111" s="29"/>
      <c r="J111" s="30" t="str">
        <f aca="false">IF($A111="","",IFERROR(IF(N(INDEX(Clients!$E$6:$E$105,MATCH($B111,Clients!$A$6:$A$105,0)))&gt;0,INDEX(Clients!$E$6:$E$105,MATCH($B111,Clients!$A$6:$A$105,0)),Dashboard!$B$6),Dashboard!$B$6))</f>
        <v/>
      </c>
      <c r="K111" s="31" t="str">
        <f aca="false">IF(OR($A111="",$I111=""),"",$I111+$J111)</f>
        <v/>
      </c>
      <c r="L111" s="26"/>
      <c r="M111" s="32"/>
      <c r="N111" s="33"/>
      <c r="O111" s="34" t="str">
        <f aca="false">IF($A111="","",N($M111)*N($N111))</f>
        <v/>
      </c>
      <c r="P111" s="34" t="str">
        <f aca="false">IF($A111="","",N($M111)+$O111)</f>
        <v/>
      </c>
      <c r="Q111" s="34" t="str">
        <f aca="false">IF($A111="","",SUMIFS('Credit Notes'!$F$6:$F$205,'Credit Notes'!$B$6:$B$205,$A111,'Credit Notes'!$H$6:$H$205,"Issued"))</f>
        <v/>
      </c>
      <c r="R111" s="34" t="str">
        <f aca="false">IF($A111="","",SUMIFS(Payments!$I$6:$I$505,Payments!$C$6:$C$505,$A111))</f>
        <v/>
      </c>
      <c r="S111" s="34" t="str">
        <f aca="false">IF($A111="","",IF($T111="Void",0,$P111-$Q111-$R111))</f>
        <v/>
      </c>
      <c r="T111" s="26"/>
      <c r="U111" s="35" t="str">
        <f aca="false">IF($A111="","",IF($T111="Void","Void",IF(OR($T111="",$T111="Draft"),"Draft",IF($T111="Disputed","Disputed",IF($S111&lt;-0.005,"Overpaid",IF($S111&lt;=0.005,"Paid",IF($R111+$Q111&gt;0.005,IF($V111&gt;0,"Part-paid, overdue","Part-paid"),IF($V111&gt;0,"Overdue","Outstanding"))))))))</f>
        <v/>
      </c>
      <c r="V111" s="36" t="str">
        <f aca="true">IF($A111="","",IF(AND(OR($T111="Issued",$T111="Disputed"),$S111&gt;0.005,$K111&lt;&gt;"",$K111&lt;TODAY()),TODAY()-$K111,0))</f>
        <v/>
      </c>
      <c r="W111" s="35" t="str">
        <f aca="false">IF($A111="","",IF(AND(OR($T111="Issued",$T111="Disputed"),$S111&gt;0.005),IF($V111&lt;=0,"Not yet due",IF($V111&lt;=30,"1 to 30 days",IF($V111&lt;=60,"31 to 60 days",IF($V111&lt;=90,"61 to 90 days","Over 90 days")))),""))</f>
        <v/>
      </c>
      <c r="X111" s="26"/>
      <c r="Y111" s="29"/>
      <c r="Z111" s="28"/>
      <c r="AA111" s="28"/>
    </row>
    <row r="112" customFormat="false" ht="15" hidden="false" customHeight="false" outlineLevel="0" collapsed="false">
      <c r="A112" s="26"/>
      <c r="B112" s="26"/>
      <c r="C112" s="27" t="str">
        <f aca="false">IF($B112="","",IFERROR(INDEX(Clients!$B$6:$B$105,MATCH($B112,Clients!$A$6:$A$105,0)),"Client not found"))</f>
        <v/>
      </c>
      <c r="D112" s="26"/>
      <c r="E112" s="26"/>
      <c r="F112" s="26"/>
      <c r="G112" s="26"/>
      <c r="H112" s="28"/>
      <c r="I112" s="29"/>
      <c r="J112" s="30" t="str">
        <f aca="false">IF($A112="","",IFERROR(IF(N(INDEX(Clients!$E$6:$E$105,MATCH($B112,Clients!$A$6:$A$105,0)))&gt;0,INDEX(Clients!$E$6:$E$105,MATCH($B112,Clients!$A$6:$A$105,0)),Dashboard!$B$6),Dashboard!$B$6))</f>
        <v/>
      </c>
      <c r="K112" s="31" t="str">
        <f aca="false">IF(OR($A112="",$I112=""),"",$I112+$J112)</f>
        <v/>
      </c>
      <c r="L112" s="26"/>
      <c r="M112" s="32"/>
      <c r="N112" s="33"/>
      <c r="O112" s="34" t="str">
        <f aca="false">IF($A112="","",N($M112)*N($N112))</f>
        <v/>
      </c>
      <c r="P112" s="34" t="str">
        <f aca="false">IF($A112="","",N($M112)+$O112)</f>
        <v/>
      </c>
      <c r="Q112" s="34" t="str">
        <f aca="false">IF($A112="","",SUMIFS('Credit Notes'!$F$6:$F$205,'Credit Notes'!$B$6:$B$205,$A112,'Credit Notes'!$H$6:$H$205,"Issued"))</f>
        <v/>
      </c>
      <c r="R112" s="34" t="str">
        <f aca="false">IF($A112="","",SUMIFS(Payments!$I$6:$I$505,Payments!$C$6:$C$505,$A112))</f>
        <v/>
      </c>
      <c r="S112" s="34" t="str">
        <f aca="false">IF($A112="","",IF($T112="Void",0,$P112-$Q112-$R112))</f>
        <v/>
      </c>
      <c r="T112" s="26"/>
      <c r="U112" s="35" t="str">
        <f aca="false">IF($A112="","",IF($T112="Void","Void",IF(OR($T112="",$T112="Draft"),"Draft",IF($T112="Disputed","Disputed",IF($S112&lt;-0.005,"Overpaid",IF($S112&lt;=0.005,"Paid",IF($R112+$Q112&gt;0.005,IF($V112&gt;0,"Part-paid, overdue","Part-paid"),IF($V112&gt;0,"Overdue","Outstanding"))))))))</f>
        <v/>
      </c>
      <c r="V112" s="36" t="str">
        <f aca="true">IF($A112="","",IF(AND(OR($T112="Issued",$T112="Disputed"),$S112&gt;0.005,$K112&lt;&gt;"",$K112&lt;TODAY()),TODAY()-$K112,0))</f>
        <v/>
      </c>
      <c r="W112" s="35" t="str">
        <f aca="false">IF($A112="","",IF(AND(OR($T112="Issued",$T112="Disputed"),$S112&gt;0.005),IF($V112&lt;=0,"Not yet due",IF($V112&lt;=30,"1 to 30 days",IF($V112&lt;=60,"31 to 60 days",IF($V112&lt;=90,"61 to 90 days","Over 90 days")))),""))</f>
        <v/>
      </c>
      <c r="X112" s="26"/>
      <c r="Y112" s="29"/>
      <c r="Z112" s="28"/>
      <c r="AA112" s="28"/>
    </row>
    <row r="113" customFormat="false" ht="15" hidden="false" customHeight="false" outlineLevel="0" collapsed="false">
      <c r="A113" s="26"/>
      <c r="B113" s="26"/>
      <c r="C113" s="27" t="str">
        <f aca="false">IF($B113="","",IFERROR(INDEX(Clients!$B$6:$B$105,MATCH($B113,Clients!$A$6:$A$105,0)),"Client not found"))</f>
        <v/>
      </c>
      <c r="D113" s="26"/>
      <c r="E113" s="26"/>
      <c r="F113" s="26"/>
      <c r="G113" s="26"/>
      <c r="H113" s="28"/>
      <c r="I113" s="29"/>
      <c r="J113" s="30" t="str">
        <f aca="false">IF($A113="","",IFERROR(IF(N(INDEX(Clients!$E$6:$E$105,MATCH($B113,Clients!$A$6:$A$105,0)))&gt;0,INDEX(Clients!$E$6:$E$105,MATCH($B113,Clients!$A$6:$A$105,0)),Dashboard!$B$6),Dashboard!$B$6))</f>
        <v/>
      </c>
      <c r="K113" s="31" t="str">
        <f aca="false">IF(OR($A113="",$I113=""),"",$I113+$J113)</f>
        <v/>
      </c>
      <c r="L113" s="26"/>
      <c r="M113" s="32"/>
      <c r="N113" s="33"/>
      <c r="O113" s="34" t="str">
        <f aca="false">IF($A113="","",N($M113)*N($N113))</f>
        <v/>
      </c>
      <c r="P113" s="34" t="str">
        <f aca="false">IF($A113="","",N($M113)+$O113)</f>
        <v/>
      </c>
      <c r="Q113" s="34" t="str">
        <f aca="false">IF($A113="","",SUMIFS('Credit Notes'!$F$6:$F$205,'Credit Notes'!$B$6:$B$205,$A113,'Credit Notes'!$H$6:$H$205,"Issued"))</f>
        <v/>
      </c>
      <c r="R113" s="34" t="str">
        <f aca="false">IF($A113="","",SUMIFS(Payments!$I$6:$I$505,Payments!$C$6:$C$505,$A113))</f>
        <v/>
      </c>
      <c r="S113" s="34" t="str">
        <f aca="false">IF($A113="","",IF($T113="Void",0,$P113-$Q113-$R113))</f>
        <v/>
      </c>
      <c r="T113" s="26"/>
      <c r="U113" s="35" t="str">
        <f aca="false">IF($A113="","",IF($T113="Void","Void",IF(OR($T113="",$T113="Draft"),"Draft",IF($T113="Disputed","Disputed",IF($S113&lt;-0.005,"Overpaid",IF($S113&lt;=0.005,"Paid",IF($R113+$Q113&gt;0.005,IF($V113&gt;0,"Part-paid, overdue","Part-paid"),IF($V113&gt;0,"Overdue","Outstanding"))))))))</f>
        <v/>
      </c>
      <c r="V113" s="36" t="str">
        <f aca="true">IF($A113="","",IF(AND(OR($T113="Issued",$T113="Disputed"),$S113&gt;0.005,$K113&lt;&gt;"",$K113&lt;TODAY()),TODAY()-$K113,0))</f>
        <v/>
      </c>
      <c r="W113" s="35" t="str">
        <f aca="false">IF($A113="","",IF(AND(OR($T113="Issued",$T113="Disputed"),$S113&gt;0.005),IF($V113&lt;=0,"Not yet due",IF($V113&lt;=30,"1 to 30 days",IF($V113&lt;=60,"31 to 60 days",IF($V113&lt;=90,"61 to 90 days","Over 90 days")))),""))</f>
        <v/>
      </c>
      <c r="X113" s="26"/>
      <c r="Y113" s="29"/>
      <c r="Z113" s="28"/>
      <c r="AA113" s="28"/>
    </row>
    <row r="114" customFormat="false" ht="15" hidden="false" customHeight="false" outlineLevel="0" collapsed="false">
      <c r="A114" s="26"/>
      <c r="B114" s="26"/>
      <c r="C114" s="27" t="str">
        <f aca="false">IF($B114="","",IFERROR(INDEX(Clients!$B$6:$B$105,MATCH($B114,Clients!$A$6:$A$105,0)),"Client not found"))</f>
        <v/>
      </c>
      <c r="D114" s="26"/>
      <c r="E114" s="26"/>
      <c r="F114" s="26"/>
      <c r="G114" s="26"/>
      <c r="H114" s="28"/>
      <c r="I114" s="29"/>
      <c r="J114" s="30" t="str">
        <f aca="false">IF($A114="","",IFERROR(IF(N(INDEX(Clients!$E$6:$E$105,MATCH($B114,Clients!$A$6:$A$105,0)))&gt;0,INDEX(Clients!$E$6:$E$105,MATCH($B114,Clients!$A$6:$A$105,0)),Dashboard!$B$6),Dashboard!$B$6))</f>
        <v/>
      </c>
      <c r="K114" s="31" t="str">
        <f aca="false">IF(OR($A114="",$I114=""),"",$I114+$J114)</f>
        <v/>
      </c>
      <c r="L114" s="26"/>
      <c r="M114" s="32"/>
      <c r="N114" s="33"/>
      <c r="O114" s="34" t="str">
        <f aca="false">IF($A114="","",N($M114)*N($N114))</f>
        <v/>
      </c>
      <c r="P114" s="34" t="str">
        <f aca="false">IF($A114="","",N($M114)+$O114)</f>
        <v/>
      </c>
      <c r="Q114" s="34" t="str">
        <f aca="false">IF($A114="","",SUMIFS('Credit Notes'!$F$6:$F$205,'Credit Notes'!$B$6:$B$205,$A114,'Credit Notes'!$H$6:$H$205,"Issued"))</f>
        <v/>
      </c>
      <c r="R114" s="34" t="str">
        <f aca="false">IF($A114="","",SUMIFS(Payments!$I$6:$I$505,Payments!$C$6:$C$505,$A114))</f>
        <v/>
      </c>
      <c r="S114" s="34" t="str">
        <f aca="false">IF($A114="","",IF($T114="Void",0,$P114-$Q114-$R114))</f>
        <v/>
      </c>
      <c r="T114" s="26"/>
      <c r="U114" s="35" t="str">
        <f aca="false">IF($A114="","",IF($T114="Void","Void",IF(OR($T114="",$T114="Draft"),"Draft",IF($T114="Disputed","Disputed",IF($S114&lt;-0.005,"Overpaid",IF($S114&lt;=0.005,"Paid",IF($R114+$Q114&gt;0.005,IF($V114&gt;0,"Part-paid, overdue","Part-paid"),IF($V114&gt;0,"Overdue","Outstanding"))))))))</f>
        <v/>
      </c>
      <c r="V114" s="36" t="str">
        <f aca="true">IF($A114="","",IF(AND(OR($T114="Issued",$T114="Disputed"),$S114&gt;0.005,$K114&lt;&gt;"",$K114&lt;TODAY()),TODAY()-$K114,0))</f>
        <v/>
      </c>
      <c r="W114" s="35" t="str">
        <f aca="false">IF($A114="","",IF(AND(OR($T114="Issued",$T114="Disputed"),$S114&gt;0.005),IF($V114&lt;=0,"Not yet due",IF($V114&lt;=30,"1 to 30 days",IF($V114&lt;=60,"31 to 60 days",IF($V114&lt;=90,"61 to 90 days","Over 90 days")))),""))</f>
        <v/>
      </c>
      <c r="X114" s="26"/>
      <c r="Y114" s="29"/>
      <c r="Z114" s="28"/>
      <c r="AA114" s="28"/>
    </row>
    <row r="115" customFormat="false" ht="15" hidden="false" customHeight="false" outlineLevel="0" collapsed="false">
      <c r="A115" s="26"/>
      <c r="B115" s="26"/>
      <c r="C115" s="27" t="str">
        <f aca="false">IF($B115="","",IFERROR(INDEX(Clients!$B$6:$B$105,MATCH($B115,Clients!$A$6:$A$105,0)),"Client not found"))</f>
        <v/>
      </c>
      <c r="D115" s="26"/>
      <c r="E115" s="26"/>
      <c r="F115" s="26"/>
      <c r="G115" s="26"/>
      <c r="H115" s="28"/>
      <c r="I115" s="29"/>
      <c r="J115" s="30" t="str">
        <f aca="false">IF($A115="","",IFERROR(IF(N(INDEX(Clients!$E$6:$E$105,MATCH($B115,Clients!$A$6:$A$105,0)))&gt;0,INDEX(Clients!$E$6:$E$105,MATCH($B115,Clients!$A$6:$A$105,0)),Dashboard!$B$6),Dashboard!$B$6))</f>
        <v/>
      </c>
      <c r="K115" s="31" t="str">
        <f aca="false">IF(OR($A115="",$I115=""),"",$I115+$J115)</f>
        <v/>
      </c>
      <c r="L115" s="26"/>
      <c r="M115" s="32"/>
      <c r="N115" s="33"/>
      <c r="O115" s="34" t="str">
        <f aca="false">IF($A115="","",N($M115)*N($N115))</f>
        <v/>
      </c>
      <c r="P115" s="34" t="str">
        <f aca="false">IF($A115="","",N($M115)+$O115)</f>
        <v/>
      </c>
      <c r="Q115" s="34" t="str">
        <f aca="false">IF($A115="","",SUMIFS('Credit Notes'!$F$6:$F$205,'Credit Notes'!$B$6:$B$205,$A115,'Credit Notes'!$H$6:$H$205,"Issued"))</f>
        <v/>
      </c>
      <c r="R115" s="34" t="str">
        <f aca="false">IF($A115="","",SUMIFS(Payments!$I$6:$I$505,Payments!$C$6:$C$505,$A115))</f>
        <v/>
      </c>
      <c r="S115" s="34" t="str">
        <f aca="false">IF($A115="","",IF($T115="Void",0,$P115-$Q115-$R115))</f>
        <v/>
      </c>
      <c r="T115" s="26"/>
      <c r="U115" s="35" t="str">
        <f aca="false">IF($A115="","",IF($T115="Void","Void",IF(OR($T115="",$T115="Draft"),"Draft",IF($T115="Disputed","Disputed",IF($S115&lt;-0.005,"Overpaid",IF($S115&lt;=0.005,"Paid",IF($R115+$Q115&gt;0.005,IF($V115&gt;0,"Part-paid, overdue","Part-paid"),IF($V115&gt;0,"Overdue","Outstanding"))))))))</f>
        <v/>
      </c>
      <c r="V115" s="36" t="str">
        <f aca="true">IF($A115="","",IF(AND(OR($T115="Issued",$T115="Disputed"),$S115&gt;0.005,$K115&lt;&gt;"",$K115&lt;TODAY()),TODAY()-$K115,0))</f>
        <v/>
      </c>
      <c r="W115" s="35" t="str">
        <f aca="false">IF($A115="","",IF(AND(OR($T115="Issued",$T115="Disputed"),$S115&gt;0.005),IF($V115&lt;=0,"Not yet due",IF($V115&lt;=30,"1 to 30 days",IF($V115&lt;=60,"31 to 60 days",IF($V115&lt;=90,"61 to 90 days","Over 90 days")))),""))</f>
        <v/>
      </c>
      <c r="X115" s="26"/>
      <c r="Y115" s="29"/>
      <c r="Z115" s="28"/>
      <c r="AA115" s="28"/>
    </row>
    <row r="116" customFormat="false" ht="15" hidden="false" customHeight="false" outlineLevel="0" collapsed="false">
      <c r="A116" s="26"/>
      <c r="B116" s="26"/>
      <c r="C116" s="27" t="str">
        <f aca="false">IF($B116="","",IFERROR(INDEX(Clients!$B$6:$B$105,MATCH($B116,Clients!$A$6:$A$105,0)),"Client not found"))</f>
        <v/>
      </c>
      <c r="D116" s="26"/>
      <c r="E116" s="26"/>
      <c r="F116" s="26"/>
      <c r="G116" s="26"/>
      <c r="H116" s="28"/>
      <c r="I116" s="29"/>
      <c r="J116" s="30" t="str">
        <f aca="false">IF($A116="","",IFERROR(IF(N(INDEX(Clients!$E$6:$E$105,MATCH($B116,Clients!$A$6:$A$105,0)))&gt;0,INDEX(Clients!$E$6:$E$105,MATCH($B116,Clients!$A$6:$A$105,0)),Dashboard!$B$6),Dashboard!$B$6))</f>
        <v/>
      </c>
      <c r="K116" s="31" t="str">
        <f aca="false">IF(OR($A116="",$I116=""),"",$I116+$J116)</f>
        <v/>
      </c>
      <c r="L116" s="26"/>
      <c r="M116" s="32"/>
      <c r="N116" s="33"/>
      <c r="O116" s="34" t="str">
        <f aca="false">IF($A116="","",N($M116)*N($N116))</f>
        <v/>
      </c>
      <c r="P116" s="34" t="str">
        <f aca="false">IF($A116="","",N($M116)+$O116)</f>
        <v/>
      </c>
      <c r="Q116" s="34" t="str">
        <f aca="false">IF($A116="","",SUMIFS('Credit Notes'!$F$6:$F$205,'Credit Notes'!$B$6:$B$205,$A116,'Credit Notes'!$H$6:$H$205,"Issued"))</f>
        <v/>
      </c>
      <c r="R116" s="34" t="str">
        <f aca="false">IF($A116="","",SUMIFS(Payments!$I$6:$I$505,Payments!$C$6:$C$505,$A116))</f>
        <v/>
      </c>
      <c r="S116" s="34" t="str">
        <f aca="false">IF($A116="","",IF($T116="Void",0,$P116-$Q116-$R116))</f>
        <v/>
      </c>
      <c r="T116" s="26"/>
      <c r="U116" s="35" t="str">
        <f aca="false">IF($A116="","",IF($T116="Void","Void",IF(OR($T116="",$T116="Draft"),"Draft",IF($T116="Disputed","Disputed",IF($S116&lt;-0.005,"Overpaid",IF($S116&lt;=0.005,"Paid",IF($R116+$Q116&gt;0.005,IF($V116&gt;0,"Part-paid, overdue","Part-paid"),IF($V116&gt;0,"Overdue","Outstanding"))))))))</f>
        <v/>
      </c>
      <c r="V116" s="36" t="str">
        <f aca="true">IF($A116="","",IF(AND(OR($T116="Issued",$T116="Disputed"),$S116&gt;0.005,$K116&lt;&gt;"",$K116&lt;TODAY()),TODAY()-$K116,0))</f>
        <v/>
      </c>
      <c r="W116" s="35" t="str">
        <f aca="false">IF($A116="","",IF(AND(OR($T116="Issued",$T116="Disputed"),$S116&gt;0.005),IF($V116&lt;=0,"Not yet due",IF($V116&lt;=30,"1 to 30 days",IF($V116&lt;=60,"31 to 60 days",IF($V116&lt;=90,"61 to 90 days","Over 90 days")))),""))</f>
        <v/>
      </c>
      <c r="X116" s="26"/>
      <c r="Y116" s="29"/>
      <c r="Z116" s="28"/>
      <c r="AA116" s="28"/>
    </row>
    <row r="117" customFormat="false" ht="15" hidden="false" customHeight="false" outlineLevel="0" collapsed="false">
      <c r="A117" s="26"/>
      <c r="B117" s="26"/>
      <c r="C117" s="27" t="str">
        <f aca="false">IF($B117="","",IFERROR(INDEX(Clients!$B$6:$B$105,MATCH($B117,Clients!$A$6:$A$105,0)),"Client not found"))</f>
        <v/>
      </c>
      <c r="D117" s="26"/>
      <c r="E117" s="26"/>
      <c r="F117" s="26"/>
      <c r="G117" s="26"/>
      <c r="H117" s="28"/>
      <c r="I117" s="29"/>
      <c r="J117" s="30" t="str">
        <f aca="false">IF($A117="","",IFERROR(IF(N(INDEX(Clients!$E$6:$E$105,MATCH($B117,Clients!$A$6:$A$105,0)))&gt;0,INDEX(Clients!$E$6:$E$105,MATCH($B117,Clients!$A$6:$A$105,0)),Dashboard!$B$6),Dashboard!$B$6))</f>
        <v/>
      </c>
      <c r="K117" s="31" t="str">
        <f aca="false">IF(OR($A117="",$I117=""),"",$I117+$J117)</f>
        <v/>
      </c>
      <c r="L117" s="26"/>
      <c r="M117" s="32"/>
      <c r="N117" s="33"/>
      <c r="O117" s="34" t="str">
        <f aca="false">IF($A117="","",N($M117)*N($N117))</f>
        <v/>
      </c>
      <c r="P117" s="34" t="str">
        <f aca="false">IF($A117="","",N($M117)+$O117)</f>
        <v/>
      </c>
      <c r="Q117" s="34" t="str">
        <f aca="false">IF($A117="","",SUMIFS('Credit Notes'!$F$6:$F$205,'Credit Notes'!$B$6:$B$205,$A117,'Credit Notes'!$H$6:$H$205,"Issued"))</f>
        <v/>
      </c>
      <c r="R117" s="34" t="str">
        <f aca="false">IF($A117="","",SUMIFS(Payments!$I$6:$I$505,Payments!$C$6:$C$505,$A117))</f>
        <v/>
      </c>
      <c r="S117" s="34" t="str">
        <f aca="false">IF($A117="","",IF($T117="Void",0,$P117-$Q117-$R117))</f>
        <v/>
      </c>
      <c r="T117" s="26"/>
      <c r="U117" s="35" t="str">
        <f aca="false">IF($A117="","",IF($T117="Void","Void",IF(OR($T117="",$T117="Draft"),"Draft",IF($T117="Disputed","Disputed",IF($S117&lt;-0.005,"Overpaid",IF($S117&lt;=0.005,"Paid",IF($R117+$Q117&gt;0.005,IF($V117&gt;0,"Part-paid, overdue","Part-paid"),IF($V117&gt;0,"Overdue","Outstanding"))))))))</f>
        <v/>
      </c>
      <c r="V117" s="36" t="str">
        <f aca="true">IF($A117="","",IF(AND(OR($T117="Issued",$T117="Disputed"),$S117&gt;0.005,$K117&lt;&gt;"",$K117&lt;TODAY()),TODAY()-$K117,0))</f>
        <v/>
      </c>
      <c r="W117" s="35" t="str">
        <f aca="false">IF($A117="","",IF(AND(OR($T117="Issued",$T117="Disputed"),$S117&gt;0.005),IF($V117&lt;=0,"Not yet due",IF($V117&lt;=30,"1 to 30 days",IF($V117&lt;=60,"31 to 60 days",IF($V117&lt;=90,"61 to 90 days","Over 90 days")))),""))</f>
        <v/>
      </c>
      <c r="X117" s="26"/>
      <c r="Y117" s="29"/>
      <c r="Z117" s="28"/>
      <c r="AA117" s="28"/>
    </row>
    <row r="118" customFormat="false" ht="15" hidden="false" customHeight="false" outlineLevel="0" collapsed="false">
      <c r="A118" s="26"/>
      <c r="B118" s="26"/>
      <c r="C118" s="27" t="str">
        <f aca="false">IF($B118="","",IFERROR(INDEX(Clients!$B$6:$B$105,MATCH($B118,Clients!$A$6:$A$105,0)),"Client not found"))</f>
        <v/>
      </c>
      <c r="D118" s="26"/>
      <c r="E118" s="26"/>
      <c r="F118" s="26"/>
      <c r="G118" s="26"/>
      <c r="H118" s="28"/>
      <c r="I118" s="29"/>
      <c r="J118" s="30" t="str">
        <f aca="false">IF($A118="","",IFERROR(IF(N(INDEX(Clients!$E$6:$E$105,MATCH($B118,Clients!$A$6:$A$105,0)))&gt;0,INDEX(Clients!$E$6:$E$105,MATCH($B118,Clients!$A$6:$A$105,0)),Dashboard!$B$6),Dashboard!$B$6))</f>
        <v/>
      </c>
      <c r="K118" s="31" t="str">
        <f aca="false">IF(OR($A118="",$I118=""),"",$I118+$J118)</f>
        <v/>
      </c>
      <c r="L118" s="26"/>
      <c r="M118" s="32"/>
      <c r="N118" s="33"/>
      <c r="O118" s="34" t="str">
        <f aca="false">IF($A118="","",N($M118)*N($N118))</f>
        <v/>
      </c>
      <c r="P118" s="34" t="str">
        <f aca="false">IF($A118="","",N($M118)+$O118)</f>
        <v/>
      </c>
      <c r="Q118" s="34" t="str">
        <f aca="false">IF($A118="","",SUMIFS('Credit Notes'!$F$6:$F$205,'Credit Notes'!$B$6:$B$205,$A118,'Credit Notes'!$H$6:$H$205,"Issued"))</f>
        <v/>
      </c>
      <c r="R118" s="34" t="str">
        <f aca="false">IF($A118="","",SUMIFS(Payments!$I$6:$I$505,Payments!$C$6:$C$505,$A118))</f>
        <v/>
      </c>
      <c r="S118" s="34" t="str">
        <f aca="false">IF($A118="","",IF($T118="Void",0,$P118-$Q118-$R118))</f>
        <v/>
      </c>
      <c r="T118" s="26"/>
      <c r="U118" s="35" t="str">
        <f aca="false">IF($A118="","",IF($T118="Void","Void",IF(OR($T118="",$T118="Draft"),"Draft",IF($T118="Disputed","Disputed",IF($S118&lt;-0.005,"Overpaid",IF($S118&lt;=0.005,"Paid",IF($R118+$Q118&gt;0.005,IF($V118&gt;0,"Part-paid, overdue","Part-paid"),IF($V118&gt;0,"Overdue","Outstanding"))))))))</f>
        <v/>
      </c>
      <c r="V118" s="36" t="str">
        <f aca="true">IF($A118="","",IF(AND(OR($T118="Issued",$T118="Disputed"),$S118&gt;0.005,$K118&lt;&gt;"",$K118&lt;TODAY()),TODAY()-$K118,0))</f>
        <v/>
      </c>
      <c r="W118" s="35" t="str">
        <f aca="false">IF($A118="","",IF(AND(OR($T118="Issued",$T118="Disputed"),$S118&gt;0.005),IF($V118&lt;=0,"Not yet due",IF($V118&lt;=30,"1 to 30 days",IF($V118&lt;=60,"31 to 60 days",IF($V118&lt;=90,"61 to 90 days","Over 90 days")))),""))</f>
        <v/>
      </c>
      <c r="X118" s="26"/>
      <c r="Y118" s="29"/>
      <c r="Z118" s="28"/>
      <c r="AA118" s="28"/>
    </row>
    <row r="119" customFormat="false" ht="15" hidden="false" customHeight="false" outlineLevel="0" collapsed="false">
      <c r="A119" s="26"/>
      <c r="B119" s="26"/>
      <c r="C119" s="27" t="str">
        <f aca="false">IF($B119="","",IFERROR(INDEX(Clients!$B$6:$B$105,MATCH($B119,Clients!$A$6:$A$105,0)),"Client not found"))</f>
        <v/>
      </c>
      <c r="D119" s="26"/>
      <c r="E119" s="26"/>
      <c r="F119" s="26"/>
      <c r="G119" s="26"/>
      <c r="H119" s="28"/>
      <c r="I119" s="29"/>
      <c r="J119" s="30" t="str">
        <f aca="false">IF($A119="","",IFERROR(IF(N(INDEX(Clients!$E$6:$E$105,MATCH($B119,Clients!$A$6:$A$105,0)))&gt;0,INDEX(Clients!$E$6:$E$105,MATCH($B119,Clients!$A$6:$A$105,0)),Dashboard!$B$6),Dashboard!$B$6))</f>
        <v/>
      </c>
      <c r="K119" s="31" t="str">
        <f aca="false">IF(OR($A119="",$I119=""),"",$I119+$J119)</f>
        <v/>
      </c>
      <c r="L119" s="26"/>
      <c r="M119" s="32"/>
      <c r="N119" s="33"/>
      <c r="O119" s="34" t="str">
        <f aca="false">IF($A119="","",N($M119)*N($N119))</f>
        <v/>
      </c>
      <c r="P119" s="34" t="str">
        <f aca="false">IF($A119="","",N($M119)+$O119)</f>
        <v/>
      </c>
      <c r="Q119" s="34" t="str">
        <f aca="false">IF($A119="","",SUMIFS('Credit Notes'!$F$6:$F$205,'Credit Notes'!$B$6:$B$205,$A119,'Credit Notes'!$H$6:$H$205,"Issued"))</f>
        <v/>
      </c>
      <c r="R119" s="34" t="str">
        <f aca="false">IF($A119="","",SUMIFS(Payments!$I$6:$I$505,Payments!$C$6:$C$505,$A119))</f>
        <v/>
      </c>
      <c r="S119" s="34" t="str">
        <f aca="false">IF($A119="","",IF($T119="Void",0,$P119-$Q119-$R119))</f>
        <v/>
      </c>
      <c r="T119" s="26"/>
      <c r="U119" s="35" t="str">
        <f aca="false">IF($A119="","",IF($T119="Void","Void",IF(OR($T119="",$T119="Draft"),"Draft",IF($T119="Disputed","Disputed",IF($S119&lt;-0.005,"Overpaid",IF($S119&lt;=0.005,"Paid",IF($R119+$Q119&gt;0.005,IF($V119&gt;0,"Part-paid, overdue","Part-paid"),IF($V119&gt;0,"Overdue","Outstanding"))))))))</f>
        <v/>
      </c>
      <c r="V119" s="36" t="str">
        <f aca="true">IF($A119="","",IF(AND(OR($T119="Issued",$T119="Disputed"),$S119&gt;0.005,$K119&lt;&gt;"",$K119&lt;TODAY()),TODAY()-$K119,0))</f>
        <v/>
      </c>
      <c r="W119" s="35" t="str">
        <f aca="false">IF($A119="","",IF(AND(OR($T119="Issued",$T119="Disputed"),$S119&gt;0.005),IF($V119&lt;=0,"Not yet due",IF($V119&lt;=30,"1 to 30 days",IF($V119&lt;=60,"31 to 60 days",IF($V119&lt;=90,"61 to 90 days","Over 90 days")))),""))</f>
        <v/>
      </c>
      <c r="X119" s="26"/>
      <c r="Y119" s="29"/>
      <c r="Z119" s="28"/>
      <c r="AA119" s="28"/>
    </row>
    <row r="120" customFormat="false" ht="15" hidden="false" customHeight="false" outlineLevel="0" collapsed="false">
      <c r="A120" s="26"/>
      <c r="B120" s="26"/>
      <c r="C120" s="27" t="str">
        <f aca="false">IF($B120="","",IFERROR(INDEX(Clients!$B$6:$B$105,MATCH($B120,Clients!$A$6:$A$105,0)),"Client not found"))</f>
        <v/>
      </c>
      <c r="D120" s="26"/>
      <c r="E120" s="26"/>
      <c r="F120" s="26"/>
      <c r="G120" s="26"/>
      <c r="H120" s="28"/>
      <c r="I120" s="29"/>
      <c r="J120" s="30" t="str">
        <f aca="false">IF($A120="","",IFERROR(IF(N(INDEX(Clients!$E$6:$E$105,MATCH($B120,Clients!$A$6:$A$105,0)))&gt;0,INDEX(Clients!$E$6:$E$105,MATCH($B120,Clients!$A$6:$A$105,0)),Dashboard!$B$6),Dashboard!$B$6))</f>
        <v/>
      </c>
      <c r="K120" s="31" t="str">
        <f aca="false">IF(OR($A120="",$I120=""),"",$I120+$J120)</f>
        <v/>
      </c>
      <c r="L120" s="26"/>
      <c r="M120" s="32"/>
      <c r="N120" s="33"/>
      <c r="O120" s="34" t="str">
        <f aca="false">IF($A120="","",N($M120)*N($N120))</f>
        <v/>
      </c>
      <c r="P120" s="34" t="str">
        <f aca="false">IF($A120="","",N($M120)+$O120)</f>
        <v/>
      </c>
      <c r="Q120" s="34" t="str">
        <f aca="false">IF($A120="","",SUMIFS('Credit Notes'!$F$6:$F$205,'Credit Notes'!$B$6:$B$205,$A120,'Credit Notes'!$H$6:$H$205,"Issued"))</f>
        <v/>
      </c>
      <c r="R120" s="34" t="str">
        <f aca="false">IF($A120="","",SUMIFS(Payments!$I$6:$I$505,Payments!$C$6:$C$505,$A120))</f>
        <v/>
      </c>
      <c r="S120" s="34" t="str">
        <f aca="false">IF($A120="","",IF($T120="Void",0,$P120-$Q120-$R120))</f>
        <v/>
      </c>
      <c r="T120" s="26"/>
      <c r="U120" s="35" t="str">
        <f aca="false">IF($A120="","",IF($T120="Void","Void",IF(OR($T120="",$T120="Draft"),"Draft",IF($T120="Disputed","Disputed",IF($S120&lt;-0.005,"Overpaid",IF($S120&lt;=0.005,"Paid",IF($R120+$Q120&gt;0.005,IF($V120&gt;0,"Part-paid, overdue","Part-paid"),IF($V120&gt;0,"Overdue","Outstanding"))))))))</f>
        <v/>
      </c>
      <c r="V120" s="36" t="str">
        <f aca="true">IF($A120="","",IF(AND(OR($T120="Issued",$T120="Disputed"),$S120&gt;0.005,$K120&lt;&gt;"",$K120&lt;TODAY()),TODAY()-$K120,0))</f>
        <v/>
      </c>
      <c r="W120" s="35" t="str">
        <f aca="false">IF($A120="","",IF(AND(OR($T120="Issued",$T120="Disputed"),$S120&gt;0.005),IF($V120&lt;=0,"Not yet due",IF($V120&lt;=30,"1 to 30 days",IF($V120&lt;=60,"31 to 60 days",IF($V120&lt;=90,"61 to 90 days","Over 90 days")))),""))</f>
        <v/>
      </c>
      <c r="X120" s="26"/>
      <c r="Y120" s="29"/>
      <c r="Z120" s="28"/>
      <c r="AA120" s="28"/>
    </row>
    <row r="121" customFormat="false" ht="15" hidden="false" customHeight="false" outlineLevel="0" collapsed="false">
      <c r="A121" s="26"/>
      <c r="B121" s="26"/>
      <c r="C121" s="27" t="str">
        <f aca="false">IF($B121="","",IFERROR(INDEX(Clients!$B$6:$B$105,MATCH($B121,Clients!$A$6:$A$105,0)),"Client not found"))</f>
        <v/>
      </c>
      <c r="D121" s="26"/>
      <c r="E121" s="26"/>
      <c r="F121" s="26"/>
      <c r="G121" s="26"/>
      <c r="H121" s="28"/>
      <c r="I121" s="29"/>
      <c r="J121" s="30" t="str">
        <f aca="false">IF($A121="","",IFERROR(IF(N(INDEX(Clients!$E$6:$E$105,MATCH($B121,Clients!$A$6:$A$105,0)))&gt;0,INDEX(Clients!$E$6:$E$105,MATCH($B121,Clients!$A$6:$A$105,0)),Dashboard!$B$6),Dashboard!$B$6))</f>
        <v/>
      </c>
      <c r="K121" s="31" t="str">
        <f aca="false">IF(OR($A121="",$I121=""),"",$I121+$J121)</f>
        <v/>
      </c>
      <c r="L121" s="26"/>
      <c r="M121" s="32"/>
      <c r="N121" s="33"/>
      <c r="O121" s="34" t="str">
        <f aca="false">IF($A121="","",N($M121)*N($N121))</f>
        <v/>
      </c>
      <c r="P121" s="34" t="str">
        <f aca="false">IF($A121="","",N($M121)+$O121)</f>
        <v/>
      </c>
      <c r="Q121" s="34" t="str">
        <f aca="false">IF($A121="","",SUMIFS('Credit Notes'!$F$6:$F$205,'Credit Notes'!$B$6:$B$205,$A121,'Credit Notes'!$H$6:$H$205,"Issued"))</f>
        <v/>
      </c>
      <c r="R121" s="34" t="str">
        <f aca="false">IF($A121="","",SUMIFS(Payments!$I$6:$I$505,Payments!$C$6:$C$505,$A121))</f>
        <v/>
      </c>
      <c r="S121" s="34" t="str">
        <f aca="false">IF($A121="","",IF($T121="Void",0,$P121-$Q121-$R121))</f>
        <v/>
      </c>
      <c r="T121" s="26"/>
      <c r="U121" s="35" t="str">
        <f aca="false">IF($A121="","",IF($T121="Void","Void",IF(OR($T121="",$T121="Draft"),"Draft",IF($T121="Disputed","Disputed",IF($S121&lt;-0.005,"Overpaid",IF($S121&lt;=0.005,"Paid",IF($R121+$Q121&gt;0.005,IF($V121&gt;0,"Part-paid, overdue","Part-paid"),IF($V121&gt;0,"Overdue","Outstanding"))))))))</f>
        <v/>
      </c>
      <c r="V121" s="36" t="str">
        <f aca="true">IF($A121="","",IF(AND(OR($T121="Issued",$T121="Disputed"),$S121&gt;0.005,$K121&lt;&gt;"",$K121&lt;TODAY()),TODAY()-$K121,0))</f>
        <v/>
      </c>
      <c r="W121" s="35" t="str">
        <f aca="false">IF($A121="","",IF(AND(OR($T121="Issued",$T121="Disputed"),$S121&gt;0.005),IF($V121&lt;=0,"Not yet due",IF($V121&lt;=30,"1 to 30 days",IF($V121&lt;=60,"31 to 60 days",IF($V121&lt;=90,"61 to 90 days","Over 90 days")))),""))</f>
        <v/>
      </c>
      <c r="X121" s="26"/>
      <c r="Y121" s="29"/>
      <c r="Z121" s="28"/>
      <c r="AA121" s="28"/>
    </row>
    <row r="122" customFormat="false" ht="15" hidden="false" customHeight="false" outlineLevel="0" collapsed="false">
      <c r="A122" s="26"/>
      <c r="B122" s="26"/>
      <c r="C122" s="27" t="str">
        <f aca="false">IF($B122="","",IFERROR(INDEX(Clients!$B$6:$B$105,MATCH($B122,Clients!$A$6:$A$105,0)),"Client not found"))</f>
        <v/>
      </c>
      <c r="D122" s="26"/>
      <c r="E122" s="26"/>
      <c r="F122" s="26"/>
      <c r="G122" s="26"/>
      <c r="H122" s="28"/>
      <c r="I122" s="29"/>
      <c r="J122" s="30" t="str">
        <f aca="false">IF($A122="","",IFERROR(IF(N(INDEX(Clients!$E$6:$E$105,MATCH($B122,Clients!$A$6:$A$105,0)))&gt;0,INDEX(Clients!$E$6:$E$105,MATCH($B122,Clients!$A$6:$A$105,0)),Dashboard!$B$6),Dashboard!$B$6))</f>
        <v/>
      </c>
      <c r="K122" s="31" t="str">
        <f aca="false">IF(OR($A122="",$I122=""),"",$I122+$J122)</f>
        <v/>
      </c>
      <c r="L122" s="26"/>
      <c r="M122" s="32"/>
      <c r="N122" s="33"/>
      <c r="O122" s="34" t="str">
        <f aca="false">IF($A122="","",N($M122)*N($N122))</f>
        <v/>
      </c>
      <c r="P122" s="34" t="str">
        <f aca="false">IF($A122="","",N($M122)+$O122)</f>
        <v/>
      </c>
      <c r="Q122" s="34" t="str">
        <f aca="false">IF($A122="","",SUMIFS('Credit Notes'!$F$6:$F$205,'Credit Notes'!$B$6:$B$205,$A122,'Credit Notes'!$H$6:$H$205,"Issued"))</f>
        <v/>
      </c>
      <c r="R122" s="34" t="str">
        <f aca="false">IF($A122="","",SUMIFS(Payments!$I$6:$I$505,Payments!$C$6:$C$505,$A122))</f>
        <v/>
      </c>
      <c r="S122" s="34" t="str">
        <f aca="false">IF($A122="","",IF($T122="Void",0,$P122-$Q122-$R122))</f>
        <v/>
      </c>
      <c r="T122" s="26"/>
      <c r="U122" s="35" t="str">
        <f aca="false">IF($A122="","",IF($T122="Void","Void",IF(OR($T122="",$T122="Draft"),"Draft",IF($T122="Disputed","Disputed",IF($S122&lt;-0.005,"Overpaid",IF($S122&lt;=0.005,"Paid",IF($R122+$Q122&gt;0.005,IF($V122&gt;0,"Part-paid, overdue","Part-paid"),IF($V122&gt;0,"Overdue","Outstanding"))))))))</f>
        <v/>
      </c>
      <c r="V122" s="36" t="str">
        <f aca="true">IF($A122="","",IF(AND(OR($T122="Issued",$T122="Disputed"),$S122&gt;0.005,$K122&lt;&gt;"",$K122&lt;TODAY()),TODAY()-$K122,0))</f>
        <v/>
      </c>
      <c r="W122" s="35" t="str">
        <f aca="false">IF($A122="","",IF(AND(OR($T122="Issued",$T122="Disputed"),$S122&gt;0.005),IF($V122&lt;=0,"Not yet due",IF($V122&lt;=30,"1 to 30 days",IF($V122&lt;=60,"31 to 60 days",IF($V122&lt;=90,"61 to 90 days","Over 90 days")))),""))</f>
        <v/>
      </c>
      <c r="X122" s="26"/>
      <c r="Y122" s="29"/>
      <c r="Z122" s="28"/>
      <c r="AA122" s="28"/>
    </row>
    <row r="123" customFormat="false" ht="15" hidden="false" customHeight="false" outlineLevel="0" collapsed="false">
      <c r="A123" s="26"/>
      <c r="B123" s="26"/>
      <c r="C123" s="27" t="str">
        <f aca="false">IF($B123="","",IFERROR(INDEX(Clients!$B$6:$B$105,MATCH($B123,Clients!$A$6:$A$105,0)),"Client not found"))</f>
        <v/>
      </c>
      <c r="D123" s="26"/>
      <c r="E123" s="26"/>
      <c r="F123" s="26"/>
      <c r="G123" s="26"/>
      <c r="H123" s="28"/>
      <c r="I123" s="29"/>
      <c r="J123" s="30" t="str">
        <f aca="false">IF($A123="","",IFERROR(IF(N(INDEX(Clients!$E$6:$E$105,MATCH($B123,Clients!$A$6:$A$105,0)))&gt;0,INDEX(Clients!$E$6:$E$105,MATCH($B123,Clients!$A$6:$A$105,0)),Dashboard!$B$6),Dashboard!$B$6))</f>
        <v/>
      </c>
      <c r="K123" s="31" t="str">
        <f aca="false">IF(OR($A123="",$I123=""),"",$I123+$J123)</f>
        <v/>
      </c>
      <c r="L123" s="26"/>
      <c r="M123" s="32"/>
      <c r="N123" s="33"/>
      <c r="O123" s="34" t="str">
        <f aca="false">IF($A123="","",N($M123)*N($N123))</f>
        <v/>
      </c>
      <c r="P123" s="34" t="str">
        <f aca="false">IF($A123="","",N($M123)+$O123)</f>
        <v/>
      </c>
      <c r="Q123" s="34" t="str">
        <f aca="false">IF($A123="","",SUMIFS('Credit Notes'!$F$6:$F$205,'Credit Notes'!$B$6:$B$205,$A123,'Credit Notes'!$H$6:$H$205,"Issued"))</f>
        <v/>
      </c>
      <c r="R123" s="34" t="str">
        <f aca="false">IF($A123="","",SUMIFS(Payments!$I$6:$I$505,Payments!$C$6:$C$505,$A123))</f>
        <v/>
      </c>
      <c r="S123" s="34" t="str">
        <f aca="false">IF($A123="","",IF($T123="Void",0,$P123-$Q123-$R123))</f>
        <v/>
      </c>
      <c r="T123" s="26"/>
      <c r="U123" s="35" t="str">
        <f aca="false">IF($A123="","",IF($T123="Void","Void",IF(OR($T123="",$T123="Draft"),"Draft",IF($T123="Disputed","Disputed",IF($S123&lt;-0.005,"Overpaid",IF($S123&lt;=0.005,"Paid",IF($R123+$Q123&gt;0.005,IF($V123&gt;0,"Part-paid, overdue","Part-paid"),IF($V123&gt;0,"Overdue","Outstanding"))))))))</f>
        <v/>
      </c>
      <c r="V123" s="36" t="str">
        <f aca="true">IF($A123="","",IF(AND(OR($T123="Issued",$T123="Disputed"),$S123&gt;0.005,$K123&lt;&gt;"",$K123&lt;TODAY()),TODAY()-$K123,0))</f>
        <v/>
      </c>
      <c r="W123" s="35" t="str">
        <f aca="false">IF($A123="","",IF(AND(OR($T123="Issued",$T123="Disputed"),$S123&gt;0.005),IF($V123&lt;=0,"Not yet due",IF($V123&lt;=30,"1 to 30 days",IF($V123&lt;=60,"31 to 60 days",IF($V123&lt;=90,"61 to 90 days","Over 90 days")))),""))</f>
        <v/>
      </c>
      <c r="X123" s="26"/>
      <c r="Y123" s="29"/>
      <c r="Z123" s="28"/>
      <c r="AA123" s="28"/>
    </row>
    <row r="124" customFormat="false" ht="15" hidden="false" customHeight="false" outlineLevel="0" collapsed="false">
      <c r="A124" s="26"/>
      <c r="B124" s="26"/>
      <c r="C124" s="27" t="str">
        <f aca="false">IF($B124="","",IFERROR(INDEX(Clients!$B$6:$B$105,MATCH($B124,Clients!$A$6:$A$105,0)),"Client not found"))</f>
        <v/>
      </c>
      <c r="D124" s="26"/>
      <c r="E124" s="26"/>
      <c r="F124" s="26"/>
      <c r="G124" s="26"/>
      <c r="H124" s="28"/>
      <c r="I124" s="29"/>
      <c r="J124" s="30" t="str">
        <f aca="false">IF($A124="","",IFERROR(IF(N(INDEX(Clients!$E$6:$E$105,MATCH($B124,Clients!$A$6:$A$105,0)))&gt;0,INDEX(Clients!$E$6:$E$105,MATCH($B124,Clients!$A$6:$A$105,0)),Dashboard!$B$6),Dashboard!$B$6))</f>
        <v/>
      </c>
      <c r="K124" s="31" t="str">
        <f aca="false">IF(OR($A124="",$I124=""),"",$I124+$J124)</f>
        <v/>
      </c>
      <c r="L124" s="26"/>
      <c r="M124" s="32"/>
      <c r="N124" s="33"/>
      <c r="O124" s="34" t="str">
        <f aca="false">IF($A124="","",N($M124)*N($N124))</f>
        <v/>
      </c>
      <c r="P124" s="34" t="str">
        <f aca="false">IF($A124="","",N($M124)+$O124)</f>
        <v/>
      </c>
      <c r="Q124" s="34" t="str">
        <f aca="false">IF($A124="","",SUMIFS('Credit Notes'!$F$6:$F$205,'Credit Notes'!$B$6:$B$205,$A124,'Credit Notes'!$H$6:$H$205,"Issued"))</f>
        <v/>
      </c>
      <c r="R124" s="34" t="str">
        <f aca="false">IF($A124="","",SUMIFS(Payments!$I$6:$I$505,Payments!$C$6:$C$505,$A124))</f>
        <v/>
      </c>
      <c r="S124" s="34" t="str">
        <f aca="false">IF($A124="","",IF($T124="Void",0,$P124-$Q124-$R124))</f>
        <v/>
      </c>
      <c r="T124" s="26"/>
      <c r="U124" s="35" t="str">
        <f aca="false">IF($A124="","",IF($T124="Void","Void",IF(OR($T124="",$T124="Draft"),"Draft",IF($T124="Disputed","Disputed",IF($S124&lt;-0.005,"Overpaid",IF($S124&lt;=0.005,"Paid",IF($R124+$Q124&gt;0.005,IF($V124&gt;0,"Part-paid, overdue","Part-paid"),IF($V124&gt;0,"Overdue","Outstanding"))))))))</f>
        <v/>
      </c>
      <c r="V124" s="36" t="str">
        <f aca="true">IF($A124="","",IF(AND(OR($T124="Issued",$T124="Disputed"),$S124&gt;0.005,$K124&lt;&gt;"",$K124&lt;TODAY()),TODAY()-$K124,0))</f>
        <v/>
      </c>
      <c r="W124" s="35" t="str">
        <f aca="false">IF($A124="","",IF(AND(OR($T124="Issued",$T124="Disputed"),$S124&gt;0.005),IF($V124&lt;=0,"Not yet due",IF($V124&lt;=30,"1 to 30 days",IF($V124&lt;=60,"31 to 60 days",IF($V124&lt;=90,"61 to 90 days","Over 90 days")))),""))</f>
        <v/>
      </c>
      <c r="X124" s="26"/>
      <c r="Y124" s="29"/>
      <c r="Z124" s="28"/>
      <c r="AA124" s="28"/>
    </row>
    <row r="125" customFormat="false" ht="15" hidden="false" customHeight="false" outlineLevel="0" collapsed="false">
      <c r="A125" s="26"/>
      <c r="B125" s="26"/>
      <c r="C125" s="27" t="str">
        <f aca="false">IF($B125="","",IFERROR(INDEX(Clients!$B$6:$B$105,MATCH($B125,Clients!$A$6:$A$105,0)),"Client not found"))</f>
        <v/>
      </c>
      <c r="D125" s="26"/>
      <c r="E125" s="26"/>
      <c r="F125" s="26"/>
      <c r="G125" s="26"/>
      <c r="H125" s="28"/>
      <c r="I125" s="29"/>
      <c r="J125" s="30" t="str">
        <f aca="false">IF($A125="","",IFERROR(IF(N(INDEX(Clients!$E$6:$E$105,MATCH($B125,Clients!$A$6:$A$105,0)))&gt;0,INDEX(Clients!$E$6:$E$105,MATCH($B125,Clients!$A$6:$A$105,0)),Dashboard!$B$6),Dashboard!$B$6))</f>
        <v/>
      </c>
      <c r="K125" s="31" t="str">
        <f aca="false">IF(OR($A125="",$I125=""),"",$I125+$J125)</f>
        <v/>
      </c>
      <c r="L125" s="26"/>
      <c r="M125" s="32"/>
      <c r="N125" s="33"/>
      <c r="O125" s="34" t="str">
        <f aca="false">IF($A125="","",N($M125)*N($N125))</f>
        <v/>
      </c>
      <c r="P125" s="34" t="str">
        <f aca="false">IF($A125="","",N($M125)+$O125)</f>
        <v/>
      </c>
      <c r="Q125" s="34" t="str">
        <f aca="false">IF($A125="","",SUMIFS('Credit Notes'!$F$6:$F$205,'Credit Notes'!$B$6:$B$205,$A125,'Credit Notes'!$H$6:$H$205,"Issued"))</f>
        <v/>
      </c>
      <c r="R125" s="34" t="str">
        <f aca="false">IF($A125="","",SUMIFS(Payments!$I$6:$I$505,Payments!$C$6:$C$505,$A125))</f>
        <v/>
      </c>
      <c r="S125" s="34" t="str">
        <f aca="false">IF($A125="","",IF($T125="Void",0,$P125-$Q125-$R125))</f>
        <v/>
      </c>
      <c r="T125" s="26"/>
      <c r="U125" s="35" t="str">
        <f aca="false">IF($A125="","",IF($T125="Void","Void",IF(OR($T125="",$T125="Draft"),"Draft",IF($T125="Disputed","Disputed",IF($S125&lt;-0.005,"Overpaid",IF($S125&lt;=0.005,"Paid",IF($R125+$Q125&gt;0.005,IF($V125&gt;0,"Part-paid, overdue","Part-paid"),IF($V125&gt;0,"Overdue","Outstanding"))))))))</f>
        <v/>
      </c>
      <c r="V125" s="36" t="str">
        <f aca="true">IF($A125="","",IF(AND(OR($T125="Issued",$T125="Disputed"),$S125&gt;0.005,$K125&lt;&gt;"",$K125&lt;TODAY()),TODAY()-$K125,0))</f>
        <v/>
      </c>
      <c r="W125" s="35" t="str">
        <f aca="false">IF($A125="","",IF(AND(OR($T125="Issued",$T125="Disputed"),$S125&gt;0.005),IF($V125&lt;=0,"Not yet due",IF($V125&lt;=30,"1 to 30 days",IF($V125&lt;=60,"31 to 60 days",IF($V125&lt;=90,"61 to 90 days","Over 90 days")))),""))</f>
        <v/>
      </c>
      <c r="X125" s="26"/>
      <c r="Y125" s="29"/>
      <c r="Z125" s="28"/>
      <c r="AA125" s="28"/>
    </row>
    <row r="126" customFormat="false" ht="15" hidden="false" customHeight="false" outlineLevel="0" collapsed="false">
      <c r="A126" s="26"/>
      <c r="B126" s="26"/>
      <c r="C126" s="27" t="str">
        <f aca="false">IF($B126="","",IFERROR(INDEX(Clients!$B$6:$B$105,MATCH($B126,Clients!$A$6:$A$105,0)),"Client not found"))</f>
        <v/>
      </c>
      <c r="D126" s="26"/>
      <c r="E126" s="26"/>
      <c r="F126" s="26"/>
      <c r="G126" s="26"/>
      <c r="H126" s="28"/>
      <c r="I126" s="29"/>
      <c r="J126" s="30" t="str">
        <f aca="false">IF($A126="","",IFERROR(IF(N(INDEX(Clients!$E$6:$E$105,MATCH($B126,Clients!$A$6:$A$105,0)))&gt;0,INDEX(Clients!$E$6:$E$105,MATCH($B126,Clients!$A$6:$A$105,0)),Dashboard!$B$6),Dashboard!$B$6))</f>
        <v/>
      </c>
      <c r="K126" s="31" t="str">
        <f aca="false">IF(OR($A126="",$I126=""),"",$I126+$J126)</f>
        <v/>
      </c>
      <c r="L126" s="26"/>
      <c r="M126" s="32"/>
      <c r="N126" s="33"/>
      <c r="O126" s="34" t="str">
        <f aca="false">IF($A126="","",N($M126)*N($N126))</f>
        <v/>
      </c>
      <c r="P126" s="34" t="str">
        <f aca="false">IF($A126="","",N($M126)+$O126)</f>
        <v/>
      </c>
      <c r="Q126" s="34" t="str">
        <f aca="false">IF($A126="","",SUMIFS('Credit Notes'!$F$6:$F$205,'Credit Notes'!$B$6:$B$205,$A126,'Credit Notes'!$H$6:$H$205,"Issued"))</f>
        <v/>
      </c>
      <c r="R126" s="34" t="str">
        <f aca="false">IF($A126="","",SUMIFS(Payments!$I$6:$I$505,Payments!$C$6:$C$505,$A126))</f>
        <v/>
      </c>
      <c r="S126" s="34" t="str">
        <f aca="false">IF($A126="","",IF($T126="Void",0,$P126-$Q126-$R126))</f>
        <v/>
      </c>
      <c r="T126" s="26"/>
      <c r="U126" s="35" t="str">
        <f aca="false">IF($A126="","",IF($T126="Void","Void",IF(OR($T126="",$T126="Draft"),"Draft",IF($T126="Disputed","Disputed",IF($S126&lt;-0.005,"Overpaid",IF($S126&lt;=0.005,"Paid",IF($R126+$Q126&gt;0.005,IF($V126&gt;0,"Part-paid, overdue","Part-paid"),IF($V126&gt;0,"Overdue","Outstanding"))))))))</f>
        <v/>
      </c>
      <c r="V126" s="36" t="str">
        <f aca="true">IF($A126="","",IF(AND(OR($T126="Issued",$T126="Disputed"),$S126&gt;0.005,$K126&lt;&gt;"",$K126&lt;TODAY()),TODAY()-$K126,0))</f>
        <v/>
      </c>
      <c r="W126" s="35" t="str">
        <f aca="false">IF($A126="","",IF(AND(OR($T126="Issued",$T126="Disputed"),$S126&gt;0.005),IF($V126&lt;=0,"Not yet due",IF($V126&lt;=30,"1 to 30 days",IF($V126&lt;=60,"31 to 60 days",IF($V126&lt;=90,"61 to 90 days","Over 90 days")))),""))</f>
        <v/>
      </c>
      <c r="X126" s="26"/>
      <c r="Y126" s="29"/>
      <c r="Z126" s="28"/>
      <c r="AA126" s="28"/>
    </row>
    <row r="127" customFormat="false" ht="15" hidden="false" customHeight="false" outlineLevel="0" collapsed="false">
      <c r="A127" s="26"/>
      <c r="B127" s="26"/>
      <c r="C127" s="27" t="str">
        <f aca="false">IF($B127="","",IFERROR(INDEX(Clients!$B$6:$B$105,MATCH($B127,Clients!$A$6:$A$105,0)),"Client not found"))</f>
        <v/>
      </c>
      <c r="D127" s="26"/>
      <c r="E127" s="26"/>
      <c r="F127" s="26"/>
      <c r="G127" s="26"/>
      <c r="H127" s="28"/>
      <c r="I127" s="29"/>
      <c r="J127" s="30" t="str">
        <f aca="false">IF($A127="","",IFERROR(IF(N(INDEX(Clients!$E$6:$E$105,MATCH($B127,Clients!$A$6:$A$105,0)))&gt;0,INDEX(Clients!$E$6:$E$105,MATCH($B127,Clients!$A$6:$A$105,0)),Dashboard!$B$6),Dashboard!$B$6))</f>
        <v/>
      </c>
      <c r="K127" s="31" t="str">
        <f aca="false">IF(OR($A127="",$I127=""),"",$I127+$J127)</f>
        <v/>
      </c>
      <c r="L127" s="26"/>
      <c r="M127" s="32"/>
      <c r="N127" s="33"/>
      <c r="O127" s="34" t="str">
        <f aca="false">IF($A127="","",N($M127)*N($N127))</f>
        <v/>
      </c>
      <c r="P127" s="34" t="str">
        <f aca="false">IF($A127="","",N($M127)+$O127)</f>
        <v/>
      </c>
      <c r="Q127" s="34" t="str">
        <f aca="false">IF($A127="","",SUMIFS('Credit Notes'!$F$6:$F$205,'Credit Notes'!$B$6:$B$205,$A127,'Credit Notes'!$H$6:$H$205,"Issued"))</f>
        <v/>
      </c>
      <c r="R127" s="34" t="str">
        <f aca="false">IF($A127="","",SUMIFS(Payments!$I$6:$I$505,Payments!$C$6:$C$505,$A127))</f>
        <v/>
      </c>
      <c r="S127" s="34" t="str">
        <f aca="false">IF($A127="","",IF($T127="Void",0,$P127-$Q127-$R127))</f>
        <v/>
      </c>
      <c r="T127" s="26"/>
      <c r="U127" s="35" t="str">
        <f aca="false">IF($A127="","",IF($T127="Void","Void",IF(OR($T127="",$T127="Draft"),"Draft",IF($T127="Disputed","Disputed",IF($S127&lt;-0.005,"Overpaid",IF($S127&lt;=0.005,"Paid",IF($R127+$Q127&gt;0.005,IF($V127&gt;0,"Part-paid, overdue","Part-paid"),IF($V127&gt;0,"Overdue","Outstanding"))))))))</f>
        <v/>
      </c>
      <c r="V127" s="36" t="str">
        <f aca="true">IF($A127="","",IF(AND(OR($T127="Issued",$T127="Disputed"),$S127&gt;0.005,$K127&lt;&gt;"",$K127&lt;TODAY()),TODAY()-$K127,0))</f>
        <v/>
      </c>
      <c r="W127" s="35" t="str">
        <f aca="false">IF($A127="","",IF(AND(OR($T127="Issued",$T127="Disputed"),$S127&gt;0.005),IF($V127&lt;=0,"Not yet due",IF($V127&lt;=30,"1 to 30 days",IF($V127&lt;=60,"31 to 60 days",IF($V127&lt;=90,"61 to 90 days","Over 90 days")))),""))</f>
        <v/>
      </c>
      <c r="X127" s="26"/>
      <c r="Y127" s="29"/>
      <c r="Z127" s="28"/>
      <c r="AA127" s="28"/>
    </row>
    <row r="128" customFormat="false" ht="15" hidden="false" customHeight="false" outlineLevel="0" collapsed="false">
      <c r="A128" s="26"/>
      <c r="B128" s="26"/>
      <c r="C128" s="27" t="str">
        <f aca="false">IF($B128="","",IFERROR(INDEX(Clients!$B$6:$B$105,MATCH($B128,Clients!$A$6:$A$105,0)),"Client not found"))</f>
        <v/>
      </c>
      <c r="D128" s="26"/>
      <c r="E128" s="26"/>
      <c r="F128" s="26"/>
      <c r="G128" s="26"/>
      <c r="H128" s="28"/>
      <c r="I128" s="29"/>
      <c r="J128" s="30" t="str">
        <f aca="false">IF($A128="","",IFERROR(IF(N(INDEX(Clients!$E$6:$E$105,MATCH($B128,Clients!$A$6:$A$105,0)))&gt;0,INDEX(Clients!$E$6:$E$105,MATCH($B128,Clients!$A$6:$A$105,0)),Dashboard!$B$6),Dashboard!$B$6))</f>
        <v/>
      </c>
      <c r="K128" s="31" t="str">
        <f aca="false">IF(OR($A128="",$I128=""),"",$I128+$J128)</f>
        <v/>
      </c>
      <c r="L128" s="26"/>
      <c r="M128" s="32"/>
      <c r="N128" s="33"/>
      <c r="O128" s="34" t="str">
        <f aca="false">IF($A128="","",N($M128)*N($N128))</f>
        <v/>
      </c>
      <c r="P128" s="34" t="str">
        <f aca="false">IF($A128="","",N($M128)+$O128)</f>
        <v/>
      </c>
      <c r="Q128" s="34" t="str">
        <f aca="false">IF($A128="","",SUMIFS('Credit Notes'!$F$6:$F$205,'Credit Notes'!$B$6:$B$205,$A128,'Credit Notes'!$H$6:$H$205,"Issued"))</f>
        <v/>
      </c>
      <c r="R128" s="34" t="str">
        <f aca="false">IF($A128="","",SUMIFS(Payments!$I$6:$I$505,Payments!$C$6:$C$505,$A128))</f>
        <v/>
      </c>
      <c r="S128" s="34" t="str">
        <f aca="false">IF($A128="","",IF($T128="Void",0,$P128-$Q128-$R128))</f>
        <v/>
      </c>
      <c r="T128" s="26"/>
      <c r="U128" s="35" t="str">
        <f aca="false">IF($A128="","",IF($T128="Void","Void",IF(OR($T128="",$T128="Draft"),"Draft",IF($T128="Disputed","Disputed",IF($S128&lt;-0.005,"Overpaid",IF($S128&lt;=0.005,"Paid",IF($R128+$Q128&gt;0.005,IF($V128&gt;0,"Part-paid, overdue","Part-paid"),IF($V128&gt;0,"Overdue","Outstanding"))))))))</f>
        <v/>
      </c>
      <c r="V128" s="36" t="str">
        <f aca="true">IF($A128="","",IF(AND(OR($T128="Issued",$T128="Disputed"),$S128&gt;0.005,$K128&lt;&gt;"",$K128&lt;TODAY()),TODAY()-$K128,0))</f>
        <v/>
      </c>
      <c r="W128" s="35" t="str">
        <f aca="false">IF($A128="","",IF(AND(OR($T128="Issued",$T128="Disputed"),$S128&gt;0.005),IF($V128&lt;=0,"Not yet due",IF($V128&lt;=30,"1 to 30 days",IF($V128&lt;=60,"31 to 60 days",IF($V128&lt;=90,"61 to 90 days","Over 90 days")))),""))</f>
        <v/>
      </c>
      <c r="X128" s="26"/>
      <c r="Y128" s="29"/>
      <c r="Z128" s="28"/>
      <c r="AA128" s="28"/>
    </row>
    <row r="129" customFormat="false" ht="15" hidden="false" customHeight="false" outlineLevel="0" collapsed="false">
      <c r="A129" s="26"/>
      <c r="B129" s="26"/>
      <c r="C129" s="27" t="str">
        <f aca="false">IF($B129="","",IFERROR(INDEX(Clients!$B$6:$B$105,MATCH($B129,Clients!$A$6:$A$105,0)),"Client not found"))</f>
        <v/>
      </c>
      <c r="D129" s="26"/>
      <c r="E129" s="26"/>
      <c r="F129" s="26"/>
      <c r="G129" s="26"/>
      <c r="H129" s="28"/>
      <c r="I129" s="29"/>
      <c r="J129" s="30" t="str">
        <f aca="false">IF($A129="","",IFERROR(IF(N(INDEX(Clients!$E$6:$E$105,MATCH($B129,Clients!$A$6:$A$105,0)))&gt;0,INDEX(Clients!$E$6:$E$105,MATCH($B129,Clients!$A$6:$A$105,0)),Dashboard!$B$6),Dashboard!$B$6))</f>
        <v/>
      </c>
      <c r="K129" s="31" t="str">
        <f aca="false">IF(OR($A129="",$I129=""),"",$I129+$J129)</f>
        <v/>
      </c>
      <c r="L129" s="26"/>
      <c r="M129" s="32"/>
      <c r="N129" s="33"/>
      <c r="O129" s="34" t="str">
        <f aca="false">IF($A129="","",N($M129)*N($N129))</f>
        <v/>
      </c>
      <c r="P129" s="34" t="str">
        <f aca="false">IF($A129="","",N($M129)+$O129)</f>
        <v/>
      </c>
      <c r="Q129" s="34" t="str">
        <f aca="false">IF($A129="","",SUMIFS('Credit Notes'!$F$6:$F$205,'Credit Notes'!$B$6:$B$205,$A129,'Credit Notes'!$H$6:$H$205,"Issued"))</f>
        <v/>
      </c>
      <c r="R129" s="34" t="str">
        <f aca="false">IF($A129="","",SUMIFS(Payments!$I$6:$I$505,Payments!$C$6:$C$505,$A129))</f>
        <v/>
      </c>
      <c r="S129" s="34" t="str">
        <f aca="false">IF($A129="","",IF($T129="Void",0,$P129-$Q129-$R129))</f>
        <v/>
      </c>
      <c r="T129" s="26"/>
      <c r="U129" s="35" t="str">
        <f aca="false">IF($A129="","",IF($T129="Void","Void",IF(OR($T129="",$T129="Draft"),"Draft",IF($T129="Disputed","Disputed",IF($S129&lt;-0.005,"Overpaid",IF($S129&lt;=0.005,"Paid",IF($R129+$Q129&gt;0.005,IF($V129&gt;0,"Part-paid, overdue","Part-paid"),IF($V129&gt;0,"Overdue","Outstanding"))))))))</f>
        <v/>
      </c>
      <c r="V129" s="36" t="str">
        <f aca="true">IF($A129="","",IF(AND(OR($T129="Issued",$T129="Disputed"),$S129&gt;0.005,$K129&lt;&gt;"",$K129&lt;TODAY()),TODAY()-$K129,0))</f>
        <v/>
      </c>
      <c r="W129" s="35" t="str">
        <f aca="false">IF($A129="","",IF(AND(OR($T129="Issued",$T129="Disputed"),$S129&gt;0.005),IF($V129&lt;=0,"Not yet due",IF($V129&lt;=30,"1 to 30 days",IF($V129&lt;=60,"31 to 60 days",IF($V129&lt;=90,"61 to 90 days","Over 90 days")))),""))</f>
        <v/>
      </c>
      <c r="X129" s="26"/>
      <c r="Y129" s="29"/>
      <c r="Z129" s="28"/>
      <c r="AA129" s="28"/>
    </row>
    <row r="130" customFormat="false" ht="15" hidden="false" customHeight="false" outlineLevel="0" collapsed="false">
      <c r="A130" s="26"/>
      <c r="B130" s="26"/>
      <c r="C130" s="27" t="str">
        <f aca="false">IF($B130="","",IFERROR(INDEX(Clients!$B$6:$B$105,MATCH($B130,Clients!$A$6:$A$105,0)),"Client not found"))</f>
        <v/>
      </c>
      <c r="D130" s="26"/>
      <c r="E130" s="26"/>
      <c r="F130" s="26"/>
      <c r="G130" s="26"/>
      <c r="H130" s="28"/>
      <c r="I130" s="29"/>
      <c r="J130" s="30" t="str">
        <f aca="false">IF($A130="","",IFERROR(IF(N(INDEX(Clients!$E$6:$E$105,MATCH($B130,Clients!$A$6:$A$105,0)))&gt;0,INDEX(Clients!$E$6:$E$105,MATCH($B130,Clients!$A$6:$A$105,0)),Dashboard!$B$6),Dashboard!$B$6))</f>
        <v/>
      </c>
      <c r="K130" s="31" t="str">
        <f aca="false">IF(OR($A130="",$I130=""),"",$I130+$J130)</f>
        <v/>
      </c>
      <c r="L130" s="26"/>
      <c r="M130" s="32"/>
      <c r="N130" s="33"/>
      <c r="O130" s="34" t="str">
        <f aca="false">IF($A130="","",N($M130)*N($N130))</f>
        <v/>
      </c>
      <c r="P130" s="34" t="str">
        <f aca="false">IF($A130="","",N($M130)+$O130)</f>
        <v/>
      </c>
      <c r="Q130" s="34" t="str">
        <f aca="false">IF($A130="","",SUMIFS('Credit Notes'!$F$6:$F$205,'Credit Notes'!$B$6:$B$205,$A130,'Credit Notes'!$H$6:$H$205,"Issued"))</f>
        <v/>
      </c>
      <c r="R130" s="34" t="str">
        <f aca="false">IF($A130="","",SUMIFS(Payments!$I$6:$I$505,Payments!$C$6:$C$505,$A130))</f>
        <v/>
      </c>
      <c r="S130" s="34" t="str">
        <f aca="false">IF($A130="","",IF($T130="Void",0,$P130-$Q130-$R130))</f>
        <v/>
      </c>
      <c r="T130" s="26"/>
      <c r="U130" s="35" t="str">
        <f aca="false">IF($A130="","",IF($T130="Void","Void",IF(OR($T130="",$T130="Draft"),"Draft",IF($T130="Disputed","Disputed",IF($S130&lt;-0.005,"Overpaid",IF($S130&lt;=0.005,"Paid",IF($R130+$Q130&gt;0.005,IF($V130&gt;0,"Part-paid, overdue","Part-paid"),IF($V130&gt;0,"Overdue","Outstanding"))))))))</f>
        <v/>
      </c>
      <c r="V130" s="36" t="str">
        <f aca="true">IF($A130="","",IF(AND(OR($T130="Issued",$T130="Disputed"),$S130&gt;0.005,$K130&lt;&gt;"",$K130&lt;TODAY()),TODAY()-$K130,0))</f>
        <v/>
      </c>
      <c r="W130" s="35" t="str">
        <f aca="false">IF($A130="","",IF(AND(OR($T130="Issued",$T130="Disputed"),$S130&gt;0.005),IF($V130&lt;=0,"Not yet due",IF($V130&lt;=30,"1 to 30 days",IF($V130&lt;=60,"31 to 60 days",IF($V130&lt;=90,"61 to 90 days","Over 90 days")))),""))</f>
        <v/>
      </c>
      <c r="X130" s="26"/>
      <c r="Y130" s="29"/>
      <c r="Z130" s="28"/>
      <c r="AA130" s="28"/>
    </row>
    <row r="131" customFormat="false" ht="15" hidden="false" customHeight="false" outlineLevel="0" collapsed="false">
      <c r="A131" s="26"/>
      <c r="B131" s="26"/>
      <c r="C131" s="27" t="str">
        <f aca="false">IF($B131="","",IFERROR(INDEX(Clients!$B$6:$B$105,MATCH($B131,Clients!$A$6:$A$105,0)),"Client not found"))</f>
        <v/>
      </c>
      <c r="D131" s="26"/>
      <c r="E131" s="26"/>
      <c r="F131" s="26"/>
      <c r="G131" s="26"/>
      <c r="H131" s="28"/>
      <c r="I131" s="29"/>
      <c r="J131" s="30" t="str">
        <f aca="false">IF($A131="","",IFERROR(IF(N(INDEX(Clients!$E$6:$E$105,MATCH($B131,Clients!$A$6:$A$105,0)))&gt;0,INDEX(Clients!$E$6:$E$105,MATCH($B131,Clients!$A$6:$A$105,0)),Dashboard!$B$6),Dashboard!$B$6))</f>
        <v/>
      </c>
      <c r="K131" s="31" t="str">
        <f aca="false">IF(OR($A131="",$I131=""),"",$I131+$J131)</f>
        <v/>
      </c>
      <c r="L131" s="26"/>
      <c r="M131" s="32"/>
      <c r="N131" s="33"/>
      <c r="O131" s="34" t="str">
        <f aca="false">IF($A131="","",N($M131)*N($N131))</f>
        <v/>
      </c>
      <c r="P131" s="34" t="str">
        <f aca="false">IF($A131="","",N($M131)+$O131)</f>
        <v/>
      </c>
      <c r="Q131" s="34" t="str">
        <f aca="false">IF($A131="","",SUMIFS('Credit Notes'!$F$6:$F$205,'Credit Notes'!$B$6:$B$205,$A131,'Credit Notes'!$H$6:$H$205,"Issued"))</f>
        <v/>
      </c>
      <c r="R131" s="34" t="str">
        <f aca="false">IF($A131="","",SUMIFS(Payments!$I$6:$I$505,Payments!$C$6:$C$505,$A131))</f>
        <v/>
      </c>
      <c r="S131" s="34" t="str">
        <f aca="false">IF($A131="","",IF($T131="Void",0,$P131-$Q131-$R131))</f>
        <v/>
      </c>
      <c r="T131" s="26"/>
      <c r="U131" s="35" t="str">
        <f aca="false">IF($A131="","",IF($T131="Void","Void",IF(OR($T131="",$T131="Draft"),"Draft",IF($T131="Disputed","Disputed",IF($S131&lt;-0.005,"Overpaid",IF($S131&lt;=0.005,"Paid",IF($R131+$Q131&gt;0.005,IF($V131&gt;0,"Part-paid, overdue","Part-paid"),IF($V131&gt;0,"Overdue","Outstanding"))))))))</f>
        <v/>
      </c>
      <c r="V131" s="36" t="str">
        <f aca="true">IF($A131="","",IF(AND(OR($T131="Issued",$T131="Disputed"),$S131&gt;0.005,$K131&lt;&gt;"",$K131&lt;TODAY()),TODAY()-$K131,0))</f>
        <v/>
      </c>
      <c r="W131" s="35" t="str">
        <f aca="false">IF($A131="","",IF(AND(OR($T131="Issued",$T131="Disputed"),$S131&gt;0.005),IF($V131&lt;=0,"Not yet due",IF($V131&lt;=30,"1 to 30 days",IF($V131&lt;=60,"31 to 60 days",IF($V131&lt;=90,"61 to 90 days","Over 90 days")))),""))</f>
        <v/>
      </c>
      <c r="X131" s="26"/>
      <c r="Y131" s="29"/>
      <c r="Z131" s="28"/>
      <c r="AA131" s="28"/>
    </row>
    <row r="132" customFormat="false" ht="15" hidden="false" customHeight="false" outlineLevel="0" collapsed="false">
      <c r="A132" s="26"/>
      <c r="B132" s="26"/>
      <c r="C132" s="27" t="str">
        <f aca="false">IF($B132="","",IFERROR(INDEX(Clients!$B$6:$B$105,MATCH($B132,Clients!$A$6:$A$105,0)),"Client not found"))</f>
        <v/>
      </c>
      <c r="D132" s="26"/>
      <c r="E132" s="26"/>
      <c r="F132" s="26"/>
      <c r="G132" s="26"/>
      <c r="H132" s="28"/>
      <c r="I132" s="29"/>
      <c r="J132" s="30" t="str">
        <f aca="false">IF($A132="","",IFERROR(IF(N(INDEX(Clients!$E$6:$E$105,MATCH($B132,Clients!$A$6:$A$105,0)))&gt;0,INDEX(Clients!$E$6:$E$105,MATCH($B132,Clients!$A$6:$A$105,0)),Dashboard!$B$6),Dashboard!$B$6))</f>
        <v/>
      </c>
      <c r="K132" s="31" t="str">
        <f aca="false">IF(OR($A132="",$I132=""),"",$I132+$J132)</f>
        <v/>
      </c>
      <c r="L132" s="26"/>
      <c r="M132" s="32"/>
      <c r="N132" s="33"/>
      <c r="O132" s="34" t="str">
        <f aca="false">IF($A132="","",N($M132)*N($N132))</f>
        <v/>
      </c>
      <c r="P132" s="34" t="str">
        <f aca="false">IF($A132="","",N($M132)+$O132)</f>
        <v/>
      </c>
      <c r="Q132" s="34" t="str">
        <f aca="false">IF($A132="","",SUMIFS('Credit Notes'!$F$6:$F$205,'Credit Notes'!$B$6:$B$205,$A132,'Credit Notes'!$H$6:$H$205,"Issued"))</f>
        <v/>
      </c>
      <c r="R132" s="34" t="str">
        <f aca="false">IF($A132="","",SUMIFS(Payments!$I$6:$I$505,Payments!$C$6:$C$505,$A132))</f>
        <v/>
      </c>
      <c r="S132" s="34" t="str">
        <f aca="false">IF($A132="","",IF($T132="Void",0,$P132-$Q132-$R132))</f>
        <v/>
      </c>
      <c r="T132" s="26"/>
      <c r="U132" s="35" t="str">
        <f aca="false">IF($A132="","",IF($T132="Void","Void",IF(OR($T132="",$T132="Draft"),"Draft",IF($T132="Disputed","Disputed",IF($S132&lt;-0.005,"Overpaid",IF($S132&lt;=0.005,"Paid",IF($R132+$Q132&gt;0.005,IF($V132&gt;0,"Part-paid, overdue","Part-paid"),IF($V132&gt;0,"Overdue","Outstanding"))))))))</f>
        <v/>
      </c>
      <c r="V132" s="36" t="str">
        <f aca="true">IF($A132="","",IF(AND(OR($T132="Issued",$T132="Disputed"),$S132&gt;0.005,$K132&lt;&gt;"",$K132&lt;TODAY()),TODAY()-$K132,0))</f>
        <v/>
      </c>
      <c r="W132" s="35" t="str">
        <f aca="false">IF($A132="","",IF(AND(OR($T132="Issued",$T132="Disputed"),$S132&gt;0.005),IF($V132&lt;=0,"Not yet due",IF($V132&lt;=30,"1 to 30 days",IF($V132&lt;=60,"31 to 60 days",IF($V132&lt;=90,"61 to 90 days","Over 90 days")))),""))</f>
        <v/>
      </c>
      <c r="X132" s="26"/>
      <c r="Y132" s="29"/>
      <c r="Z132" s="28"/>
      <c r="AA132" s="28"/>
    </row>
    <row r="133" customFormat="false" ht="15" hidden="false" customHeight="false" outlineLevel="0" collapsed="false">
      <c r="A133" s="26"/>
      <c r="B133" s="26"/>
      <c r="C133" s="27" t="str">
        <f aca="false">IF($B133="","",IFERROR(INDEX(Clients!$B$6:$B$105,MATCH($B133,Clients!$A$6:$A$105,0)),"Client not found"))</f>
        <v/>
      </c>
      <c r="D133" s="26"/>
      <c r="E133" s="26"/>
      <c r="F133" s="26"/>
      <c r="G133" s="26"/>
      <c r="H133" s="28"/>
      <c r="I133" s="29"/>
      <c r="J133" s="30" t="str">
        <f aca="false">IF($A133="","",IFERROR(IF(N(INDEX(Clients!$E$6:$E$105,MATCH($B133,Clients!$A$6:$A$105,0)))&gt;0,INDEX(Clients!$E$6:$E$105,MATCH($B133,Clients!$A$6:$A$105,0)),Dashboard!$B$6),Dashboard!$B$6))</f>
        <v/>
      </c>
      <c r="K133" s="31" t="str">
        <f aca="false">IF(OR($A133="",$I133=""),"",$I133+$J133)</f>
        <v/>
      </c>
      <c r="L133" s="26"/>
      <c r="M133" s="32"/>
      <c r="N133" s="33"/>
      <c r="O133" s="34" t="str">
        <f aca="false">IF($A133="","",N($M133)*N($N133))</f>
        <v/>
      </c>
      <c r="P133" s="34" t="str">
        <f aca="false">IF($A133="","",N($M133)+$O133)</f>
        <v/>
      </c>
      <c r="Q133" s="34" t="str">
        <f aca="false">IF($A133="","",SUMIFS('Credit Notes'!$F$6:$F$205,'Credit Notes'!$B$6:$B$205,$A133,'Credit Notes'!$H$6:$H$205,"Issued"))</f>
        <v/>
      </c>
      <c r="R133" s="34" t="str">
        <f aca="false">IF($A133="","",SUMIFS(Payments!$I$6:$I$505,Payments!$C$6:$C$505,$A133))</f>
        <v/>
      </c>
      <c r="S133" s="34" t="str">
        <f aca="false">IF($A133="","",IF($T133="Void",0,$P133-$Q133-$R133))</f>
        <v/>
      </c>
      <c r="T133" s="26"/>
      <c r="U133" s="35" t="str">
        <f aca="false">IF($A133="","",IF($T133="Void","Void",IF(OR($T133="",$T133="Draft"),"Draft",IF($T133="Disputed","Disputed",IF($S133&lt;-0.005,"Overpaid",IF($S133&lt;=0.005,"Paid",IF($R133+$Q133&gt;0.005,IF($V133&gt;0,"Part-paid, overdue","Part-paid"),IF($V133&gt;0,"Overdue","Outstanding"))))))))</f>
        <v/>
      </c>
      <c r="V133" s="36" t="str">
        <f aca="true">IF($A133="","",IF(AND(OR($T133="Issued",$T133="Disputed"),$S133&gt;0.005,$K133&lt;&gt;"",$K133&lt;TODAY()),TODAY()-$K133,0))</f>
        <v/>
      </c>
      <c r="W133" s="35" t="str">
        <f aca="false">IF($A133="","",IF(AND(OR($T133="Issued",$T133="Disputed"),$S133&gt;0.005),IF($V133&lt;=0,"Not yet due",IF($V133&lt;=30,"1 to 30 days",IF($V133&lt;=60,"31 to 60 days",IF($V133&lt;=90,"61 to 90 days","Over 90 days")))),""))</f>
        <v/>
      </c>
      <c r="X133" s="26"/>
      <c r="Y133" s="29"/>
      <c r="Z133" s="28"/>
      <c r="AA133" s="28"/>
    </row>
    <row r="134" customFormat="false" ht="15" hidden="false" customHeight="false" outlineLevel="0" collapsed="false">
      <c r="A134" s="26"/>
      <c r="B134" s="26"/>
      <c r="C134" s="27" t="str">
        <f aca="false">IF($B134="","",IFERROR(INDEX(Clients!$B$6:$B$105,MATCH($B134,Clients!$A$6:$A$105,0)),"Client not found"))</f>
        <v/>
      </c>
      <c r="D134" s="26"/>
      <c r="E134" s="26"/>
      <c r="F134" s="26"/>
      <c r="G134" s="26"/>
      <c r="H134" s="28"/>
      <c r="I134" s="29"/>
      <c r="J134" s="30" t="str">
        <f aca="false">IF($A134="","",IFERROR(IF(N(INDEX(Clients!$E$6:$E$105,MATCH($B134,Clients!$A$6:$A$105,0)))&gt;0,INDEX(Clients!$E$6:$E$105,MATCH($B134,Clients!$A$6:$A$105,0)),Dashboard!$B$6),Dashboard!$B$6))</f>
        <v/>
      </c>
      <c r="K134" s="31" t="str">
        <f aca="false">IF(OR($A134="",$I134=""),"",$I134+$J134)</f>
        <v/>
      </c>
      <c r="L134" s="26"/>
      <c r="M134" s="32"/>
      <c r="N134" s="33"/>
      <c r="O134" s="34" t="str">
        <f aca="false">IF($A134="","",N($M134)*N($N134))</f>
        <v/>
      </c>
      <c r="P134" s="34" t="str">
        <f aca="false">IF($A134="","",N($M134)+$O134)</f>
        <v/>
      </c>
      <c r="Q134" s="34" t="str">
        <f aca="false">IF($A134="","",SUMIFS('Credit Notes'!$F$6:$F$205,'Credit Notes'!$B$6:$B$205,$A134,'Credit Notes'!$H$6:$H$205,"Issued"))</f>
        <v/>
      </c>
      <c r="R134" s="34" t="str">
        <f aca="false">IF($A134="","",SUMIFS(Payments!$I$6:$I$505,Payments!$C$6:$C$505,$A134))</f>
        <v/>
      </c>
      <c r="S134" s="34" t="str">
        <f aca="false">IF($A134="","",IF($T134="Void",0,$P134-$Q134-$R134))</f>
        <v/>
      </c>
      <c r="T134" s="26"/>
      <c r="U134" s="35" t="str">
        <f aca="false">IF($A134="","",IF($T134="Void","Void",IF(OR($T134="",$T134="Draft"),"Draft",IF($T134="Disputed","Disputed",IF($S134&lt;-0.005,"Overpaid",IF($S134&lt;=0.005,"Paid",IF($R134+$Q134&gt;0.005,IF($V134&gt;0,"Part-paid, overdue","Part-paid"),IF($V134&gt;0,"Overdue","Outstanding"))))))))</f>
        <v/>
      </c>
      <c r="V134" s="36" t="str">
        <f aca="true">IF($A134="","",IF(AND(OR($T134="Issued",$T134="Disputed"),$S134&gt;0.005,$K134&lt;&gt;"",$K134&lt;TODAY()),TODAY()-$K134,0))</f>
        <v/>
      </c>
      <c r="W134" s="35" t="str">
        <f aca="false">IF($A134="","",IF(AND(OR($T134="Issued",$T134="Disputed"),$S134&gt;0.005),IF($V134&lt;=0,"Not yet due",IF($V134&lt;=30,"1 to 30 days",IF($V134&lt;=60,"31 to 60 days",IF($V134&lt;=90,"61 to 90 days","Over 90 days")))),""))</f>
        <v/>
      </c>
      <c r="X134" s="26"/>
      <c r="Y134" s="29"/>
      <c r="Z134" s="28"/>
      <c r="AA134" s="28"/>
    </row>
    <row r="135" customFormat="false" ht="15" hidden="false" customHeight="false" outlineLevel="0" collapsed="false">
      <c r="A135" s="26"/>
      <c r="B135" s="26"/>
      <c r="C135" s="27" t="str">
        <f aca="false">IF($B135="","",IFERROR(INDEX(Clients!$B$6:$B$105,MATCH($B135,Clients!$A$6:$A$105,0)),"Client not found"))</f>
        <v/>
      </c>
      <c r="D135" s="26"/>
      <c r="E135" s="26"/>
      <c r="F135" s="26"/>
      <c r="G135" s="26"/>
      <c r="H135" s="28"/>
      <c r="I135" s="29"/>
      <c r="J135" s="30" t="str">
        <f aca="false">IF($A135="","",IFERROR(IF(N(INDEX(Clients!$E$6:$E$105,MATCH($B135,Clients!$A$6:$A$105,0)))&gt;0,INDEX(Clients!$E$6:$E$105,MATCH($B135,Clients!$A$6:$A$105,0)),Dashboard!$B$6),Dashboard!$B$6))</f>
        <v/>
      </c>
      <c r="K135" s="31" t="str">
        <f aca="false">IF(OR($A135="",$I135=""),"",$I135+$J135)</f>
        <v/>
      </c>
      <c r="L135" s="26"/>
      <c r="M135" s="32"/>
      <c r="N135" s="33"/>
      <c r="O135" s="34" t="str">
        <f aca="false">IF($A135="","",N($M135)*N($N135))</f>
        <v/>
      </c>
      <c r="P135" s="34" t="str">
        <f aca="false">IF($A135="","",N($M135)+$O135)</f>
        <v/>
      </c>
      <c r="Q135" s="34" t="str">
        <f aca="false">IF($A135="","",SUMIFS('Credit Notes'!$F$6:$F$205,'Credit Notes'!$B$6:$B$205,$A135,'Credit Notes'!$H$6:$H$205,"Issued"))</f>
        <v/>
      </c>
      <c r="R135" s="34" t="str">
        <f aca="false">IF($A135="","",SUMIFS(Payments!$I$6:$I$505,Payments!$C$6:$C$505,$A135))</f>
        <v/>
      </c>
      <c r="S135" s="34" t="str">
        <f aca="false">IF($A135="","",IF($T135="Void",0,$P135-$Q135-$R135))</f>
        <v/>
      </c>
      <c r="T135" s="26"/>
      <c r="U135" s="35" t="str">
        <f aca="false">IF($A135="","",IF($T135="Void","Void",IF(OR($T135="",$T135="Draft"),"Draft",IF($T135="Disputed","Disputed",IF($S135&lt;-0.005,"Overpaid",IF($S135&lt;=0.005,"Paid",IF($R135+$Q135&gt;0.005,IF($V135&gt;0,"Part-paid, overdue","Part-paid"),IF($V135&gt;0,"Overdue","Outstanding"))))))))</f>
        <v/>
      </c>
      <c r="V135" s="36" t="str">
        <f aca="true">IF($A135="","",IF(AND(OR($T135="Issued",$T135="Disputed"),$S135&gt;0.005,$K135&lt;&gt;"",$K135&lt;TODAY()),TODAY()-$K135,0))</f>
        <v/>
      </c>
      <c r="W135" s="35" t="str">
        <f aca="false">IF($A135="","",IF(AND(OR($T135="Issued",$T135="Disputed"),$S135&gt;0.005),IF($V135&lt;=0,"Not yet due",IF($V135&lt;=30,"1 to 30 days",IF($V135&lt;=60,"31 to 60 days",IF($V135&lt;=90,"61 to 90 days","Over 90 days")))),""))</f>
        <v/>
      </c>
      <c r="X135" s="26"/>
      <c r="Y135" s="29"/>
      <c r="Z135" s="28"/>
      <c r="AA135" s="28"/>
    </row>
    <row r="136" customFormat="false" ht="15" hidden="false" customHeight="false" outlineLevel="0" collapsed="false">
      <c r="A136" s="26"/>
      <c r="B136" s="26"/>
      <c r="C136" s="27" t="str">
        <f aca="false">IF($B136="","",IFERROR(INDEX(Clients!$B$6:$B$105,MATCH($B136,Clients!$A$6:$A$105,0)),"Client not found"))</f>
        <v/>
      </c>
      <c r="D136" s="26"/>
      <c r="E136" s="26"/>
      <c r="F136" s="26"/>
      <c r="G136" s="26"/>
      <c r="H136" s="28"/>
      <c r="I136" s="29"/>
      <c r="J136" s="30" t="str">
        <f aca="false">IF($A136="","",IFERROR(IF(N(INDEX(Clients!$E$6:$E$105,MATCH($B136,Clients!$A$6:$A$105,0)))&gt;0,INDEX(Clients!$E$6:$E$105,MATCH($B136,Clients!$A$6:$A$105,0)),Dashboard!$B$6),Dashboard!$B$6))</f>
        <v/>
      </c>
      <c r="K136" s="31" t="str">
        <f aca="false">IF(OR($A136="",$I136=""),"",$I136+$J136)</f>
        <v/>
      </c>
      <c r="L136" s="26"/>
      <c r="M136" s="32"/>
      <c r="N136" s="33"/>
      <c r="O136" s="34" t="str">
        <f aca="false">IF($A136="","",N($M136)*N($N136))</f>
        <v/>
      </c>
      <c r="P136" s="34" t="str">
        <f aca="false">IF($A136="","",N($M136)+$O136)</f>
        <v/>
      </c>
      <c r="Q136" s="34" t="str">
        <f aca="false">IF($A136="","",SUMIFS('Credit Notes'!$F$6:$F$205,'Credit Notes'!$B$6:$B$205,$A136,'Credit Notes'!$H$6:$H$205,"Issued"))</f>
        <v/>
      </c>
      <c r="R136" s="34" t="str">
        <f aca="false">IF($A136="","",SUMIFS(Payments!$I$6:$I$505,Payments!$C$6:$C$505,$A136))</f>
        <v/>
      </c>
      <c r="S136" s="34" t="str">
        <f aca="false">IF($A136="","",IF($T136="Void",0,$P136-$Q136-$R136))</f>
        <v/>
      </c>
      <c r="T136" s="26"/>
      <c r="U136" s="35" t="str">
        <f aca="false">IF($A136="","",IF($T136="Void","Void",IF(OR($T136="",$T136="Draft"),"Draft",IF($T136="Disputed","Disputed",IF($S136&lt;-0.005,"Overpaid",IF($S136&lt;=0.005,"Paid",IF($R136+$Q136&gt;0.005,IF($V136&gt;0,"Part-paid, overdue","Part-paid"),IF($V136&gt;0,"Overdue","Outstanding"))))))))</f>
        <v/>
      </c>
      <c r="V136" s="36" t="str">
        <f aca="true">IF($A136="","",IF(AND(OR($T136="Issued",$T136="Disputed"),$S136&gt;0.005,$K136&lt;&gt;"",$K136&lt;TODAY()),TODAY()-$K136,0))</f>
        <v/>
      </c>
      <c r="W136" s="35" t="str">
        <f aca="false">IF($A136="","",IF(AND(OR($T136="Issued",$T136="Disputed"),$S136&gt;0.005),IF($V136&lt;=0,"Not yet due",IF($V136&lt;=30,"1 to 30 days",IF($V136&lt;=60,"31 to 60 days",IF($V136&lt;=90,"61 to 90 days","Over 90 days")))),""))</f>
        <v/>
      </c>
      <c r="X136" s="26"/>
      <c r="Y136" s="29"/>
      <c r="Z136" s="28"/>
      <c r="AA136" s="28"/>
    </row>
    <row r="137" customFormat="false" ht="15" hidden="false" customHeight="false" outlineLevel="0" collapsed="false">
      <c r="A137" s="26"/>
      <c r="B137" s="26"/>
      <c r="C137" s="27" t="str">
        <f aca="false">IF($B137="","",IFERROR(INDEX(Clients!$B$6:$B$105,MATCH($B137,Clients!$A$6:$A$105,0)),"Client not found"))</f>
        <v/>
      </c>
      <c r="D137" s="26"/>
      <c r="E137" s="26"/>
      <c r="F137" s="26"/>
      <c r="G137" s="26"/>
      <c r="H137" s="28"/>
      <c r="I137" s="29"/>
      <c r="J137" s="30" t="str">
        <f aca="false">IF($A137="","",IFERROR(IF(N(INDEX(Clients!$E$6:$E$105,MATCH($B137,Clients!$A$6:$A$105,0)))&gt;0,INDEX(Clients!$E$6:$E$105,MATCH($B137,Clients!$A$6:$A$105,0)),Dashboard!$B$6),Dashboard!$B$6))</f>
        <v/>
      </c>
      <c r="K137" s="31" t="str">
        <f aca="false">IF(OR($A137="",$I137=""),"",$I137+$J137)</f>
        <v/>
      </c>
      <c r="L137" s="26"/>
      <c r="M137" s="32"/>
      <c r="N137" s="33"/>
      <c r="O137" s="34" t="str">
        <f aca="false">IF($A137="","",N($M137)*N($N137))</f>
        <v/>
      </c>
      <c r="P137" s="34" t="str">
        <f aca="false">IF($A137="","",N($M137)+$O137)</f>
        <v/>
      </c>
      <c r="Q137" s="34" t="str">
        <f aca="false">IF($A137="","",SUMIFS('Credit Notes'!$F$6:$F$205,'Credit Notes'!$B$6:$B$205,$A137,'Credit Notes'!$H$6:$H$205,"Issued"))</f>
        <v/>
      </c>
      <c r="R137" s="34" t="str">
        <f aca="false">IF($A137="","",SUMIFS(Payments!$I$6:$I$505,Payments!$C$6:$C$505,$A137))</f>
        <v/>
      </c>
      <c r="S137" s="34" t="str">
        <f aca="false">IF($A137="","",IF($T137="Void",0,$P137-$Q137-$R137))</f>
        <v/>
      </c>
      <c r="T137" s="26"/>
      <c r="U137" s="35" t="str">
        <f aca="false">IF($A137="","",IF($T137="Void","Void",IF(OR($T137="",$T137="Draft"),"Draft",IF($T137="Disputed","Disputed",IF($S137&lt;-0.005,"Overpaid",IF($S137&lt;=0.005,"Paid",IF($R137+$Q137&gt;0.005,IF($V137&gt;0,"Part-paid, overdue","Part-paid"),IF($V137&gt;0,"Overdue","Outstanding"))))))))</f>
        <v/>
      </c>
      <c r="V137" s="36" t="str">
        <f aca="true">IF($A137="","",IF(AND(OR($T137="Issued",$T137="Disputed"),$S137&gt;0.005,$K137&lt;&gt;"",$K137&lt;TODAY()),TODAY()-$K137,0))</f>
        <v/>
      </c>
      <c r="W137" s="35" t="str">
        <f aca="false">IF($A137="","",IF(AND(OR($T137="Issued",$T137="Disputed"),$S137&gt;0.005),IF($V137&lt;=0,"Not yet due",IF($V137&lt;=30,"1 to 30 days",IF($V137&lt;=60,"31 to 60 days",IF($V137&lt;=90,"61 to 90 days","Over 90 days")))),""))</f>
        <v/>
      </c>
      <c r="X137" s="26"/>
      <c r="Y137" s="29"/>
      <c r="Z137" s="28"/>
      <c r="AA137" s="28"/>
    </row>
    <row r="138" customFormat="false" ht="15" hidden="false" customHeight="false" outlineLevel="0" collapsed="false">
      <c r="A138" s="26"/>
      <c r="B138" s="26"/>
      <c r="C138" s="27" t="str">
        <f aca="false">IF($B138="","",IFERROR(INDEX(Clients!$B$6:$B$105,MATCH($B138,Clients!$A$6:$A$105,0)),"Client not found"))</f>
        <v/>
      </c>
      <c r="D138" s="26"/>
      <c r="E138" s="26"/>
      <c r="F138" s="26"/>
      <c r="G138" s="26"/>
      <c r="H138" s="28"/>
      <c r="I138" s="29"/>
      <c r="J138" s="30" t="str">
        <f aca="false">IF($A138="","",IFERROR(IF(N(INDEX(Clients!$E$6:$E$105,MATCH($B138,Clients!$A$6:$A$105,0)))&gt;0,INDEX(Clients!$E$6:$E$105,MATCH($B138,Clients!$A$6:$A$105,0)),Dashboard!$B$6),Dashboard!$B$6))</f>
        <v/>
      </c>
      <c r="K138" s="31" t="str">
        <f aca="false">IF(OR($A138="",$I138=""),"",$I138+$J138)</f>
        <v/>
      </c>
      <c r="L138" s="26"/>
      <c r="M138" s="32"/>
      <c r="N138" s="33"/>
      <c r="O138" s="34" t="str">
        <f aca="false">IF($A138="","",N($M138)*N($N138))</f>
        <v/>
      </c>
      <c r="P138" s="34" t="str">
        <f aca="false">IF($A138="","",N($M138)+$O138)</f>
        <v/>
      </c>
      <c r="Q138" s="34" t="str">
        <f aca="false">IF($A138="","",SUMIFS('Credit Notes'!$F$6:$F$205,'Credit Notes'!$B$6:$B$205,$A138,'Credit Notes'!$H$6:$H$205,"Issued"))</f>
        <v/>
      </c>
      <c r="R138" s="34" t="str">
        <f aca="false">IF($A138="","",SUMIFS(Payments!$I$6:$I$505,Payments!$C$6:$C$505,$A138))</f>
        <v/>
      </c>
      <c r="S138" s="34" t="str">
        <f aca="false">IF($A138="","",IF($T138="Void",0,$P138-$Q138-$R138))</f>
        <v/>
      </c>
      <c r="T138" s="26"/>
      <c r="U138" s="35" t="str">
        <f aca="false">IF($A138="","",IF($T138="Void","Void",IF(OR($T138="",$T138="Draft"),"Draft",IF($T138="Disputed","Disputed",IF($S138&lt;-0.005,"Overpaid",IF($S138&lt;=0.005,"Paid",IF($R138+$Q138&gt;0.005,IF($V138&gt;0,"Part-paid, overdue","Part-paid"),IF($V138&gt;0,"Overdue","Outstanding"))))))))</f>
        <v/>
      </c>
      <c r="V138" s="36" t="str">
        <f aca="true">IF($A138="","",IF(AND(OR($T138="Issued",$T138="Disputed"),$S138&gt;0.005,$K138&lt;&gt;"",$K138&lt;TODAY()),TODAY()-$K138,0))</f>
        <v/>
      </c>
      <c r="W138" s="35" t="str">
        <f aca="false">IF($A138="","",IF(AND(OR($T138="Issued",$T138="Disputed"),$S138&gt;0.005),IF($V138&lt;=0,"Not yet due",IF($V138&lt;=30,"1 to 30 days",IF($V138&lt;=60,"31 to 60 days",IF($V138&lt;=90,"61 to 90 days","Over 90 days")))),""))</f>
        <v/>
      </c>
      <c r="X138" s="26"/>
      <c r="Y138" s="29"/>
      <c r="Z138" s="28"/>
      <c r="AA138" s="28"/>
    </row>
    <row r="139" customFormat="false" ht="15" hidden="false" customHeight="false" outlineLevel="0" collapsed="false">
      <c r="A139" s="26"/>
      <c r="B139" s="26"/>
      <c r="C139" s="27" t="str">
        <f aca="false">IF($B139="","",IFERROR(INDEX(Clients!$B$6:$B$105,MATCH($B139,Clients!$A$6:$A$105,0)),"Client not found"))</f>
        <v/>
      </c>
      <c r="D139" s="26"/>
      <c r="E139" s="26"/>
      <c r="F139" s="26"/>
      <c r="G139" s="26"/>
      <c r="H139" s="28"/>
      <c r="I139" s="29"/>
      <c r="J139" s="30" t="str">
        <f aca="false">IF($A139="","",IFERROR(IF(N(INDEX(Clients!$E$6:$E$105,MATCH($B139,Clients!$A$6:$A$105,0)))&gt;0,INDEX(Clients!$E$6:$E$105,MATCH($B139,Clients!$A$6:$A$105,0)),Dashboard!$B$6),Dashboard!$B$6))</f>
        <v/>
      </c>
      <c r="K139" s="31" t="str">
        <f aca="false">IF(OR($A139="",$I139=""),"",$I139+$J139)</f>
        <v/>
      </c>
      <c r="L139" s="26"/>
      <c r="M139" s="32"/>
      <c r="N139" s="33"/>
      <c r="O139" s="34" t="str">
        <f aca="false">IF($A139="","",N($M139)*N($N139))</f>
        <v/>
      </c>
      <c r="P139" s="34" t="str">
        <f aca="false">IF($A139="","",N($M139)+$O139)</f>
        <v/>
      </c>
      <c r="Q139" s="34" t="str">
        <f aca="false">IF($A139="","",SUMIFS('Credit Notes'!$F$6:$F$205,'Credit Notes'!$B$6:$B$205,$A139,'Credit Notes'!$H$6:$H$205,"Issued"))</f>
        <v/>
      </c>
      <c r="R139" s="34" t="str">
        <f aca="false">IF($A139="","",SUMIFS(Payments!$I$6:$I$505,Payments!$C$6:$C$505,$A139))</f>
        <v/>
      </c>
      <c r="S139" s="34" t="str">
        <f aca="false">IF($A139="","",IF($T139="Void",0,$P139-$Q139-$R139))</f>
        <v/>
      </c>
      <c r="T139" s="26"/>
      <c r="U139" s="35" t="str">
        <f aca="false">IF($A139="","",IF($T139="Void","Void",IF(OR($T139="",$T139="Draft"),"Draft",IF($T139="Disputed","Disputed",IF($S139&lt;-0.005,"Overpaid",IF($S139&lt;=0.005,"Paid",IF($R139+$Q139&gt;0.005,IF($V139&gt;0,"Part-paid, overdue","Part-paid"),IF($V139&gt;0,"Overdue","Outstanding"))))))))</f>
        <v/>
      </c>
      <c r="V139" s="36" t="str">
        <f aca="true">IF($A139="","",IF(AND(OR($T139="Issued",$T139="Disputed"),$S139&gt;0.005,$K139&lt;&gt;"",$K139&lt;TODAY()),TODAY()-$K139,0))</f>
        <v/>
      </c>
      <c r="W139" s="35" t="str">
        <f aca="false">IF($A139="","",IF(AND(OR($T139="Issued",$T139="Disputed"),$S139&gt;0.005),IF($V139&lt;=0,"Not yet due",IF($V139&lt;=30,"1 to 30 days",IF($V139&lt;=60,"31 to 60 days",IF($V139&lt;=90,"61 to 90 days","Over 90 days")))),""))</f>
        <v/>
      </c>
      <c r="X139" s="26"/>
      <c r="Y139" s="29"/>
      <c r="Z139" s="28"/>
      <c r="AA139" s="28"/>
    </row>
    <row r="140" customFormat="false" ht="15" hidden="false" customHeight="false" outlineLevel="0" collapsed="false">
      <c r="A140" s="26"/>
      <c r="B140" s="26"/>
      <c r="C140" s="27" t="str">
        <f aca="false">IF($B140="","",IFERROR(INDEX(Clients!$B$6:$B$105,MATCH($B140,Clients!$A$6:$A$105,0)),"Client not found"))</f>
        <v/>
      </c>
      <c r="D140" s="26"/>
      <c r="E140" s="26"/>
      <c r="F140" s="26"/>
      <c r="G140" s="26"/>
      <c r="H140" s="28"/>
      <c r="I140" s="29"/>
      <c r="J140" s="30" t="str">
        <f aca="false">IF($A140="","",IFERROR(IF(N(INDEX(Clients!$E$6:$E$105,MATCH($B140,Clients!$A$6:$A$105,0)))&gt;0,INDEX(Clients!$E$6:$E$105,MATCH($B140,Clients!$A$6:$A$105,0)),Dashboard!$B$6),Dashboard!$B$6))</f>
        <v/>
      </c>
      <c r="K140" s="31" t="str">
        <f aca="false">IF(OR($A140="",$I140=""),"",$I140+$J140)</f>
        <v/>
      </c>
      <c r="L140" s="26"/>
      <c r="M140" s="32"/>
      <c r="N140" s="33"/>
      <c r="O140" s="34" t="str">
        <f aca="false">IF($A140="","",N($M140)*N($N140))</f>
        <v/>
      </c>
      <c r="P140" s="34" t="str">
        <f aca="false">IF($A140="","",N($M140)+$O140)</f>
        <v/>
      </c>
      <c r="Q140" s="34" t="str">
        <f aca="false">IF($A140="","",SUMIFS('Credit Notes'!$F$6:$F$205,'Credit Notes'!$B$6:$B$205,$A140,'Credit Notes'!$H$6:$H$205,"Issued"))</f>
        <v/>
      </c>
      <c r="R140" s="34" t="str">
        <f aca="false">IF($A140="","",SUMIFS(Payments!$I$6:$I$505,Payments!$C$6:$C$505,$A140))</f>
        <v/>
      </c>
      <c r="S140" s="34" t="str">
        <f aca="false">IF($A140="","",IF($T140="Void",0,$P140-$Q140-$R140))</f>
        <v/>
      </c>
      <c r="T140" s="26"/>
      <c r="U140" s="35" t="str">
        <f aca="false">IF($A140="","",IF($T140="Void","Void",IF(OR($T140="",$T140="Draft"),"Draft",IF($T140="Disputed","Disputed",IF($S140&lt;-0.005,"Overpaid",IF($S140&lt;=0.005,"Paid",IF($R140+$Q140&gt;0.005,IF($V140&gt;0,"Part-paid, overdue","Part-paid"),IF($V140&gt;0,"Overdue","Outstanding"))))))))</f>
        <v/>
      </c>
      <c r="V140" s="36" t="str">
        <f aca="true">IF($A140="","",IF(AND(OR($T140="Issued",$T140="Disputed"),$S140&gt;0.005,$K140&lt;&gt;"",$K140&lt;TODAY()),TODAY()-$K140,0))</f>
        <v/>
      </c>
      <c r="W140" s="35" t="str">
        <f aca="false">IF($A140="","",IF(AND(OR($T140="Issued",$T140="Disputed"),$S140&gt;0.005),IF($V140&lt;=0,"Not yet due",IF($V140&lt;=30,"1 to 30 days",IF($V140&lt;=60,"31 to 60 days",IF($V140&lt;=90,"61 to 90 days","Over 90 days")))),""))</f>
        <v/>
      </c>
      <c r="X140" s="26"/>
      <c r="Y140" s="29"/>
      <c r="Z140" s="28"/>
      <c r="AA140" s="28"/>
    </row>
    <row r="141" customFormat="false" ht="15" hidden="false" customHeight="false" outlineLevel="0" collapsed="false">
      <c r="A141" s="26"/>
      <c r="B141" s="26"/>
      <c r="C141" s="27" t="str">
        <f aca="false">IF($B141="","",IFERROR(INDEX(Clients!$B$6:$B$105,MATCH($B141,Clients!$A$6:$A$105,0)),"Client not found"))</f>
        <v/>
      </c>
      <c r="D141" s="26"/>
      <c r="E141" s="26"/>
      <c r="F141" s="26"/>
      <c r="G141" s="26"/>
      <c r="H141" s="28"/>
      <c r="I141" s="29"/>
      <c r="J141" s="30" t="str">
        <f aca="false">IF($A141="","",IFERROR(IF(N(INDEX(Clients!$E$6:$E$105,MATCH($B141,Clients!$A$6:$A$105,0)))&gt;0,INDEX(Clients!$E$6:$E$105,MATCH($B141,Clients!$A$6:$A$105,0)),Dashboard!$B$6),Dashboard!$B$6))</f>
        <v/>
      </c>
      <c r="K141" s="31" t="str">
        <f aca="false">IF(OR($A141="",$I141=""),"",$I141+$J141)</f>
        <v/>
      </c>
      <c r="L141" s="26"/>
      <c r="M141" s="32"/>
      <c r="N141" s="33"/>
      <c r="O141" s="34" t="str">
        <f aca="false">IF($A141="","",N($M141)*N($N141))</f>
        <v/>
      </c>
      <c r="P141" s="34" t="str">
        <f aca="false">IF($A141="","",N($M141)+$O141)</f>
        <v/>
      </c>
      <c r="Q141" s="34" t="str">
        <f aca="false">IF($A141="","",SUMIFS('Credit Notes'!$F$6:$F$205,'Credit Notes'!$B$6:$B$205,$A141,'Credit Notes'!$H$6:$H$205,"Issued"))</f>
        <v/>
      </c>
      <c r="R141" s="34" t="str">
        <f aca="false">IF($A141="","",SUMIFS(Payments!$I$6:$I$505,Payments!$C$6:$C$505,$A141))</f>
        <v/>
      </c>
      <c r="S141" s="34" t="str">
        <f aca="false">IF($A141="","",IF($T141="Void",0,$P141-$Q141-$R141))</f>
        <v/>
      </c>
      <c r="T141" s="26"/>
      <c r="U141" s="35" t="str">
        <f aca="false">IF($A141="","",IF($T141="Void","Void",IF(OR($T141="",$T141="Draft"),"Draft",IF($T141="Disputed","Disputed",IF($S141&lt;-0.005,"Overpaid",IF($S141&lt;=0.005,"Paid",IF($R141+$Q141&gt;0.005,IF($V141&gt;0,"Part-paid, overdue","Part-paid"),IF($V141&gt;0,"Overdue","Outstanding"))))))))</f>
        <v/>
      </c>
      <c r="V141" s="36" t="str">
        <f aca="true">IF($A141="","",IF(AND(OR($T141="Issued",$T141="Disputed"),$S141&gt;0.005,$K141&lt;&gt;"",$K141&lt;TODAY()),TODAY()-$K141,0))</f>
        <v/>
      </c>
      <c r="W141" s="35" t="str">
        <f aca="false">IF($A141="","",IF(AND(OR($T141="Issued",$T141="Disputed"),$S141&gt;0.005),IF($V141&lt;=0,"Not yet due",IF($V141&lt;=30,"1 to 30 days",IF($V141&lt;=60,"31 to 60 days",IF($V141&lt;=90,"61 to 90 days","Over 90 days")))),""))</f>
        <v/>
      </c>
      <c r="X141" s="26"/>
      <c r="Y141" s="29"/>
      <c r="Z141" s="28"/>
      <c r="AA141" s="28"/>
    </row>
    <row r="142" customFormat="false" ht="15" hidden="false" customHeight="false" outlineLevel="0" collapsed="false">
      <c r="A142" s="26"/>
      <c r="B142" s="26"/>
      <c r="C142" s="27" t="str">
        <f aca="false">IF($B142="","",IFERROR(INDEX(Clients!$B$6:$B$105,MATCH($B142,Clients!$A$6:$A$105,0)),"Client not found"))</f>
        <v/>
      </c>
      <c r="D142" s="26"/>
      <c r="E142" s="26"/>
      <c r="F142" s="26"/>
      <c r="G142" s="26"/>
      <c r="H142" s="28"/>
      <c r="I142" s="29"/>
      <c r="J142" s="30" t="str">
        <f aca="false">IF($A142="","",IFERROR(IF(N(INDEX(Clients!$E$6:$E$105,MATCH($B142,Clients!$A$6:$A$105,0)))&gt;0,INDEX(Clients!$E$6:$E$105,MATCH($B142,Clients!$A$6:$A$105,0)),Dashboard!$B$6),Dashboard!$B$6))</f>
        <v/>
      </c>
      <c r="K142" s="31" t="str">
        <f aca="false">IF(OR($A142="",$I142=""),"",$I142+$J142)</f>
        <v/>
      </c>
      <c r="L142" s="26"/>
      <c r="M142" s="32"/>
      <c r="N142" s="33"/>
      <c r="O142" s="34" t="str">
        <f aca="false">IF($A142="","",N($M142)*N($N142))</f>
        <v/>
      </c>
      <c r="P142" s="34" t="str">
        <f aca="false">IF($A142="","",N($M142)+$O142)</f>
        <v/>
      </c>
      <c r="Q142" s="34" t="str">
        <f aca="false">IF($A142="","",SUMIFS('Credit Notes'!$F$6:$F$205,'Credit Notes'!$B$6:$B$205,$A142,'Credit Notes'!$H$6:$H$205,"Issued"))</f>
        <v/>
      </c>
      <c r="R142" s="34" t="str">
        <f aca="false">IF($A142="","",SUMIFS(Payments!$I$6:$I$505,Payments!$C$6:$C$505,$A142))</f>
        <v/>
      </c>
      <c r="S142" s="34" t="str">
        <f aca="false">IF($A142="","",IF($T142="Void",0,$P142-$Q142-$R142))</f>
        <v/>
      </c>
      <c r="T142" s="26"/>
      <c r="U142" s="35" t="str">
        <f aca="false">IF($A142="","",IF($T142="Void","Void",IF(OR($T142="",$T142="Draft"),"Draft",IF($T142="Disputed","Disputed",IF($S142&lt;-0.005,"Overpaid",IF($S142&lt;=0.005,"Paid",IF($R142+$Q142&gt;0.005,IF($V142&gt;0,"Part-paid, overdue","Part-paid"),IF($V142&gt;0,"Overdue","Outstanding"))))))))</f>
        <v/>
      </c>
      <c r="V142" s="36" t="str">
        <f aca="true">IF($A142="","",IF(AND(OR($T142="Issued",$T142="Disputed"),$S142&gt;0.005,$K142&lt;&gt;"",$K142&lt;TODAY()),TODAY()-$K142,0))</f>
        <v/>
      </c>
      <c r="W142" s="35" t="str">
        <f aca="false">IF($A142="","",IF(AND(OR($T142="Issued",$T142="Disputed"),$S142&gt;0.005),IF($V142&lt;=0,"Not yet due",IF($V142&lt;=30,"1 to 30 days",IF($V142&lt;=60,"31 to 60 days",IF($V142&lt;=90,"61 to 90 days","Over 90 days")))),""))</f>
        <v/>
      </c>
      <c r="X142" s="26"/>
      <c r="Y142" s="29"/>
      <c r="Z142" s="28"/>
      <c r="AA142" s="28"/>
    </row>
    <row r="143" customFormat="false" ht="15" hidden="false" customHeight="false" outlineLevel="0" collapsed="false">
      <c r="A143" s="26"/>
      <c r="B143" s="26"/>
      <c r="C143" s="27" t="str">
        <f aca="false">IF($B143="","",IFERROR(INDEX(Clients!$B$6:$B$105,MATCH($B143,Clients!$A$6:$A$105,0)),"Client not found"))</f>
        <v/>
      </c>
      <c r="D143" s="26"/>
      <c r="E143" s="26"/>
      <c r="F143" s="26"/>
      <c r="G143" s="26"/>
      <c r="H143" s="28"/>
      <c r="I143" s="29"/>
      <c r="J143" s="30" t="str">
        <f aca="false">IF($A143="","",IFERROR(IF(N(INDEX(Clients!$E$6:$E$105,MATCH($B143,Clients!$A$6:$A$105,0)))&gt;0,INDEX(Clients!$E$6:$E$105,MATCH($B143,Clients!$A$6:$A$105,0)),Dashboard!$B$6),Dashboard!$B$6))</f>
        <v/>
      </c>
      <c r="K143" s="31" t="str">
        <f aca="false">IF(OR($A143="",$I143=""),"",$I143+$J143)</f>
        <v/>
      </c>
      <c r="L143" s="26"/>
      <c r="M143" s="32"/>
      <c r="N143" s="33"/>
      <c r="O143" s="34" t="str">
        <f aca="false">IF($A143="","",N($M143)*N($N143))</f>
        <v/>
      </c>
      <c r="P143" s="34" t="str">
        <f aca="false">IF($A143="","",N($M143)+$O143)</f>
        <v/>
      </c>
      <c r="Q143" s="34" t="str">
        <f aca="false">IF($A143="","",SUMIFS('Credit Notes'!$F$6:$F$205,'Credit Notes'!$B$6:$B$205,$A143,'Credit Notes'!$H$6:$H$205,"Issued"))</f>
        <v/>
      </c>
      <c r="R143" s="34" t="str">
        <f aca="false">IF($A143="","",SUMIFS(Payments!$I$6:$I$505,Payments!$C$6:$C$505,$A143))</f>
        <v/>
      </c>
      <c r="S143" s="34" t="str">
        <f aca="false">IF($A143="","",IF($T143="Void",0,$P143-$Q143-$R143))</f>
        <v/>
      </c>
      <c r="T143" s="26"/>
      <c r="U143" s="35" t="str">
        <f aca="false">IF($A143="","",IF($T143="Void","Void",IF(OR($T143="",$T143="Draft"),"Draft",IF($T143="Disputed","Disputed",IF($S143&lt;-0.005,"Overpaid",IF($S143&lt;=0.005,"Paid",IF($R143+$Q143&gt;0.005,IF($V143&gt;0,"Part-paid, overdue","Part-paid"),IF($V143&gt;0,"Overdue","Outstanding"))))))))</f>
        <v/>
      </c>
      <c r="V143" s="36" t="str">
        <f aca="true">IF($A143="","",IF(AND(OR($T143="Issued",$T143="Disputed"),$S143&gt;0.005,$K143&lt;&gt;"",$K143&lt;TODAY()),TODAY()-$K143,0))</f>
        <v/>
      </c>
      <c r="W143" s="35" t="str">
        <f aca="false">IF($A143="","",IF(AND(OR($T143="Issued",$T143="Disputed"),$S143&gt;0.005),IF($V143&lt;=0,"Not yet due",IF($V143&lt;=30,"1 to 30 days",IF($V143&lt;=60,"31 to 60 days",IF($V143&lt;=90,"61 to 90 days","Over 90 days")))),""))</f>
        <v/>
      </c>
      <c r="X143" s="26"/>
      <c r="Y143" s="29"/>
      <c r="Z143" s="28"/>
      <c r="AA143" s="28"/>
    </row>
    <row r="144" customFormat="false" ht="15" hidden="false" customHeight="false" outlineLevel="0" collapsed="false">
      <c r="A144" s="26"/>
      <c r="B144" s="26"/>
      <c r="C144" s="27" t="str">
        <f aca="false">IF($B144="","",IFERROR(INDEX(Clients!$B$6:$B$105,MATCH($B144,Clients!$A$6:$A$105,0)),"Client not found"))</f>
        <v/>
      </c>
      <c r="D144" s="26"/>
      <c r="E144" s="26"/>
      <c r="F144" s="26"/>
      <c r="G144" s="26"/>
      <c r="H144" s="28"/>
      <c r="I144" s="29"/>
      <c r="J144" s="30" t="str">
        <f aca="false">IF($A144="","",IFERROR(IF(N(INDEX(Clients!$E$6:$E$105,MATCH($B144,Clients!$A$6:$A$105,0)))&gt;0,INDEX(Clients!$E$6:$E$105,MATCH($B144,Clients!$A$6:$A$105,0)),Dashboard!$B$6),Dashboard!$B$6))</f>
        <v/>
      </c>
      <c r="K144" s="31" t="str">
        <f aca="false">IF(OR($A144="",$I144=""),"",$I144+$J144)</f>
        <v/>
      </c>
      <c r="L144" s="26"/>
      <c r="M144" s="32"/>
      <c r="N144" s="33"/>
      <c r="O144" s="34" t="str">
        <f aca="false">IF($A144="","",N($M144)*N($N144))</f>
        <v/>
      </c>
      <c r="P144" s="34" t="str">
        <f aca="false">IF($A144="","",N($M144)+$O144)</f>
        <v/>
      </c>
      <c r="Q144" s="34" t="str">
        <f aca="false">IF($A144="","",SUMIFS('Credit Notes'!$F$6:$F$205,'Credit Notes'!$B$6:$B$205,$A144,'Credit Notes'!$H$6:$H$205,"Issued"))</f>
        <v/>
      </c>
      <c r="R144" s="34" t="str">
        <f aca="false">IF($A144="","",SUMIFS(Payments!$I$6:$I$505,Payments!$C$6:$C$505,$A144))</f>
        <v/>
      </c>
      <c r="S144" s="34" t="str">
        <f aca="false">IF($A144="","",IF($T144="Void",0,$P144-$Q144-$R144))</f>
        <v/>
      </c>
      <c r="T144" s="26"/>
      <c r="U144" s="35" t="str">
        <f aca="false">IF($A144="","",IF($T144="Void","Void",IF(OR($T144="",$T144="Draft"),"Draft",IF($T144="Disputed","Disputed",IF($S144&lt;-0.005,"Overpaid",IF($S144&lt;=0.005,"Paid",IF($R144+$Q144&gt;0.005,IF($V144&gt;0,"Part-paid, overdue","Part-paid"),IF($V144&gt;0,"Overdue","Outstanding"))))))))</f>
        <v/>
      </c>
      <c r="V144" s="36" t="str">
        <f aca="true">IF($A144="","",IF(AND(OR($T144="Issued",$T144="Disputed"),$S144&gt;0.005,$K144&lt;&gt;"",$K144&lt;TODAY()),TODAY()-$K144,0))</f>
        <v/>
      </c>
      <c r="W144" s="35" t="str">
        <f aca="false">IF($A144="","",IF(AND(OR($T144="Issued",$T144="Disputed"),$S144&gt;0.005),IF($V144&lt;=0,"Not yet due",IF($V144&lt;=30,"1 to 30 days",IF($V144&lt;=60,"31 to 60 days",IF($V144&lt;=90,"61 to 90 days","Over 90 days")))),""))</f>
        <v/>
      </c>
      <c r="X144" s="26"/>
      <c r="Y144" s="29"/>
      <c r="Z144" s="28"/>
      <c r="AA144" s="28"/>
    </row>
    <row r="145" customFormat="false" ht="15" hidden="false" customHeight="false" outlineLevel="0" collapsed="false">
      <c r="A145" s="26"/>
      <c r="B145" s="26"/>
      <c r="C145" s="27" t="str">
        <f aca="false">IF($B145="","",IFERROR(INDEX(Clients!$B$6:$B$105,MATCH($B145,Clients!$A$6:$A$105,0)),"Client not found"))</f>
        <v/>
      </c>
      <c r="D145" s="26"/>
      <c r="E145" s="26"/>
      <c r="F145" s="26"/>
      <c r="G145" s="26"/>
      <c r="H145" s="28"/>
      <c r="I145" s="29"/>
      <c r="J145" s="30" t="str">
        <f aca="false">IF($A145="","",IFERROR(IF(N(INDEX(Clients!$E$6:$E$105,MATCH($B145,Clients!$A$6:$A$105,0)))&gt;0,INDEX(Clients!$E$6:$E$105,MATCH($B145,Clients!$A$6:$A$105,0)),Dashboard!$B$6),Dashboard!$B$6))</f>
        <v/>
      </c>
      <c r="K145" s="31" t="str">
        <f aca="false">IF(OR($A145="",$I145=""),"",$I145+$J145)</f>
        <v/>
      </c>
      <c r="L145" s="26"/>
      <c r="M145" s="32"/>
      <c r="N145" s="33"/>
      <c r="O145" s="34" t="str">
        <f aca="false">IF($A145="","",N($M145)*N($N145))</f>
        <v/>
      </c>
      <c r="P145" s="34" t="str">
        <f aca="false">IF($A145="","",N($M145)+$O145)</f>
        <v/>
      </c>
      <c r="Q145" s="34" t="str">
        <f aca="false">IF($A145="","",SUMIFS('Credit Notes'!$F$6:$F$205,'Credit Notes'!$B$6:$B$205,$A145,'Credit Notes'!$H$6:$H$205,"Issued"))</f>
        <v/>
      </c>
      <c r="R145" s="34" t="str">
        <f aca="false">IF($A145="","",SUMIFS(Payments!$I$6:$I$505,Payments!$C$6:$C$505,$A145))</f>
        <v/>
      </c>
      <c r="S145" s="34" t="str">
        <f aca="false">IF($A145="","",IF($T145="Void",0,$P145-$Q145-$R145))</f>
        <v/>
      </c>
      <c r="T145" s="26"/>
      <c r="U145" s="35" t="str">
        <f aca="false">IF($A145="","",IF($T145="Void","Void",IF(OR($T145="",$T145="Draft"),"Draft",IF($T145="Disputed","Disputed",IF($S145&lt;-0.005,"Overpaid",IF($S145&lt;=0.005,"Paid",IF($R145+$Q145&gt;0.005,IF($V145&gt;0,"Part-paid, overdue","Part-paid"),IF($V145&gt;0,"Overdue","Outstanding"))))))))</f>
        <v/>
      </c>
      <c r="V145" s="36" t="str">
        <f aca="true">IF($A145="","",IF(AND(OR($T145="Issued",$T145="Disputed"),$S145&gt;0.005,$K145&lt;&gt;"",$K145&lt;TODAY()),TODAY()-$K145,0))</f>
        <v/>
      </c>
      <c r="W145" s="35" t="str">
        <f aca="false">IF($A145="","",IF(AND(OR($T145="Issued",$T145="Disputed"),$S145&gt;0.005),IF($V145&lt;=0,"Not yet due",IF($V145&lt;=30,"1 to 30 days",IF($V145&lt;=60,"31 to 60 days",IF($V145&lt;=90,"61 to 90 days","Over 90 days")))),""))</f>
        <v/>
      </c>
      <c r="X145" s="26"/>
      <c r="Y145" s="29"/>
      <c r="Z145" s="28"/>
      <c r="AA145" s="28"/>
    </row>
    <row r="146" customFormat="false" ht="15" hidden="false" customHeight="false" outlineLevel="0" collapsed="false">
      <c r="A146" s="26"/>
      <c r="B146" s="26"/>
      <c r="C146" s="27" t="str">
        <f aca="false">IF($B146="","",IFERROR(INDEX(Clients!$B$6:$B$105,MATCH($B146,Clients!$A$6:$A$105,0)),"Client not found"))</f>
        <v/>
      </c>
      <c r="D146" s="26"/>
      <c r="E146" s="26"/>
      <c r="F146" s="26"/>
      <c r="G146" s="26"/>
      <c r="H146" s="28"/>
      <c r="I146" s="29"/>
      <c r="J146" s="30" t="str">
        <f aca="false">IF($A146="","",IFERROR(IF(N(INDEX(Clients!$E$6:$E$105,MATCH($B146,Clients!$A$6:$A$105,0)))&gt;0,INDEX(Clients!$E$6:$E$105,MATCH($B146,Clients!$A$6:$A$105,0)),Dashboard!$B$6),Dashboard!$B$6))</f>
        <v/>
      </c>
      <c r="K146" s="31" t="str">
        <f aca="false">IF(OR($A146="",$I146=""),"",$I146+$J146)</f>
        <v/>
      </c>
      <c r="L146" s="26"/>
      <c r="M146" s="32"/>
      <c r="N146" s="33"/>
      <c r="O146" s="34" t="str">
        <f aca="false">IF($A146="","",N($M146)*N($N146))</f>
        <v/>
      </c>
      <c r="P146" s="34" t="str">
        <f aca="false">IF($A146="","",N($M146)+$O146)</f>
        <v/>
      </c>
      <c r="Q146" s="34" t="str">
        <f aca="false">IF($A146="","",SUMIFS('Credit Notes'!$F$6:$F$205,'Credit Notes'!$B$6:$B$205,$A146,'Credit Notes'!$H$6:$H$205,"Issued"))</f>
        <v/>
      </c>
      <c r="R146" s="34" t="str">
        <f aca="false">IF($A146="","",SUMIFS(Payments!$I$6:$I$505,Payments!$C$6:$C$505,$A146))</f>
        <v/>
      </c>
      <c r="S146" s="34" t="str">
        <f aca="false">IF($A146="","",IF($T146="Void",0,$P146-$Q146-$R146))</f>
        <v/>
      </c>
      <c r="T146" s="26"/>
      <c r="U146" s="35" t="str">
        <f aca="false">IF($A146="","",IF($T146="Void","Void",IF(OR($T146="",$T146="Draft"),"Draft",IF($T146="Disputed","Disputed",IF($S146&lt;-0.005,"Overpaid",IF($S146&lt;=0.005,"Paid",IF($R146+$Q146&gt;0.005,IF($V146&gt;0,"Part-paid, overdue","Part-paid"),IF($V146&gt;0,"Overdue","Outstanding"))))))))</f>
        <v/>
      </c>
      <c r="V146" s="36" t="str">
        <f aca="true">IF($A146="","",IF(AND(OR($T146="Issued",$T146="Disputed"),$S146&gt;0.005,$K146&lt;&gt;"",$K146&lt;TODAY()),TODAY()-$K146,0))</f>
        <v/>
      </c>
      <c r="W146" s="35" t="str">
        <f aca="false">IF($A146="","",IF(AND(OR($T146="Issued",$T146="Disputed"),$S146&gt;0.005),IF($V146&lt;=0,"Not yet due",IF($V146&lt;=30,"1 to 30 days",IF($V146&lt;=60,"31 to 60 days",IF($V146&lt;=90,"61 to 90 days","Over 90 days")))),""))</f>
        <v/>
      </c>
      <c r="X146" s="26"/>
      <c r="Y146" s="29"/>
      <c r="Z146" s="28"/>
      <c r="AA146" s="28"/>
    </row>
    <row r="147" customFormat="false" ht="15" hidden="false" customHeight="false" outlineLevel="0" collapsed="false">
      <c r="A147" s="26"/>
      <c r="B147" s="26"/>
      <c r="C147" s="27" t="str">
        <f aca="false">IF($B147="","",IFERROR(INDEX(Clients!$B$6:$B$105,MATCH($B147,Clients!$A$6:$A$105,0)),"Client not found"))</f>
        <v/>
      </c>
      <c r="D147" s="26"/>
      <c r="E147" s="26"/>
      <c r="F147" s="26"/>
      <c r="G147" s="26"/>
      <c r="H147" s="28"/>
      <c r="I147" s="29"/>
      <c r="J147" s="30" t="str">
        <f aca="false">IF($A147="","",IFERROR(IF(N(INDEX(Clients!$E$6:$E$105,MATCH($B147,Clients!$A$6:$A$105,0)))&gt;0,INDEX(Clients!$E$6:$E$105,MATCH($B147,Clients!$A$6:$A$105,0)),Dashboard!$B$6),Dashboard!$B$6))</f>
        <v/>
      </c>
      <c r="K147" s="31" t="str">
        <f aca="false">IF(OR($A147="",$I147=""),"",$I147+$J147)</f>
        <v/>
      </c>
      <c r="L147" s="26"/>
      <c r="M147" s="32"/>
      <c r="N147" s="33"/>
      <c r="O147" s="34" t="str">
        <f aca="false">IF($A147="","",N($M147)*N($N147))</f>
        <v/>
      </c>
      <c r="P147" s="34" t="str">
        <f aca="false">IF($A147="","",N($M147)+$O147)</f>
        <v/>
      </c>
      <c r="Q147" s="34" t="str">
        <f aca="false">IF($A147="","",SUMIFS('Credit Notes'!$F$6:$F$205,'Credit Notes'!$B$6:$B$205,$A147,'Credit Notes'!$H$6:$H$205,"Issued"))</f>
        <v/>
      </c>
      <c r="R147" s="34" t="str">
        <f aca="false">IF($A147="","",SUMIFS(Payments!$I$6:$I$505,Payments!$C$6:$C$505,$A147))</f>
        <v/>
      </c>
      <c r="S147" s="34" t="str">
        <f aca="false">IF($A147="","",IF($T147="Void",0,$P147-$Q147-$R147))</f>
        <v/>
      </c>
      <c r="T147" s="26"/>
      <c r="U147" s="35" t="str">
        <f aca="false">IF($A147="","",IF($T147="Void","Void",IF(OR($T147="",$T147="Draft"),"Draft",IF($T147="Disputed","Disputed",IF($S147&lt;-0.005,"Overpaid",IF($S147&lt;=0.005,"Paid",IF($R147+$Q147&gt;0.005,IF($V147&gt;0,"Part-paid, overdue","Part-paid"),IF($V147&gt;0,"Overdue","Outstanding"))))))))</f>
        <v/>
      </c>
      <c r="V147" s="36" t="str">
        <f aca="true">IF($A147="","",IF(AND(OR($T147="Issued",$T147="Disputed"),$S147&gt;0.005,$K147&lt;&gt;"",$K147&lt;TODAY()),TODAY()-$K147,0))</f>
        <v/>
      </c>
      <c r="W147" s="35" t="str">
        <f aca="false">IF($A147="","",IF(AND(OR($T147="Issued",$T147="Disputed"),$S147&gt;0.005),IF($V147&lt;=0,"Not yet due",IF($V147&lt;=30,"1 to 30 days",IF($V147&lt;=60,"31 to 60 days",IF($V147&lt;=90,"61 to 90 days","Over 90 days")))),""))</f>
        <v/>
      </c>
      <c r="X147" s="26"/>
      <c r="Y147" s="29"/>
      <c r="Z147" s="28"/>
      <c r="AA147" s="28"/>
    </row>
    <row r="148" customFormat="false" ht="15" hidden="false" customHeight="false" outlineLevel="0" collapsed="false">
      <c r="A148" s="26"/>
      <c r="B148" s="26"/>
      <c r="C148" s="27" t="str">
        <f aca="false">IF($B148="","",IFERROR(INDEX(Clients!$B$6:$B$105,MATCH($B148,Clients!$A$6:$A$105,0)),"Client not found"))</f>
        <v/>
      </c>
      <c r="D148" s="26"/>
      <c r="E148" s="26"/>
      <c r="F148" s="26"/>
      <c r="G148" s="26"/>
      <c r="H148" s="28"/>
      <c r="I148" s="29"/>
      <c r="J148" s="30" t="str">
        <f aca="false">IF($A148="","",IFERROR(IF(N(INDEX(Clients!$E$6:$E$105,MATCH($B148,Clients!$A$6:$A$105,0)))&gt;0,INDEX(Clients!$E$6:$E$105,MATCH($B148,Clients!$A$6:$A$105,0)),Dashboard!$B$6),Dashboard!$B$6))</f>
        <v/>
      </c>
      <c r="K148" s="31" t="str">
        <f aca="false">IF(OR($A148="",$I148=""),"",$I148+$J148)</f>
        <v/>
      </c>
      <c r="L148" s="26"/>
      <c r="M148" s="32"/>
      <c r="N148" s="33"/>
      <c r="O148" s="34" t="str">
        <f aca="false">IF($A148="","",N($M148)*N($N148))</f>
        <v/>
      </c>
      <c r="P148" s="34" t="str">
        <f aca="false">IF($A148="","",N($M148)+$O148)</f>
        <v/>
      </c>
      <c r="Q148" s="34" t="str">
        <f aca="false">IF($A148="","",SUMIFS('Credit Notes'!$F$6:$F$205,'Credit Notes'!$B$6:$B$205,$A148,'Credit Notes'!$H$6:$H$205,"Issued"))</f>
        <v/>
      </c>
      <c r="R148" s="34" t="str">
        <f aca="false">IF($A148="","",SUMIFS(Payments!$I$6:$I$505,Payments!$C$6:$C$505,$A148))</f>
        <v/>
      </c>
      <c r="S148" s="34" t="str">
        <f aca="false">IF($A148="","",IF($T148="Void",0,$P148-$Q148-$R148))</f>
        <v/>
      </c>
      <c r="T148" s="26"/>
      <c r="U148" s="35" t="str">
        <f aca="false">IF($A148="","",IF($T148="Void","Void",IF(OR($T148="",$T148="Draft"),"Draft",IF($T148="Disputed","Disputed",IF($S148&lt;-0.005,"Overpaid",IF($S148&lt;=0.005,"Paid",IF($R148+$Q148&gt;0.005,IF($V148&gt;0,"Part-paid, overdue","Part-paid"),IF($V148&gt;0,"Overdue","Outstanding"))))))))</f>
        <v/>
      </c>
      <c r="V148" s="36" t="str">
        <f aca="true">IF($A148="","",IF(AND(OR($T148="Issued",$T148="Disputed"),$S148&gt;0.005,$K148&lt;&gt;"",$K148&lt;TODAY()),TODAY()-$K148,0))</f>
        <v/>
      </c>
      <c r="W148" s="35" t="str">
        <f aca="false">IF($A148="","",IF(AND(OR($T148="Issued",$T148="Disputed"),$S148&gt;0.005),IF($V148&lt;=0,"Not yet due",IF($V148&lt;=30,"1 to 30 days",IF($V148&lt;=60,"31 to 60 days",IF($V148&lt;=90,"61 to 90 days","Over 90 days")))),""))</f>
        <v/>
      </c>
      <c r="X148" s="26"/>
      <c r="Y148" s="29"/>
      <c r="Z148" s="28"/>
      <c r="AA148" s="28"/>
    </row>
    <row r="149" customFormat="false" ht="15" hidden="false" customHeight="false" outlineLevel="0" collapsed="false">
      <c r="A149" s="26"/>
      <c r="B149" s="26"/>
      <c r="C149" s="27" t="str">
        <f aca="false">IF($B149="","",IFERROR(INDEX(Clients!$B$6:$B$105,MATCH($B149,Clients!$A$6:$A$105,0)),"Client not found"))</f>
        <v/>
      </c>
      <c r="D149" s="26"/>
      <c r="E149" s="26"/>
      <c r="F149" s="26"/>
      <c r="G149" s="26"/>
      <c r="H149" s="28"/>
      <c r="I149" s="29"/>
      <c r="J149" s="30" t="str">
        <f aca="false">IF($A149="","",IFERROR(IF(N(INDEX(Clients!$E$6:$E$105,MATCH($B149,Clients!$A$6:$A$105,0)))&gt;0,INDEX(Clients!$E$6:$E$105,MATCH($B149,Clients!$A$6:$A$105,0)),Dashboard!$B$6),Dashboard!$B$6))</f>
        <v/>
      </c>
      <c r="K149" s="31" t="str">
        <f aca="false">IF(OR($A149="",$I149=""),"",$I149+$J149)</f>
        <v/>
      </c>
      <c r="L149" s="26"/>
      <c r="M149" s="32"/>
      <c r="N149" s="33"/>
      <c r="O149" s="34" t="str">
        <f aca="false">IF($A149="","",N($M149)*N($N149))</f>
        <v/>
      </c>
      <c r="P149" s="34" t="str">
        <f aca="false">IF($A149="","",N($M149)+$O149)</f>
        <v/>
      </c>
      <c r="Q149" s="34" t="str">
        <f aca="false">IF($A149="","",SUMIFS('Credit Notes'!$F$6:$F$205,'Credit Notes'!$B$6:$B$205,$A149,'Credit Notes'!$H$6:$H$205,"Issued"))</f>
        <v/>
      </c>
      <c r="R149" s="34" t="str">
        <f aca="false">IF($A149="","",SUMIFS(Payments!$I$6:$I$505,Payments!$C$6:$C$505,$A149))</f>
        <v/>
      </c>
      <c r="S149" s="34" t="str">
        <f aca="false">IF($A149="","",IF($T149="Void",0,$P149-$Q149-$R149))</f>
        <v/>
      </c>
      <c r="T149" s="26"/>
      <c r="U149" s="35" t="str">
        <f aca="false">IF($A149="","",IF($T149="Void","Void",IF(OR($T149="",$T149="Draft"),"Draft",IF($T149="Disputed","Disputed",IF($S149&lt;-0.005,"Overpaid",IF($S149&lt;=0.005,"Paid",IF($R149+$Q149&gt;0.005,IF($V149&gt;0,"Part-paid, overdue","Part-paid"),IF($V149&gt;0,"Overdue","Outstanding"))))))))</f>
        <v/>
      </c>
      <c r="V149" s="36" t="str">
        <f aca="true">IF($A149="","",IF(AND(OR($T149="Issued",$T149="Disputed"),$S149&gt;0.005,$K149&lt;&gt;"",$K149&lt;TODAY()),TODAY()-$K149,0))</f>
        <v/>
      </c>
      <c r="W149" s="35" t="str">
        <f aca="false">IF($A149="","",IF(AND(OR($T149="Issued",$T149="Disputed"),$S149&gt;0.005),IF($V149&lt;=0,"Not yet due",IF($V149&lt;=30,"1 to 30 days",IF($V149&lt;=60,"31 to 60 days",IF($V149&lt;=90,"61 to 90 days","Over 90 days")))),""))</f>
        <v/>
      </c>
      <c r="X149" s="26"/>
      <c r="Y149" s="29"/>
      <c r="Z149" s="28"/>
      <c r="AA149" s="28"/>
    </row>
    <row r="150" customFormat="false" ht="15" hidden="false" customHeight="false" outlineLevel="0" collapsed="false">
      <c r="A150" s="26"/>
      <c r="B150" s="26"/>
      <c r="C150" s="27" t="str">
        <f aca="false">IF($B150="","",IFERROR(INDEX(Clients!$B$6:$B$105,MATCH($B150,Clients!$A$6:$A$105,0)),"Client not found"))</f>
        <v/>
      </c>
      <c r="D150" s="26"/>
      <c r="E150" s="26"/>
      <c r="F150" s="26"/>
      <c r="G150" s="26"/>
      <c r="H150" s="28"/>
      <c r="I150" s="29"/>
      <c r="J150" s="30" t="str">
        <f aca="false">IF($A150="","",IFERROR(IF(N(INDEX(Clients!$E$6:$E$105,MATCH($B150,Clients!$A$6:$A$105,0)))&gt;0,INDEX(Clients!$E$6:$E$105,MATCH($B150,Clients!$A$6:$A$105,0)),Dashboard!$B$6),Dashboard!$B$6))</f>
        <v/>
      </c>
      <c r="K150" s="31" t="str">
        <f aca="false">IF(OR($A150="",$I150=""),"",$I150+$J150)</f>
        <v/>
      </c>
      <c r="L150" s="26"/>
      <c r="M150" s="32"/>
      <c r="N150" s="33"/>
      <c r="O150" s="34" t="str">
        <f aca="false">IF($A150="","",N($M150)*N($N150))</f>
        <v/>
      </c>
      <c r="P150" s="34" t="str">
        <f aca="false">IF($A150="","",N($M150)+$O150)</f>
        <v/>
      </c>
      <c r="Q150" s="34" t="str">
        <f aca="false">IF($A150="","",SUMIFS('Credit Notes'!$F$6:$F$205,'Credit Notes'!$B$6:$B$205,$A150,'Credit Notes'!$H$6:$H$205,"Issued"))</f>
        <v/>
      </c>
      <c r="R150" s="34" t="str">
        <f aca="false">IF($A150="","",SUMIFS(Payments!$I$6:$I$505,Payments!$C$6:$C$505,$A150))</f>
        <v/>
      </c>
      <c r="S150" s="34" t="str">
        <f aca="false">IF($A150="","",IF($T150="Void",0,$P150-$Q150-$R150))</f>
        <v/>
      </c>
      <c r="T150" s="26"/>
      <c r="U150" s="35" t="str">
        <f aca="false">IF($A150="","",IF($T150="Void","Void",IF(OR($T150="",$T150="Draft"),"Draft",IF($T150="Disputed","Disputed",IF($S150&lt;-0.005,"Overpaid",IF($S150&lt;=0.005,"Paid",IF($R150+$Q150&gt;0.005,IF($V150&gt;0,"Part-paid, overdue","Part-paid"),IF($V150&gt;0,"Overdue","Outstanding"))))))))</f>
        <v/>
      </c>
      <c r="V150" s="36" t="str">
        <f aca="true">IF($A150="","",IF(AND(OR($T150="Issued",$T150="Disputed"),$S150&gt;0.005,$K150&lt;&gt;"",$K150&lt;TODAY()),TODAY()-$K150,0))</f>
        <v/>
      </c>
      <c r="W150" s="35" t="str">
        <f aca="false">IF($A150="","",IF(AND(OR($T150="Issued",$T150="Disputed"),$S150&gt;0.005),IF($V150&lt;=0,"Not yet due",IF($V150&lt;=30,"1 to 30 days",IF($V150&lt;=60,"31 to 60 days",IF($V150&lt;=90,"61 to 90 days","Over 90 days")))),""))</f>
        <v/>
      </c>
      <c r="X150" s="26"/>
      <c r="Y150" s="29"/>
      <c r="Z150" s="28"/>
      <c r="AA150" s="28"/>
    </row>
    <row r="151" customFormat="false" ht="15" hidden="false" customHeight="false" outlineLevel="0" collapsed="false">
      <c r="A151" s="26"/>
      <c r="B151" s="26"/>
      <c r="C151" s="27" t="str">
        <f aca="false">IF($B151="","",IFERROR(INDEX(Clients!$B$6:$B$105,MATCH($B151,Clients!$A$6:$A$105,0)),"Client not found"))</f>
        <v/>
      </c>
      <c r="D151" s="26"/>
      <c r="E151" s="26"/>
      <c r="F151" s="26"/>
      <c r="G151" s="26"/>
      <c r="H151" s="28"/>
      <c r="I151" s="29"/>
      <c r="J151" s="30" t="str">
        <f aca="false">IF($A151="","",IFERROR(IF(N(INDEX(Clients!$E$6:$E$105,MATCH($B151,Clients!$A$6:$A$105,0)))&gt;0,INDEX(Clients!$E$6:$E$105,MATCH($B151,Clients!$A$6:$A$105,0)),Dashboard!$B$6),Dashboard!$B$6))</f>
        <v/>
      </c>
      <c r="K151" s="31" t="str">
        <f aca="false">IF(OR($A151="",$I151=""),"",$I151+$J151)</f>
        <v/>
      </c>
      <c r="L151" s="26"/>
      <c r="M151" s="32"/>
      <c r="N151" s="33"/>
      <c r="O151" s="34" t="str">
        <f aca="false">IF($A151="","",N($M151)*N($N151))</f>
        <v/>
      </c>
      <c r="P151" s="34" t="str">
        <f aca="false">IF($A151="","",N($M151)+$O151)</f>
        <v/>
      </c>
      <c r="Q151" s="34" t="str">
        <f aca="false">IF($A151="","",SUMIFS('Credit Notes'!$F$6:$F$205,'Credit Notes'!$B$6:$B$205,$A151,'Credit Notes'!$H$6:$H$205,"Issued"))</f>
        <v/>
      </c>
      <c r="R151" s="34" t="str">
        <f aca="false">IF($A151="","",SUMIFS(Payments!$I$6:$I$505,Payments!$C$6:$C$505,$A151))</f>
        <v/>
      </c>
      <c r="S151" s="34" t="str">
        <f aca="false">IF($A151="","",IF($T151="Void",0,$P151-$Q151-$R151))</f>
        <v/>
      </c>
      <c r="T151" s="26"/>
      <c r="U151" s="35" t="str">
        <f aca="false">IF($A151="","",IF($T151="Void","Void",IF(OR($T151="",$T151="Draft"),"Draft",IF($T151="Disputed","Disputed",IF($S151&lt;-0.005,"Overpaid",IF($S151&lt;=0.005,"Paid",IF($R151+$Q151&gt;0.005,IF($V151&gt;0,"Part-paid, overdue","Part-paid"),IF($V151&gt;0,"Overdue","Outstanding"))))))))</f>
        <v/>
      </c>
      <c r="V151" s="36" t="str">
        <f aca="true">IF($A151="","",IF(AND(OR($T151="Issued",$T151="Disputed"),$S151&gt;0.005,$K151&lt;&gt;"",$K151&lt;TODAY()),TODAY()-$K151,0))</f>
        <v/>
      </c>
      <c r="W151" s="35" t="str">
        <f aca="false">IF($A151="","",IF(AND(OR($T151="Issued",$T151="Disputed"),$S151&gt;0.005),IF($V151&lt;=0,"Not yet due",IF($V151&lt;=30,"1 to 30 days",IF($V151&lt;=60,"31 to 60 days",IF($V151&lt;=90,"61 to 90 days","Over 90 days")))),""))</f>
        <v/>
      </c>
      <c r="X151" s="26"/>
      <c r="Y151" s="29"/>
      <c r="Z151" s="28"/>
      <c r="AA151" s="28"/>
    </row>
    <row r="152" customFormat="false" ht="15" hidden="false" customHeight="false" outlineLevel="0" collapsed="false">
      <c r="A152" s="26"/>
      <c r="B152" s="26"/>
      <c r="C152" s="27" t="str">
        <f aca="false">IF($B152="","",IFERROR(INDEX(Clients!$B$6:$B$105,MATCH($B152,Clients!$A$6:$A$105,0)),"Client not found"))</f>
        <v/>
      </c>
      <c r="D152" s="26"/>
      <c r="E152" s="26"/>
      <c r="F152" s="26"/>
      <c r="G152" s="26"/>
      <c r="H152" s="28"/>
      <c r="I152" s="29"/>
      <c r="J152" s="30" t="str">
        <f aca="false">IF($A152="","",IFERROR(IF(N(INDEX(Clients!$E$6:$E$105,MATCH($B152,Clients!$A$6:$A$105,0)))&gt;0,INDEX(Clients!$E$6:$E$105,MATCH($B152,Clients!$A$6:$A$105,0)),Dashboard!$B$6),Dashboard!$B$6))</f>
        <v/>
      </c>
      <c r="K152" s="31" t="str">
        <f aca="false">IF(OR($A152="",$I152=""),"",$I152+$J152)</f>
        <v/>
      </c>
      <c r="L152" s="26"/>
      <c r="M152" s="32"/>
      <c r="N152" s="33"/>
      <c r="O152" s="34" t="str">
        <f aca="false">IF($A152="","",N($M152)*N($N152))</f>
        <v/>
      </c>
      <c r="P152" s="34" t="str">
        <f aca="false">IF($A152="","",N($M152)+$O152)</f>
        <v/>
      </c>
      <c r="Q152" s="34" t="str">
        <f aca="false">IF($A152="","",SUMIFS('Credit Notes'!$F$6:$F$205,'Credit Notes'!$B$6:$B$205,$A152,'Credit Notes'!$H$6:$H$205,"Issued"))</f>
        <v/>
      </c>
      <c r="R152" s="34" t="str">
        <f aca="false">IF($A152="","",SUMIFS(Payments!$I$6:$I$505,Payments!$C$6:$C$505,$A152))</f>
        <v/>
      </c>
      <c r="S152" s="34" t="str">
        <f aca="false">IF($A152="","",IF($T152="Void",0,$P152-$Q152-$R152))</f>
        <v/>
      </c>
      <c r="T152" s="26"/>
      <c r="U152" s="35" t="str">
        <f aca="false">IF($A152="","",IF($T152="Void","Void",IF(OR($T152="",$T152="Draft"),"Draft",IF($T152="Disputed","Disputed",IF($S152&lt;-0.005,"Overpaid",IF($S152&lt;=0.005,"Paid",IF($R152+$Q152&gt;0.005,IF($V152&gt;0,"Part-paid, overdue","Part-paid"),IF($V152&gt;0,"Overdue","Outstanding"))))))))</f>
        <v/>
      </c>
      <c r="V152" s="36" t="str">
        <f aca="true">IF($A152="","",IF(AND(OR($T152="Issued",$T152="Disputed"),$S152&gt;0.005,$K152&lt;&gt;"",$K152&lt;TODAY()),TODAY()-$K152,0))</f>
        <v/>
      </c>
      <c r="W152" s="35" t="str">
        <f aca="false">IF($A152="","",IF(AND(OR($T152="Issued",$T152="Disputed"),$S152&gt;0.005),IF($V152&lt;=0,"Not yet due",IF($V152&lt;=30,"1 to 30 days",IF($V152&lt;=60,"31 to 60 days",IF($V152&lt;=90,"61 to 90 days","Over 90 days")))),""))</f>
        <v/>
      </c>
      <c r="X152" s="26"/>
      <c r="Y152" s="29"/>
      <c r="Z152" s="28"/>
      <c r="AA152" s="28"/>
    </row>
    <row r="153" customFormat="false" ht="15" hidden="false" customHeight="false" outlineLevel="0" collapsed="false">
      <c r="A153" s="26"/>
      <c r="B153" s="26"/>
      <c r="C153" s="27" t="str">
        <f aca="false">IF($B153="","",IFERROR(INDEX(Clients!$B$6:$B$105,MATCH($B153,Clients!$A$6:$A$105,0)),"Client not found"))</f>
        <v/>
      </c>
      <c r="D153" s="26"/>
      <c r="E153" s="26"/>
      <c r="F153" s="26"/>
      <c r="G153" s="26"/>
      <c r="H153" s="28"/>
      <c r="I153" s="29"/>
      <c r="J153" s="30" t="str">
        <f aca="false">IF($A153="","",IFERROR(IF(N(INDEX(Clients!$E$6:$E$105,MATCH($B153,Clients!$A$6:$A$105,0)))&gt;0,INDEX(Clients!$E$6:$E$105,MATCH($B153,Clients!$A$6:$A$105,0)),Dashboard!$B$6),Dashboard!$B$6))</f>
        <v/>
      </c>
      <c r="K153" s="31" t="str">
        <f aca="false">IF(OR($A153="",$I153=""),"",$I153+$J153)</f>
        <v/>
      </c>
      <c r="L153" s="26"/>
      <c r="M153" s="32"/>
      <c r="N153" s="33"/>
      <c r="O153" s="34" t="str">
        <f aca="false">IF($A153="","",N($M153)*N($N153))</f>
        <v/>
      </c>
      <c r="P153" s="34" t="str">
        <f aca="false">IF($A153="","",N($M153)+$O153)</f>
        <v/>
      </c>
      <c r="Q153" s="34" t="str">
        <f aca="false">IF($A153="","",SUMIFS('Credit Notes'!$F$6:$F$205,'Credit Notes'!$B$6:$B$205,$A153,'Credit Notes'!$H$6:$H$205,"Issued"))</f>
        <v/>
      </c>
      <c r="R153" s="34" t="str">
        <f aca="false">IF($A153="","",SUMIFS(Payments!$I$6:$I$505,Payments!$C$6:$C$505,$A153))</f>
        <v/>
      </c>
      <c r="S153" s="34" t="str">
        <f aca="false">IF($A153="","",IF($T153="Void",0,$P153-$Q153-$R153))</f>
        <v/>
      </c>
      <c r="T153" s="26"/>
      <c r="U153" s="35" t="str">
        <f aca="false">IF($A153="","",IF($T153="Void","Void",IF(OR($T153="",$T153="Draft"),"Draft",IF($T153="Disputed","Disputed",IF($S153&lt;-0.005,"Overpaid",IF($S153&lt;=0.005,"Paid",IF($R153+$Q153&gt;0.005,IF($V153&gt;0,"Part-paid, overdue","Part-paid"),IF($V153&gt;0,"Overdue","Outstanding"))))))))</f>
        <v/>
      </c>
      <c r="V153" s="36" t="str">
        <f aca="true">IF($A153="","",IF(AND(OR($T153="Issued",$T153="Disputed"),$S153&gt;0.005,$K153&lt;&gt;"",$K153&lt;TODAY()),TODAY()-$K153,0))</f>
        <v/>
      </c>
      <c r="W153" s="35" t="str">
        <f aca="false">IF($A153="","",IF(AND(OR($T153="Issued",$T153="Disputed"),$S153&gt;0.005),IF($V153&lt;=0,"Not yet due",IF($V153&lt;=30,"1 to 30 days",IF($V153&lt;=60,"31 to 60 days",IF($V153&lt;=90,"61 to 90 days","Over 90 days")))),""))</f>
        <v/>
      </c>
      <c r="X153" s="26"/>
      <c r="Y153" s="29"/>
      <c r="Z153" s="28"/>
      <c r="AA153" s="28"/>
    </row>
    <row r="154" customFormat="false" ht="15" hidden="false" customHeight="false" outlineLevel="0" collapsed="false">
      <c r="A154" s="26"/>
      <c r="B154" s="26"/>
      <c r="C154" s="27" t="str">
        <f aca="false">IF($B154="","",IFERROR(INDEX(Clients!$B$6:$B$105,MATCH($B154,Clients!$A$6:$A$105,0)),"Client not found"))</f>
        <v/>
      </c>
      <c r="D154" s="26"/>
      <c r="E154" s="26"/>
      <c r="F154" s="26"/>
      <c r="G154" s="26"/>
      <c r="H154" s="28"/>
      <c r="I154" s="29"/>
      <c r="J154" s="30" t="str">
        <f aca="false">IF($A154="","",IFERROR(IF(N(INDEX(Clients!$E$6:$E$105,MATCH($B154,Clients!$A$6:$A$105,0)))&gt;0,INDEX(Clients!$E$6:$E$105,MATCH($B154,Clients!$A$6:$A$105,0)),Dashboard!$B$6),Dashboard!$B$6))</f>
        <v/>
      </c>
      <c r="K154" s="31" t="str">
        <f aca="false">IF(OR($A154="",$I154=""),"",$I154+$J154)</f>
        <v/>
      </c>
      <c r="L154" s="26"/>
      <c r="M154" s="32"/>
      <c r="N154" s="33"/>
      <c r="O154" s="34" t="str">
        <f aca="false">IF($A154="","",N($M154)*N($N154))</f>
        <v/>
      </c>
      <c r="P154" s="34" t="str">
        <f aca="false">IF($A154="","",N($M154)+$O154)</f>
        <v/>
      </c>
      <c r="Q154" s="34" t="str">
        <f aca="false">IF($A154="","",SUMIFS('Credit Notes'!$F$6:$F$205,'Credit Notes'!$B$6:$B$205,$A154,'Credit Notes'!$H$6:$H$205,"Issued"))</f>
        <v/>
      </c>
      <c r="R154" s="34" t="str">
        <f aca="false">IF($A154="","",SUMIFS(Payments!$I$6:$I$505,Payments!$C$6:$C$505,$A154))</f>
        <v/>
      </c>
      <c r="S154" s="34" t="str">
        <f aca="false">IF($A154="","",IF($T154="Void",0,$P154-$Q154-$R154))</f>
        <v/>
      </c>
      <c r="T154" s="26"/>
      <c r="U154" s="35" t="str">
        <f aca="false">IF($A154="","",IF($T154="Void","Void",IF(OR($T154="",$T154="Draft"),"Draft",IF($T154="Disputed","Disputed",IF($S154&lt;-0.005,"Overpaid",IF($S154&lt;=0.005,"Paid",IF($R154+$Q154&gt;0.005,IF($V154&gt;0,"Part-paid, overdue","Part-paid"),IF($V154&gt;0,"Overdue","Outstanding"))))))))</f>
        <v/>
      </c>
      <c r="V154" s="36" t="str">
        <f aca="true">IF($A154="","",IF(AND(OR($T154="Issued",$T154="Disputed"),$S154&gt;0.005,$K154&lt;&gt;"",$K154&lt;TODAY()),TODAY()-$K154,0))</f>
        <v/>
      </c>
      <c r="W154" s="35" t="str">
        <f aca="false">IF($A154="","",IF(AND(OR($T154="Issued",$T154="Disputed"),$S154&gt;0.005),IF($V154&lt;=0,"Not yet due",IF($V154&lt;=30,"1 to 30 days",IF($V154&lt;=60,"31 to 60 days",IF($V154&lt;=90,"61 to 90 days","Over 90 days")))),""))</f>
        <v/>
      </c>
      <c r="X154" s="26"/>
      <c r="Y154" s="29"/>
      <c r="Z154" s="28"/>
      <c r="AA154" s="28"/>
    </row>
    <row r="155" customFormat="false" ht="15" hidden="false" customHeight="false" outlineLevel="0" collapsed="false">
      <c r="A155" s="26"/>
      <c r="B155" s="26"/>
      <c r="C155" s="27" t="str">
        <f aca="false">IF($B155="","",IFERROR(INDEX(Clients!$B$6:$B$105,MATCH($B155,Clients!$A$6:$A$105,0)),"Client not found"))</f>
        <v/>
      </c>
      <c r="D155" s="26"/>
      <c r="E155" s="26"/>
      <c r="F155" s="26"/>
      <c r="G155" s="26"/>
      <c r="H155" s="28"/>
      <c r="I155" s="29"/>
      <c r="J155" s="30" t="str">
        <f aca="false">IF($A155="","",IFERROR(IF(N(INDEX(Clients!$E$6:$E$105,MATCH($B155,Clients!$A$6:$A$105,0)))&gt;0,INDEX(Clients!$E$6:$E$105,MATCH($B155,Clients!$A$6:$A$105,0)),Dashboard!$B$6),Dashboard!$B$6))</f>
        <v/>
      </c>
      <c r="K155" s="31" t="str">
        <f aca="false">IF(OR($A155="",$I155=""),"",$I155+$J155)</f>
        <v/>
      </c>
      <c r="L155" s="26"/>
      <c r="M155" s="32"/>
      <c r="N155" s="33"/>
      <c r="O155" s="34" t="str">
        <f aca="false">IF($A155="","",N($M155)*N($N155))</f>
        <v/>
      </c>
      <c r="P155" s="34" t="str">
        <f aca="false">IF($A155="","",N($M155)+$O155)</f>
        <v/>
      </c>
      <c r="Q155" s="34" t="str">
        <f aca="false">IF($A155="","",SUMIFS('Credit Notes'!$F$6:$F$205,'Credit Notes'!$B$6:$B$205,$A155,'Credit Notes'!$H$6:$H$205,"Issued"))</f>
        <v/>
      </c>
      <c r="R155" s="34" t="str">
        <f aca="false">IF($A155="","",SUMIFS(Payments!$I$6:$I$505,Payments!$C$6:$C$505,$A155))</f>
        <v/>
      </c>
      <c r="S155" s="34" t="str">
        <f aca="false">IF($A155="","",IF($T155="Void",0,$P155-$Q155-$R155))</f>
        <v/>
      </c>
      <c r="T155" s="26"/>
      <c r="U155" s="35" t="str">
        <f aca="false">IF($A155="","",IF($T155="Void","Void",IF(OR($T155="",$T155="Draft"),"Draft",IF($T155="Disputed","Disputed",IF($S155&lt;-0.005,"Overpaid",IF($S155&lt;=0.005,"Paid",IF($R155+$Q155&gt;0.005,IF($V155&gt;0,"Part-paid, overdue","Part-paid"),IF($V155&gt;0,"Overdue","Outstanding"))))))))</f>
        <v/>
      </c>
      <c r="V155" s="36" t="str">
        <f aca="true">IF($A155="","",IF(AND(OR($T155="Issued",$T155="Disputed"),$S155&gt;0.005,$K155&lt;&gt;"",$K155&lt;TODAY()),TODAY()-$K155,0))</f>
        <v/>
      </c>
      <c r="W155" s="35" t="str">
        <f aca="false">IF($A155="","",IF(AND(OR($T155="Issued",$T155="Disputed"),$S155&gt;0.005),IF($V155&lt;=0,"Not yet due",IF($V155&lt;=30,"1 to 30 days",IF($V155&lt;=60,"31 to 60 days",IF($V155&lt;=90,"61 to 90 days","Over 90 days")))),""))</f>
        <v/>
      </c>
      <c r="X155" s="26"/>
      <c r="Y155" s="29"/>
      <c r="Z155" s="28"/>
      <c r="AA155" s="28"/>
    </row>
    <row r="156" customFormat="false" ht="15" hidden="false" customHeight="false" outlineLevel="0" collapsed="false">
      <c r="A156" s="26"/>
      <c r="B156" s="26"/>
      <c r="C156" s="27" t="str">
        <f aca="false">IF($B156="","",IFERROR(INDEX(Clients!$B$6:$B$105,MATCH($B156,Clients!$A$6:$A$105,0)),"Client not found"))</f>
        <v/>
      </c>
      <c r="D156" s="26"/>
      <c r="E156" s="26"/>
      <c r="F156" s="26"/>
      <c r="G156" s="26"/>
      <c r="H156" s="28"/>
      <c r="I156" s="29"/>
      <c r="J156" s="30" t="str">
        <f aca="false">IF($A156="","",IFERROR(IF(N(INDEX(Clients!$E$6:$E$105,MATCH($B156,Clients!$A$6:$A$105,0)))&gt;0,INDEX(Clients!$E$6:$E$105,MATCH($B156,Clients!$A$6:$A$105,0)),Dashboard!$B$6),Dashboard!$B$6))</f>
        <v/>
      </c>
      <c r="K156" s="31" t="str">
        <f aca="false">IF(OR($A156="",$I156=""),"",$I156+$J156)</f>
        <v/>
      </c>
      <c r="L156" s="26"/>
      <c r="M156" s="32"/>
      <c r="N156" s="33"/>
      <c r="O156" s="34" t="str">
        <f aca="false">IF($A156="","",N($M156)*N($N156))</f>
        <v/>
      </c>
      <c r="P156" s="34" t="str">
        <f aca="false">IF($A156="","",N($M156)+$O156)</f>
        <v/>
      </c>
      <c r="Q156" s="34" t="str">
        <f aca="false">IF($A156="","",SUMIFS('Credit Notes'!$F$6:$F$205,'Credit Notes'!$B$6:$B$205,$A156,'Credit Notes'!$H$6:$H$205,"Issued"))</f>
        <v/>
      </c>
      <c r="R156" s="34" t="str">
        <f aca="false">IF($A156="","",SUMIFS(Payments!$I$6:$I$505,Payments!$C$6:$C$505,$A156))</f>
        <v/>
      </c>
      <c r="S156" s="34" t="str">
        <f aca="false">IF($A156="","",IF($T156="Void",0,$P156-$Q156-$R156))</f>
        <v/>
      </c>
      <c r="T156" s="26"/>
      <c r="U156" s="35" t="str">
        <f aca="false">IF($A156="","",IF($T156="Void","Void",IF(OR($T156="",$T156="Draft"),"Draft",IF($T156="Disputed","Disputed",IF($S156&lt;-0.005,"Overpaid",IF($S156&lt;=0.005,"Paid",IF($R156+$Q156&gt;0.005,IF($V156&gt;0,"Part-paid, overdue","Part-paid"),IF($V156&gt;0,"Overdue","Outstanding"))))))))</f>
        <v/>
      </c>
      <c r="V156" s="36" t="str">
        <f aca="true">IF($A156="","",IF(AND(OR($T156="Issued",$T156="Disputed"),$S156&gt;0.005,$K156&lt;&gt;"",$K156&lt;TODAY()),TODAY()-$K156,0))</f>
        <v/>
      </c>
      <c r="W156" s="35" t="str">
        <f aca="false">IF($A156="","",IF(AND(OR($T156="Issued",$T156="Disputed"),$S156&gt;0.005),IF($V156&lt;=0,"Not yet due",IF($V156&lt;=30,"1 to 30 days",IF($V156&lt;=60,"31 to 60 days",IF($V156&lt;=90,"61 to 90 days","Over 90 days")))),""))</f>
        <v/>
      </c>
      <c r="X156" s="26"/>
      <c r="Y156" s="29"/>
      <c r="Z156" s="28"/>
      <c r="AA156" s="28"/>
    </row>
    <row r="157" customFormat="false" ht="15" hidden="false" customHeight="false" outlineLevel="0" collapsed="false">
      <c r="A157" s="26"/>
      <c r="B157" s="26"/>
      <c r="C157" s="27" t="str">
        <f aca="false">IF($B157="","",IFERROR(INDEX(Clients!$B$6:$B$105,MATCH($B157,Clients!$A$6:$A$105,0)),"Client not found"))</f>
        <v/>
      </c>
      <c r="D157" s="26"/>
      <c r="E157" s="26"/>
      <c r="F157" s="26"/>
      <c r="G157" s="26"/>
      <c r="H157" s="28"/>
      <c r="I157" s="29"/>
      <c r="J157" s="30" t="str">
        <f aca="false">IF($A157="","",IFERROR(IF(N(INDEX(Clients!$E$6:$E$105,MATCH($B157,Clients!$A$6:$A$105,0)))&gt;0,INDEX(Clients!$E$6:$E$105,MATCH($B157,Clients!$A$6:$A$105,0)),Dashboard!$B$6),Dashboard!$B$6))</f>
        <v/>
      </c>
      <c r="K157" s="31" t="str">
        <f aca="false">IF(OR($A157="",$I157=""),"",$I157+$J157)</f>
        <v/>
      </c>
      <c r="L157" s="26"/>
      <c r="M157" s="32"/>
      <c r="N157" s="33"/>
      <c r="O157" s="34" t="str">
        <f aca="false">IF($A157="","",N($M157)*N($N157))</f>
        <v/>
      </c>
      <c r="P157" s="34" t="str">
        <f aca="false">IF($A157="","",N($M157)+$O157)</f>
        <v/>
      </c>
      <c r="Q157" s="34" t="str">
        <f aca="false">IF($A157="","",SUMIFS('Credit Notes'!$F$6:$F$205,'Credit Notes'!$B$6:$B$205,$A157,'Credit Notes'!$H$6:$H$205,"Issued"))</f>
        <v/>
      </c>
      <c r="R157" s="34" t="str">
        <f aca="false">IF($A157="","",SUMIFS(Payments!$I$6:$I$505,Payments!$C$6:$C$505,$A157))</f>
        <v/>
      </c>
      <c r="S157" s="34" t="str">
        <f aca="false">IF($A157="","",IF($T157="Void",0,$P157-$Q157-$R157))</f>
        <v/>
      </c>
      <c r="T157" s="26"/>
      <c r="U157" s="35" t="str">
        <f aca="false">IF($A157="","",IF($T157="Void","Void",IF(OR($T157="",$T157="Draft"),"Draft",IF($T157="Disputed","Disputed",IF($S157&lt;-0.005,"Overpaid",IF($S157&lt;=0.005,"Paid",IF($R157+$Q157&gt;0.005,IF($V157&gt;0,"Part-paid, overdue","Part-paid"),IF($V157&gt;0,"Overdue","Outstanding"))))))))</f>
        <v/>
      </c>
      <c r="V157" s="36" t="str">
        <f aca="true">IF($A157="","",IF(AND(OR($T157="Issued",$T157="Disputed"),$S157&gt;0.005,$K157&lt;&gt;"",$K157&lt;TODAY()),TODAY()-$K157,0))</f>
        <v/>
      </c>
      <c r="W157" s="35" t="str">
        <f aca="false">IF($A157="","",IF(AND(OR($T157="Issued",$T157="Disputed"),$S157&gt;0.005),IF($V157&lt;=0,"Not yet due",IF($V157&lt;=30,"1 to 30 days",IF($V157&lt;=60,"31 to 60 days",IF($V157&lt;=90,"61 to 90 days","Over 90 days")))),""))</f>
        <v/>
      </c>
      <c r="X157" s="26"/>
      <c r="Y157" s="29"/>
      <c r="Z157" s="28"/>
      <c r="AA157" s="28"/>
    </row>
    <row r="158" customFormat="false" ht="15" hidden="false" customHeight="false" outlineLevel="0" collapsed="false">
      <c r="A158" s="26"/>
      <c r="B158" s="26"/>
      <c r="C158" s="27" t="str">
        <f aca="false">IF($B158="","",IFERROR(INDEX(Clients!$B$6:$B$105,MATCH($B158,Clients!$A$6:$A$105,0)),"Client not found"))</f>
        <v/>
      </c>
      <c r="D158" s="26"/>
      <c r="E158" s="26"/>
      <c r="F158" s="26"/>
      <c r="G158" s="26"/>
      <c r="H158" s="28"/>
      <c r="I158" s="29"/>
      <c r="J158" s="30" t="str">
        <f aca="false">IF($A158="","",IFERROR(IF(N(INDEX(Clients!$E$6:$E$105,MATCH($B158,Clients!$A$6:$A$105,0)))&gt;0,INDEX(Clients!$E$6:$E$105,MATCH($B158,Clients!$A$6:$A$105,0)),Dashboard!$B$6),Dashboard!$B$6))</f>
        <v/>
      </c>
      <c r="K158" s="31" t="str">
        <f aca="false">IF(OR($A158="",$I158=""),"",$I158+$J158)</f>
        <v/>
      </c>
      <c r="L158" s="26"/>
      <c r="M158" s="32"/>
      <c r="N158" s="33"/>
      <c r="O158" s="34" t="str">
        <f aca="false">IF($A158="","",N($M158)*N($N158))</f>
        <v/>
      </c>
      <c r="P158" s="34" t="str">
        <f aca="false">IF($A158="","",N($M158)+$O158)</f>
        <v/>
      </c>
      <c r="Q158" s="34" t="str">
        <f aca="false">IF($A158="","",SUMIFS('Credit Notes'!$F$6:$F$205,'Credit Notes'!$B$6:$B$205,$A158,'Credit Notes'!$H$6:$H$205,"Issued"))</f>
        <v/>
      </c>
      <c r="R158" s="34" t="str">
        <f aca="false">IF($A158="","",SUMIFS(Payments!$I$6:$I$505,Payments!$C$6:$C$505,$A158))</f>
        <v/>
      </c>
      <c r="S158" s="34" t="str">
        <f aca="false">IF($A158="","",IF($T158="Void",0,$P158-$Q158-$R158))</f>
        <v/>
      </c>
      <c r="T158" s="26"/>
      <c r="U158" s="35" t="str">
        <f aca="false">IF($A158="","",IF($T158="Void","Void",IF(OR($T158="",$T158="Draft"),"Draft",IF($T158="Disputed","Disputed",IF($S158&lt;-0.005,"Overpaid",IF($S158&lt;=0.005,"Paid",IF($R158+$Q158&gt;0.005,IF($V158&gt;0,"Part-paid, overdue","Part-paid"),IF($V158&gt;0,"Overdue","Outstanding"))))))))</f>
        <v/>
      </c>
      <c r="V158" s="36" t="str">
        <f aca="true">IF($A158="","",IF(AND(OR($T158="Issued",$T158="Disputed"),$S158&gt;0.005,$K158&lt;&gt;"",$K158&lt;TODAY()),TODAY()-$K158,0))</f>
        <v/>
      </c>
      <c r="W158" s="35" t="str">
        <f aca="false">IF($A158="","",IF(AND(OR($T158="Issued",$T158="Disputed"),$S158&gt;0.005),IF($V158&lt;=0,"Not yet due",IF($V158&lt;=30,"1 to 30 days",IF($V158&lt;=60,"31 to 60 days",IF($V158&lt;=90,"61 to 90 days","Over 90 days")))),""))</f>
        <v/>
      </c>
      <c r="X158" s="26"/>
      <c r="Y158" s="29"/>
      <c r="Z158" s="28"/>
      <c r="AA158" s="28"/>
    </row>
    <row r="159" customFormat="false" ht="15" hidden="false" customHeight="false" outlineLevel="0" collapsed="false">
      <c r="A159" s="26"/>
      <c r="B159" s="26"/>
      <c r="C159" s="27" t="str">
        <f aca="false">IF($B159="","",IFERROR(INDEX(Clients!$B$6:$B$105,MATCH($B159,Clients!$A$6:$A$105,0)),"Client not found"))</f>
        <v/>
      </c>
      <c r="D159" s="26"/>
      <c r="E159" s="26"/>
      <c r="F159" s="26"/>
      <c r="G159" s="26"/>
      <c r="H159" s="28"/>
      <c r="I159" s="29"/>
      <c r="J159" s="30" t="str">
        <f aca="false">IF($A159="","",IFERROR(IF(N(INDEX(Clients!$E$6:$E$105,MATCH($B159,Clients!$A$6:$A$105,0)))&gt;0,INDEX(Clients!$E$6:$E$105,MATCH($B159,Clients!$A$6:$A$105,0)),Dashboard!$B$6),Dashboard!$B$6))</f>
        <v/>
      </c>
      <c r="K159" s="31" t="str">
        <f aca="false">IF(OR($A159="",$I159=""),"",$I159+$J159)</f>
        <v/>
      </c>
      <c r="L159" s="26"/>
      <c r="M159" s="32"/>
      <c r="N159" s="33"/>
      <c r="O159" s="34" t="str">
        <f aca="false">IF($A159="","",N($M159)*N($N159))</f>
        <v/>
      </c>
      <c r="P159" s="34" t="str">
        <f aca="false">IF($A159="","",N($M159)+$O159)</f>
        <v/>
      </c>
      <c r="Q159" s="34" t="str">
        <f aca="false">IF($A159="","",SUMIFS('Credit Notes'!$F$6:$F$205,'Credit Notes'!$B$6:$B$205,$A159,'Credit Notes'!$H$6:$H$205,"Issued"))</f>
        <v/>
      </c>
      <c r="R159" s="34" t="str">
        <f aca="false">IF($A159="","",SUMIFS(Payments!$I$6:$I$505,Payments!$C$6:$C$505,$A159))</f>
        <v/>
      </c>
      <c r="S159" s="34" t="str">
        <f aca="false">IF($A159="","",IF($T159="Void",0,$P159-$Q159-$R159))</f>
        <v/>
      </c>
      <c r="T159" s="26"/>
      <c r="U159" s="35" t="str">
        <f aca="false">IF($A159="","",IF($T159="Void","Void",IF(OR($T159="",$T159="Draft"),"Draft",IF($T159="Disputed","Disputed",IF($S159&lt;-0.005,"Overpaid",IF($S159&lt;=0.005,"Paid",IF($R159+$Q159&gt;0.005,IF($V159&gt;0,"Part-paid, overdue","Part-paid"),IF($V159&gt;0,"Overdue","Outstanding"))))))))</f>
        <v/>
      </c>
      <c r="V159" s="36" t="str">
        <f aca="true">IF($A159="","",IF(AND(OR($T159="Issued",$T159="Disputed"),$S159&gt;0.005,$K159&lt;&gt;"",$K159&lt;TODAY()),TODAY()-$K159,0))</f>
        <v/>
      </c>
      <c r="W159" s="35" t="str">
        <f aca="false">IF($A159="","",IF(AND(OR($T159="Issued",$T159="Disputed"),$S159&gt;0.005),IF($V159&lt;=0,"Not yet due",IF($V159&lt;=30,"1 to 30 days",IF($V159&lt;=60,"31 to 60 days",IF($V159&lt;=90,"61 to 90 days","Over 90 days")))),""))</f>
        <v/>
      </c>
      <c r="X159" s="26"/>
      <c r="Y159" s="29"/>
      <c r="Z159" s="28"/>
      <c r="AA159" s="28"/>
    </row>
    <row r="160" customFormat="false" ht="15" hidden="false" customHeight="false" outlineLevel="0" collapsed="false">
      <c r="A160" s="26"/>
      <c r="B160" s="26"/>
      <c r="C160" s="27" t="str">
        <f aca="false">IF($B160="","",IFERROR(INDEX(Clients!$B$6:$B$105,MATCH($B160,Clients!$A$6:$A$105,0)),"Client not found"))</f>
        <v/>
      </c>
      <c r="D160" s="26"/>
      <c r="E160" s="26"/>
      <c r="F160" s="26"/>
      <c r="G160" s="26"/>
      <c r="H160" s="28"/>
      <c r="I160" s="29"/>
      <c r="J160" s="30" t="str">
        <f aca="false">IF($A160="","",IFERROR(IF(N(INDEX(Clients!$E$6:$E$105,MATCH($B160,Clients!$A$6:$A$105,0)))&gt;0,INDEX(Clients!$E$6:$E$105,MATCH($B160,Clients!$A$6:$A$105,0)),Dashboard!$B$6),Dashboard!$B$6))</f>
        <v/>
      </c>
      <c r="K160" s="31" t="str">
        <f aca="false">IF(OR($A160="",$I160=""),"",$I160+$J160)</f>
        <v/>
      </c>
      <c r="L160" s="26"/>
      <c r="M160" s="32"/>
      <c r="N160" s="33"/>
      <c r="O160" s="34" t="str">
        <f aca="false">IF($A160="","",N($M160)*N($N160))</f>
        <v/>
      </c>
      <c r="P160" s="34" t="str">
        <f aca="false">IF($A160="","",N($M160)+$O160)</f>
        <v/>
      </c>
      <c r="Q160" s="34" t="str">
        <f aca="false">IF($A160="","",SUMIFS('Credit Notes'!$F$6:$F$205,'Credit Notes'!$B$6:$B$205,$A160,'Credit Notes'!$H$6:$H$205,"Issued"))</f>
        <v/>
      </c>
      <c r="R160" s="34" t="str">
        <f aca="false">IF($A160="","",SUMIFS(Payments!$I$6:$I$505,Payments!$C$6:$C$505,$A160))</f>
        <v/>
      </c>
      <c r="S160" s="34" t="str">
        <f aca="false">IF($A160="","",IF($T160="Void",0,$P160-$Q160-$R160))</f>
        <v/>
      </c>
      <c r="T160" s="26"/>
      <c r="U160" s="35" t="str">
        <f aca="false">IF($A160="","",IF($T160="Void","Void",IF(OR($T160="",$T160="Draft"),"Draft",IF($T160="Disputed","Disputed",IF($S160&lt;-0.005,"Overpaid",IF($S160&lt;=0.005,"Paid",IF($R160+$Q160&gt;0.005,IF($V160&gt;0,"Part-paid, overdue","Part-paid"),IF($V160&gt;0,"Overdue","Outstanding"))))))))</f>
        <v/>
      </c>
      <c r="V160" s="36" t="str">
        <f aca="true">IF($A160="","",IF(AND(OR($T160="Issued",$T160="Disputed"),$S160&gt;0.005,$K160&lt;&gt;"",$K160&lt;TODAY()),TODAY()-$K160,0))</f>
        <v/>
      </c>
      <c r="W160" s="35" t="str">
        <f aca="false">IF($A160="","",IF(AND(OR($T160="Issued",$T160="Disputed"),$S160&gt;0.005),IF($V160&lt;=0,"Not yet due",IF($V160&lt;=30,"1 to 30 days",IF($V160&lt;=60,"31 to 60 days",IF($V160&lt;=90,"61 to 90 days","Over 90 days")))),""))</f>
        <v/>
      </c>
      <c r="X160" s="26"/>
      <c r="Y160" s="29"/>
      <c r="Z160" s="28"/>
      <c r="AA160" s="28"/>
    </row>
    <row r="161" customFormat="false" ht="15" hidden="false" customHeight="false" outlineLevel="0" collapsed="false">
      <c r="A161" s="26"/>
      <c r="B161" s="26"/>
      <c r="C161" s="27" t="str">
        <f aca="false">IF($B161="","",IFERROR(INDEX(Clients!$B$6:$B$105,MATCH($B161,Clients!$A$6:$A$105,0)),"Client not found"))</f>
        <v/>
      </c>
      <c r="D161" s="26"/>
      <c r="E161" s="26"/>
      <c r="F161" s="26"/>
      <c r="G161" s="26"/>
      <c r="H161" s="28"/>
      <c r="I161" s="29"/>
      <c r="J161" s="30" t="str">
        <f aca="false">IF($A161="","",IFERROR(IF(N(INDEX(Clients!$E$6:$E$105,MATCH($B161,Clients!$A$6:$A$105,0)))&gt;0,INDEX(Clients!$E$6:$E$105,MATCH($B161,Clients!$A$6:$A$105,0)),Dashboard!$B$6),Dashboard!$B$6))</f>
        <v/>
      </c>
      <c r="K161" s="31" t="str">
        <f aca="false">IF(OR($A161="",$I161=""),"",$I161+$J161)</f>
        <v/>
      </c>
      <c r="L161" s="26"/>
      <c r="M161" s="32"/>
      <c r="N161" s="33"/>
      <c r="O161" s="34" t="str">
        <f aca="false">IF($A161="","",N($M161)*N($N161))</f>
        <v/>
      </c>
      <c r="P161" s="34" t="str">
        <f aca="false">IF($A161="","",N($M161)+$O161)</f>
        <v/>
      </c>
      <c r="Q161" s="34" t="str">
        <f aca="false">IF($A161="","",SUMIFS('Credit Notes'!$F$6:$F$205,'Credit Notes'!$B$6:$B$205,$A161,'Credit Notes'!$H$6:$H$205,"Issued"))</f>
        <v/>
      </c>
      <c r="R161" s="34" t="str">
        <f aca="false">IF($A161="","",SUMIFS(Payments!$I$6:$I$505,Payments!$C$6:$C$505,$A161))</f>
        <v/>
      </c>
      <c r="S161" s="34" t="str">
        <f aca="false">IF($A161="","",IF($T161="Void",0,$P161-$Q161-$R161))</f>
        <v/>
      </c>
      <c r="T161" s="26"/>
      <c r="U161" s="35" t="str">
        <f aca="false">IF($A161="","",IF($T161="Void","Void",IF(OR($T161="",$T161="Draft"),"Draft",IF($T161="Disputed","Disputed",IF($S161&lt;-0.005,"Overpaid",IF($S161&lt;=0.005,"Paid",IF($R161+$Q161&gt;0.005,IF($V161&gt;0,"Part-paid, overdue","Part-paid"),IF($V161&gt;0,"Overdue","Outstanding"))))))))</f>
        <v/>
      </c>
      <c r="V161" s="36" t="str">
        <f aca="true">IF($A161="","",IF(AND(OR($T161="Issued",$T161="Disputed"),$S161&gt;0.005,$K161&lt;&gt;"",$K161&lt;TODAY()),TODAY()-$K161,0))</f>
        <v/>
      </c>
      <c r="W161" s="35" t="str">
        <f aca="false">IF($A161="","",IF(AND(OR($T161="Issued",$T161="Disputed"),$S161&gt;0.005),IF($V161&lt;=0,"Not yet due",IF($V161&lt;=30,"1 to 30 days",IF($V161&lt;=60,"31 to 60 days",IF($V161&lt;=90,"61 to 90 days","Over 90 days")))),""))</f>
        <v/>
      </c>
      <c r="X161" s="26"/>
      <c r="Y161" s="29"/>
      <c r="Z161" s="28"/>
      <c r="AA161" s="28"/>
    </row>
    <row r="162" customFormat="false" ht="15" hidden="false" customHeight="false" outlineLevel="0" collapsed="false">
      <c r="A162" s="26"/>
      <c r="B162" s="26"/>
      <c r="C162" s="27" t="str">
        <f aca="false">IF($B162="","",IFERROR(INDEX(Clients!$B$6:$B$105,MATCH($B162,Clients!$A$6:$A$105,0)),"Client not found"))</f>
        <v/>
      </c>
      <c r="D162" s="26"/>
      <c r="E162" s="26"/>
      <c r="F162" s="26"/>
      <c r="G162" s="26"/>
      <c r="H162" s="28"/>
      <c r="I162" s="29"/>
      <c r="J162" s="30" t="str">
        <f aca="false">IF($A162="","",IFERROR(IF(N(INDEX(Clients!$E$6:$E$105,MATCH($B162,Clients!$A$6:$A$105,0)))&gt;0,INDEX(Clients!$E$6:$E$105,MATCH($B162,Clients!$A$6:$A$105,0)),Dashboard!$B$6),Dashboard!$B$6))</f>
        <v/>
      </c>
      <c r="K162" s="31" t="str">
        <f aca="false">IF(OR($A162="",$I162=""),"",$I162+$J162)</f>
        <v/>
      </c>
      <c r="L162" s="26"/>
      <c r="M162" s="32"/>
      <c r="N162" s="33"/>
      <c r="O162" s="34" t="str">
        <f aca="false">IF($A162="","",N($M162)*N($N162))</f>
        <v/>
      </c>
      <c r="P162" s="34" t="str">
        <f aca="false">IF($A162="","",N($M162)+$O162)</f>
        <v/>
      </c>
      <c r="Q162" s="34" t="str">
        <f aca="false">IF($A162="","",SUMIFS('Credit Notes'!$F$6:$F$205,'Credit Notes'!$B$6:$B$205,$A162,'Credit Notes'!$H$6:$H$205,"Issued"))</f>
        <v/>
      </c>
      <c r="R162" s="34" t="str">
        <f aca="false">IF($A162="","",SUMIFS(Payments!$I$6:$I$505,Payments!$C$6:$C$505,$A162))</f>
        <v/>
      </c>
      <c r="S162" s="34" t="str">
        <f aca="false">IF($A162="","",IF($T162="Void",0,$P162-$Q162-$R162))</f>
        <v/>
      </c>
      <c r="T162" s="26"/>
      <c r="U162" s="35" t="str">
        <f aca="false">IF($A162="","",IF($T162="Void","Void",IF(OR($T162="",$T162="Draft"),"Draft",IF($T162="Disputed","Disputed",IF($S162&lt;-0.005,"Overpaid",IF($S162&lt;=0.005,"Paid",IF($R162+$Q162&gt;0.005,IF($V162&gt;0,"Part-paid, overdue","Part-paid"),IF($V162&gt;0,"Overdue","Outstanding"))))))))</f>
        <v/>
      </c>
      <c r="V162" s="36" t="str">
        <f aca="true">IF($A162="","",IF(AND(OR($T162="Issued",$T162="Disputed"),$S162&gt;0.005,$K162&lt;&gt;"",$K162&lt;TODAY()),TODAY()-$K162,0))</f>
        <v/>
      </c>
      <c r="W162" s="35" t="str">
        <f aca="false">IF($A162="","",IF(AND(OR($T162="Issued",$T162="Disputed"),$S162&gt;0.005),IF($V162&lt;=0,"Not yet due",IF($V162&lt;=30,"1 to 30 days",IF($V162&lt;=60,"31 to 60 days",IF($V162&lt;=90,"61 to 90 days","Over 90 days")))),""))</f>
        <v/>
      </c>
      <c r="X162" s="26"/>
      <c r="Y162" s="29"/>
      <c r="Z162" s="28"/>
      <c r="AA162" s="28"/>
    </row>
    <row r="163" customFormat="false" ht="15" hidden="false" customHeight="false" outlineLevel="0" collapsed="false">
      <c r="A163" s="26"/>
      <c r="B163" s="26"/>
      <c r="C163" s="27" t="str">
        <f aca="false">IF($B163="","",IFERROR(INDEX(Clients!$B$6:$B$105,MATCH($B163,Clients!$A$6:$A$105,0)),"Client not found"))</f>
        <v/>
      </c>
      <c r="D163" s="26"/>
      <c r="E163" s="26"/>
      <c r="F163" s="26"/>
      <c r="G163" s="26"/>
      <c r="H163" s="28"/>
      <c r="I163" s="29"/>
      <c r="J163" s="30" t="str">
        <f aca="false">IF($A163="","",IFERROR(IF(N(INDEX(Clients!$E$6:$E$105,MATCH($B163,Clients!$A$6:$A$105,0)))&gt;0,INDEX(Clients!$E$6:$E$105,MATCH($B163,Clients!$A$6:$A$105,0)),Dashboard!$B$6),Dashboard!$B$6))</f>
        <v/>
      </c>
      <c r="K163" s="31" t="str">
        <f aca="false">IF(OR($A163="",$I163=""),"",$I163+$J163)</f>
        <v/>
      </c>
      <c r="L163" s="26"/>
      <c r="M163" s="32"/>
      <c r="N163" s="33"/>
      <c r="O163" s="34" t="str">
        <f aca="false">IF($A163="","",N($M163)*N($N163))</f>
        <v/>
      </c>
      <c r="P163" s="34" t="str">
        <f aca="false">IF($A163="","",N($M163)+$O163)</f>
        <v/>
      </c>
      <c r="Q163" s="34" t="str">
        <f aca="false">IF($A163="","",SUMIFS('Credit Notes'!$F$6:$F$205,'Credit Notes'!$B$6:$B$205,$A163,'Credit Notes'!$H$6:$H$205,"Issued"))</f>
        <v/>
      </c>
      <c r="R163" s="34" t="str">
        <f aca="false">IF($A163="","",SUMIFS(Payments!$I$6:$I$505,Payments!$C$6:$C$505,$A163))</f>
        <v/>
      </c>
      <c r="S163" s="34" t="str">
        <f aca="false">IF($A163="","",IF($T163="Void",0,$P163-$Q163-$R163))</f>
        <v/>
      </c>
      <c r="T163" s="26"/>
      <c r="U163" s="35" t="str">
        <f aca="false">IF($A163="","",IF($T163="Void","Void",IF(OR($T163="",$T163="Draft"),"Draft",IF($T163="Disputed","Disputed",IF($S163&lt;-0.005,"Overpaid",IF($S163&lt;=0.005,"Paid",IF($R163+$Q163&gt;0.005,IF($V163&gt;0,"Part-paid, overdue","Part-paid"),IF($V163&gt;0,"Overdue","Outstanding"))))))))</f>
        <v/>
      </c>
      <c r="V163" s="36" t="str">
        <f aca="true">IF($A163="","",IF(AND(OR($T163="Issued",$T163="Disputed"),$S163&gt;0.005,$K163&lt;&gt;"",$K163&lt;TODAY()),TODAY()-$K163,0))</f>
        <v/>
      </c>
      <c r="W163" s="35" t="str">
        <f aca="false">IF($A163="","",IF(AND(OR($T163="Issued",$T163="Disputed"),$S163&gt;0.005),IF($V163&lt;=0,"Not yet due",IF($V163&lt;=30,"1 to 30 days",IF($V163&lt;=60,"31 to 60 days",IF($V163&lt;=90,"61 to 90 days","Over 90 days")))),""))</f>
        <v/>
      </c>
      <c r="X163" s="26"/>
      <c r="Y163" s="29"/>
      <c r="Z163" s="28"/>
      <c r="AA163" s="28"/>
    </row>
    <row r="164" customFormat="false" ht="15" hidden="false" customHeight="false" outlineLevel="0" collapsed="false">
      <c r="A164" s="26"/>
      <c r="B164" s="26"/>
      <c r="C164" s="27" t="str">
        <f aca="false">IF($B164="","",IFERROR(INDEX(Clients!$B$6:$B$105,MATCH($B164,Clients!$A$6:$A$105,0)),"Client not found"))</f>
        <v/>
      </c>
      <c r="D164" s="26"/>
      <c r="E164" s="26"/>
      <c r="F164" s="26"/>
      <c r="G164" s="26"/>
      <c r="H164" s="28"/>
      <c r="I164" s="29"/>
      <c r="J164" s="30" t="str">
        <f aca="false">IF($A164="","",IFERROR(IF(N(INDEX(Clients!$E$6:$E$105,MATCH($B164,Clients!$A$6:$A$105,0)))&gt;0,INDEX(Clients!$E$6:$E$105,MATCH($B164,Clients!$A$6:$A$105,0)),Dashboard!$B$6),Dashboard!$B$6))</f>
        <v/>
      </c>
      <c r="K164" s="31" t="str">
        <f aca="false">IF(OR($A164="",$I164=""),"",$I164+$J164)</f>
        <v/>
      </c>
      <c r="L164" s="26"/>
      <c r="M164" s="32"/>
      <c r="N164" s="33"/>
      <c r="O164" s="34" t="str">
        <f aca="false">IF($A164="","",N($M164)*N($N164))</f>
        <v/>
      </c>
      <c r="P164" s="34" t="str">
        <f aca="false">IF($A164="","",N($M164)+$O164)</f>
        <v/>
      </c>
      <c r="Q164" s="34" t="str">
        <f aca="false">IF($A164="","",SUMIFS('Credit Notes'!$F$6:$F$205,'Credit Notes'!$B$6:$B$205,$A164,'Credit Notes'!$H$6:$H$205,"Issued"))</f>
        <v/>
      </c>
      <c r="R164" s="34" t="str">
        <f aca="false">IF($A164="","",SUMIFS(Payments!$I$6:$I$505,Payments!$C$6:$C$505,$A164))</f>
        <v/>
      </c>
      <c r="S164" s="34" t="str">
        <f aca="false">IF($A164="","",IF($T164="Void",0,$P164-$Q164-$R164))</f>
        <v/>
      </c>
      <c r="T164" s="26"/>
      <c r="U164" s="35" t="str">
        <f aca="false">IF($A164="","",IF($T164="Void","Void",IF(OR($T164="",$T164="Draft"),"Draft",IF($T164="Disputed","Disputed",IF($S164&lt;-0.005,"Overpaid",IF($S164&lt;=0.005,"Paid",IF($R164+$Q164&gt;0.005,IF($V164&gt;0,"Part-paid, overdue","Part-paid"),IF($V164&gt;0,"Overdue","Outstanding"))))))))</f>
        <v/>
      </c>
      <c r="V164" s="36" t="str">
        <f aca="true">IF($A164="","",IF(AND(OR($T164="Issued",$T164="Disputed"),$S164&gt;0.005,$K164&lt;&gt;"",$K164&lt;TODAY()),TODAY()-$K164,0))</f>
        <v/>
      </c>
      <c r="W164" s="35" t="str">
        <f aca="false">IF($A164="","",IF(AND(OR($T164="Issued",$T164="Disputed"),$S164&gt;0.005),IF($V164&lt;=0,"Not yet due",IF($V164&lt;=30,"1 to 30 days",IF($V164&lt;=60,"31 to 60 days",IF($V164&lt;=90,"61 to 90 days","Over 90 days")))),""))</f>
        <v/>
      </c>
      <c r="X164" s="26"/>
      <c r="Y164" s="29"/>
      <c r="Z164" s="28"/>
      <c r="AA164" s="28"/>
    </row>
    <row r="165" customFormat="false" ht="15" hidden="false" customHeight="false" outlineLevel="0" collapsed="false">
      <c r="A165" s="26"/>
      <c r="B165" s="26"/>
      <c r="C165" s="27" t="str">
        <f aca="false">IF($B165="","",IFERROR(INDEX(Clients!$B$6:$B$105,MATCH($B165,Clients!$A$6:$A$105,0)),"Client not found"))</f>
        <v/>
      </c>
      <c r="D165" s="26"/>
      <c r="E165" s="26"/>
      <c r="F165" s="26"/>
      <c r="G165" s="26"/>
      <c r="H165" s="28"/>
      <c r="I165" s="29"/>
      <c r="J165" s="30" t="str">
        <f aca="false">IF($A165="","",IFERROR(IF(N(INDEX(Clients!$E$6:$E$105,MATCH($B165,Clients!$A$6:$A$105,0)))&gt;0,INDEX(Clients!$E$6:$E$105,MATCH($B165,Clients!$A$6:$A$105,0)),Dashboard!$B$6),Dashboard!$B$6))</f>
        <v/>
      </c>
      <c r="K165" s="31" t="str">
        <f aca="false">IF(OR($A165="",$I165=""),"",$I165+$J165)</f>
        <v/>
      </c>
      <c r="L165" s="26"/>
      <c r="M165" s="32"/>
      <c r="N165" s="33"/>
      <c r="O165" s="34" t="str">
        <f aca="false">IF($A165="","",N($M165)*N($N165))</f>
        <v/>
      </c>
      <c r="P165" s="34" t="str">
        <f aca="false">IF($A165="","",N($M165)+$O165)</f>
        <v/>
      </c>
      <c r="Q165" s="34" t="str">
        <f aca="false">IF($A165="","",SUMIFS('Credit Notes'!$F$6:$F$205,'Credit Notes'!$B$6:$B$205,$A165,'Credit Notes'!$H$6:$H$205,"Issued"))</f>
        <v/>
      </c>
      <c r="R165" s="34" t="str">
        <f aca="false">IF($A165="","",SUMIFS(Payments!$I$6:$I$505,Payments!$C$6:$C$505,$A165))</f>
        <v/>
      </c>
      <c r="S165" s="34" t="str">
        <f aca="false">IF($A165="","",IF($T165="Void",0,$P165-$Q165-$R165))</f>
        <v/>
      </c>
      <c r="T165" s="26"/>
      <c r="U165" s="35" t="str">
        <f aca="false">IF($A165="","",IF($T165="Void","Void",IF(OR($T165="",$T165="Draft"),"Draft",IF($T165="Disputed","Disputed",IF($S165&lt;-0.005,"Overpaid",IF($S165&lt;=0.005,"Paid",IF($R165+$Q165&gt;0.005,IF($V165&gt;0,"Part-paid, overdue","Part-paid"),IF($V165&gt;0,"Overdue","Outstanding"))))))))</f>
        <v/>
      </c>
      <c r="V165" s="36" t="str">
        <f aca="true">IF($A165="","",IF(AND(OR($T165="Issued",$T165="Disputed"),$S165&gt;0.005,$K165&lt;&gt;"",$K165&lt;TODAY()),TODAY()-$K165,0))</f>
        <v/>
      </c>
      <c r="W165" s="35" t="str">
        <f aca="false">IF($A165="","",IF(AND(OR($T165="Issued",$T165="Disputed"),$S165&gt;0.005),IF($V165&lt;=0,"Not yet due",IF($V165&lt;=30,"1 to 30 days",IF($V165&lt;=60,"31 to 60 days",IF($V165&lt;=90,"61 to 90 days","Over 90 days")))),""))</f>
        <v/>
      </c>
      <c r="X165" s="26"/>
      <c r="Y165" s="29"/>
      <c r="Z165" s="28"/>
      <c r="AA165" s="28"/>
    </row>
    <row r="166" customFormat="false" ht="15" hidden="false" customHeight="false" outlineLevel="0" collapsed="false">
      <c r="A166" s="26"/>
      <c r="B166" s="26"/>
      <c r="C166" s="27" t="str">
        <f aca="false">IF($B166="","",IFERROR(INDEX(Clients!$B$6:$B$105,MATCH($B166,Clients!$A$6:$A$105,0)),"Client not found"))</f>
        <v/>
      </c>
      <c r="D166" s="26"/>
      <c r="E166" s="26"/>
      <c r="F166" s="26"/>
      <c r="G166" s="26"/>
      <c r="H166" s="28"/>
      <c r="I166" s="29"/>
      <c r="J166" s="30" t="str">
        <f aca="false">IF($A166="","",IFERROR(IF(N(INDEX(Clients!$E$6:$E$105,MATCH($B166,Clients!$A$6:$A$105,0)))&gt;0,INDEX(Clients!$E$6:$E$105,MATCH($B166,Clients!$A$6:$A$105,0)),Dashboard!$B$6),Dashboard!$B$6))</f>
        <v/>
      </c>
      <c r="K166" s="31" t="str">
        <f aca="false">IF(OR($A166="",$I166=""),"",$I166+$J166)</f>
        <v/>
      </c>
      <c r="L166" s="26"/>
      <c r="M166" s="32"/>
      <c r="N166" s="33"/>
      <c r="O166" s="34" t="str">
        <f aca="false">IF($A166="","",N($M166)*N($N166))</f>
        <v/>
      </c>
      <c r="P166" s="34" t="str">
        <f aca="false">IF($A166="","",N($M166)+$O166)</f>
        <v/>
      </c>
      <c r="Q166" s="34" t="str">
        <f aca="false">IF($A166="","",SUMIFS('Credit Notes'!$F$6:$F$205,'Credit Notes'!$B$6:$B$205,$A166,'Credit Notes'!$H$6:$H$205,"Issued"))</f>
        <v/>
      </c>
      <c r="R166" s="34" t="str">
        <f aca="false">IF($A166="","",SUMIFS(Payments!$I$6:$I$505,Payments!$C$6:$C$505,$A166))</f>
        <v/>
      </c>
      <c r="S166" s="34" t="str">
        <f aca="false">IF($A166="","",IF($T166="Void",0,$P166-$Q166-$R166))</f>
        <v/>
      </c>
      <c r="T166" s="26"/>
      <c r="U166" s="35" t="str">
        <f aca="false">IF($A166="","",IF($T166="Void","Void",IF(OR($T166="",$T166="Draft"),"Draft",IF($T166="Disputed","Disputed",IF($S166&lt;-0.005,"Overpaid",IF($S166&lt;=0.005,"Paid",IF($R166+$Q166&gt;0.005,IF($V166&gt;0,"Part-paid, overdue","Part-paid"),IF($V166&gt;0,"Overdue","Outstanding"))))))))</f>
        <v/>
      </c>
      <c r="V166" s="36" t="str">
        <f aca="true">IF($A166="","",IF(AND(OR($T166="Issued",$T166="Disputed"),$S166&gt;0.005,$K166&lt;&gt;"",$K166&lt;TODAY()),TODAY()-$K166,0))</f>
        <v/>
      </c>
      <c r="W166" s="35" t="str">
        <f aca="false">IF($A166="","",IF(AND(OR($T166="Issued",$T166="Disputed"),$S166&gt;0.005),IF($V166&lt;=0,"Not yet due",IF($V166&lt;=30,"1 to 30 days",IF($V166&lt;=60,"31 to 60 days",IF($V166&lt;=90,"61 to 90 days","Over 90 days")))),""))</f>
        <v/>
      </c>
      <c r="X166" s="26"/>
      <c r="Y166" s="29"/>
      <c r="Z166" s="28"/>
      <c r="AA166" s="28"/>
    </row>
    <row r="167" customFormat="false" ht="15" hidden="false" customHeight="false" outlineLevel="0" collapsed="false">
      <c r="A167" s="26"/>
      <c r="B167" s="26"/>
      <c r="C167" s="27" t="str">
        <f aca="false">IF($B167="","",IFERROR(INDEX(Clients!$B$6:$B$105,MATCH($B167,Clients!$A$6:$A$105,0)),"Client not found"))</f>
        <v/>
      </c>
      <c r="D167" s="26"/>
      <c r="E167" s="26"/>
      <c r="F167" s="26"/>
      <c r="G167" s="26"/>
      <c r="H167" s="28"/>
      <c r="I167" s="29"/>
      <c r="J167" s="30" t="str">
        <f aca="false">IF($A167="","",IFERROR(IF(N(INDEX(Clients!$E$6:$E$105,MATCH($B167,Clients!$A$6:$A$105,0)))&gt;0,INDEX(Clients!$E$6:$E$105,MATCH($B167,Clients!$A$6:$A$105,0)),Dashboard!$B$6),Dashboard!$B$6))</f>
        <v/>
      </c>
      <c r="K167" s="31" t="str">
        <f aca="false">IF(OR($A167="",$I167=""),"",$I167+$J167)</f>
        <v/>
      </c>
      <c r="L167" s="26"/>
      <c r="M167" s="32"/>
      <c r="N167" s="33"/>
      <c r="O167" s="34" t="str">
        <f aca="false">IF($A167="","",N($M167)*N($N167))</f>
        <v/>
      </c>
      <c r="P167" s="34" t="str">
        <f aca="false">IF($A167="","",N($M167)+$O167)</f>
        <v/>
      </c>
      <c r="Q167" s="34" t="str">
        <f aca="false">IF($A167="","",SUMIFS('Credit Notes'!$F$6:$F$205,'Credit Notes'!$B$6:$B$205,$A167,'Credit Notes'!$H$6:$H$205,"Issued"))</f>
        <v/>
      </c>
      <c r="R167" s="34" t="str">
        <f aca="false">IF($A167="","",SUMIFS(Payments!$I$6:$I$505,Payments!$C$6:$C$505,$A167))</f>
        <v/>
      </c>
      <c r="S167" s="34" t="str">
        <f aca="false">IF($A167="","",IF($T167="Void",0,$P167-$Q167-$R167))</f>
        <v/>
      </c>
      <c r="T167" s="26"/>
      <c r="U167" s="35" t="str">
        <f aca="false">IF($A167="","",IF($T167="Void","Void",IF(OR($T167="",$T167="Draft"),"Draft",IF($T167="Disputed","Disputed",IF($S167&lt;-0.005,"Overpaid",IF($S167&lt;=0.005,"Paid",IF($R167+$Q167&gt;0.005,IF($V167&gt;0,"Part-paid, overdue","Part-paid"),IF($V167&gt;0,"Overdue","Outstanding"))))))))</f>
        <v/>
      </c>
      <c r="V167" s="36" t="str">
        <f aca="true">IF($A167="","",IF(AND(OR($T167="Issued",$T167="Disputed"),$S167&gt;0.005,$K167&lt;&gt;"",$K167&lt;TODAY()),TODAY()-$K167,0))</f>
        <v/>
      </c>
      <c r="W167" s="35" t="str">
        <f aca="false">IF($A167="","",IF(AND(OR($T167="Issued",$T167="Disputed"),$S167&gt;0.005),IF($V167&lt;=0,"Not yet due",IF($V167&lt;=30,"1 to 30 days",IF($V167&lt;=60,"31 to 60 days",IF($V167&lt;=90,"61 to 90 days","Over 90 days")))),""))</f>
        <v/>
      </c>
      <c r="X167" s="26"/>
      <c r="Y167" s="29"/>
      <c r="Z167" s="28"/>
      <c r="AA167" s="28"/>
    </row>
    <row r="168" customFormat="false" ht="15" hidden="false" customHeight="false" outlineLevel="0" collapsed="false">
      <c r="A168" s="26"/>
      <c r="B168" s="26"/>
      <c r="C168" s="27" t="str">
        <f aca="false">IF($B168="","",IFERROR(INDEX(Clients!$B$6:$B$105,MATCH($B168,Clients!$A$6:$A$105,0)),"Client not found"))</f>
        <v/>
      </c>
      <c r="D168" s="26"/>
      <c r="E168" s="26"/>
      <c r="F168" s="26"/>
      <c r="G168" s="26"/>
      <c r="H168" s="28"/>
      <c r="I168" s="29"/>
      <c r="J168" s="30" t="str">
        <f aca="false">IF($A168="","",IFERROR(IF(N(INDEX(Clients!$E$6:$E$105,MATCH($B168,Clients!$A$6:$A$105,0)))&gt;0,INDEX(Clients!$E$6:$E$105,MATCH($B168,Clients!$A$6:$A$105,0)),Dashboard!$B$6),Dashboard!$B$6))</f>
        <v/>
      </c>
      <c r="K168" s="31" t="str">
        <f aca="false">IF(OR($A168="",$I168=""),"",$I168+$J168)</f>
        <v/>
      </c>
      <c r="L168" s="26"/>
      <c r="M168" s="32"/>
      <c r="N168" s="33"/>
      <c r="O168" s="34" t="str">
        <f aca="false">IF($A168="","",N($M168)*N($N168))</f>
        <v/>
      </c>
      <c r="P168" s="34" t="str">
        <f aca="false">IF($A168="","",N($M168)+$O168)</f>
        <v/>
      </c>
      <c r="Q168" s="34" t="str">
        <f aca="false">IF($A168="","",SUMIFS('Credit Notes'!$F$6:$F$205,'Credit Notes'!$B$6:$B$205,$A168,'Credit Notes'!$H$6:$H$205,"Issued"))</f>
        <v/>
      </c>
      <c r="R168" s="34" t="str">
        <f aca="false">IF($A168="","",SUMIFS(Payments!$I$6:$I$505,Payments!$C$6:$C$505,$A168))</f>
        <v/>
      </c>
      <c r="S168" s="34" t="str">
        <f aca="false">IF($A168="","",IF($T168="Void",0,$P168-$Q168-$R168))</f>
        <v/>
      </c>
      <c r="T168" s="26"/>
      <c r="U168" s="35" t="str">
        <f aca="false">IF($A168="","",IF($T168="Void","Void",IF(OR($T168="",$T168="Draft"),"Draft",IF($T168="Disputed","Disputed",IF($S168&lt;-0.005,"Overpaid",IF($S168&lt;=0.005,"Paid",IF($R168+$Q168&gt;0.005,IF($V168&gt;0,"Part-paid, overdue","Part-paid"),IF($V168&gt;0,"Overdue","Outstanding"))))))))</f>
        <v/>
      </c>
      <c r="V168" s="36" t="str">
        <f aca="true">IF($A168="","",IF(AND(OR($T168="Issued",$T168="Disputed"),$S168&gt;0.005,$K168&lt;&gt;"",$K168&lt;TODAY()),TODAY()-$K168,0))</f>
        <v/>
      </c>
      <c r="W168" s="35" t="str">
        <f aca="false">IF($A168="","",IF(AND(OR($T168="Issued",$T168="Disputed"),$S168&gt;0.005),IF($V168&lt;=0,"Not yet due",IF($V168&lt;=30,"1 to 30 days",IF($V168&lt;=60,"31 to 60 days",IF($V168&lt;=90,"61 to 90 days","Over 90 days")))),""))</f>
        <v/>
      </c>
      <c r="X168" s="26"/>
      <c r="Y168" s="29"/>
      <c r="Z168" s="28"/>
      <c r="AA168" s="28"/>
    </row>
    <row r="169" customFormat="false" ht="15" hidden="false" customHeight="false" outlineLevel="0" collapsed="false">
      <c r="A169" s="26"/>
      <c r="B169" s="26"/>
      <c r="C169" s="27" t="str">
        <f aca="false">IF($B169="","",IFERROR(INDEX(Clients!$B$6:$B$105,MATCH($B169,Clients!$A$6:$A$105,0)),"Client not found"))</f>
        <v/>
      </c>
      <c r="D169" s="26"/>
      <c r="E169" s="26"/>
      <c r="F169" s="26"/>
      <c r="G169" s="26"/>
      <c r="H169" s="28"/>
      <c r="I169" s="29"/>
      <c r="J169" s="30" t="str">
        <f aca="false">IF($A169="","",IFERROR(IF(N(INDEX(Clients!$E$6:$E$105,MATCH($B169,Clients!$A$6:$A$105,0)))&gt;0,INDEX(Clients!$E$6:$E$105,MATCH($B169,Clients!$A$6:$A$105,0)),Dashboard!$B$6),Dashboard!$B$6))</f>
        <v/>
      </c>
      <c r="K169" s="31" t="str">
        <f aca="false">IF(OR($A169="",$I169=""),"",$I169+$J169)</f>
        <v/>
      </c>
      <c r="L169" s="26"/>
      <c r="M169" s="32"/>
      <c r="N169" s="33"/>
      <c r="O169" s="34" t="str">
        <f aca="false">IF($A169="","",N($M169)*N($N169))</f>
        <v/>
      </c>
      <c r="P169" s="34" t="str">
        <f aca="false">IF($A169="","",N($M169)+$O169)</f>
        <v/>
      </c>
      <c r="Q169" s="34" t="str">
        <f aca="false">IF($A169="","",SUMIFS('Credit Notes'!$F$6:$F$205,'Credit Notes'!$B$6:$B$205,$A169,'Credit Notes'!$H$6:$H$205,"Issued"))</f>
        <v/>
      </c>
      <c r="R169" s="34" t="str">
        <f aca="false">IF($A169="","",SUMIFS(Payments!$I$6:$I$505,Payments!$C$6:$C$505,$A169))</f>
        <v/>
      </c>
      <c r="S169" s="34" t="str">
        <f aca="false">IF($A169="","",IF($T169="Void",0,$P169-$Q169-$R169))</f>
        <v/>
      </c>
      <c r="T169" s="26"/>
      <c r="U169" s="35" t="str">
        <f aca="false">IF($A169="","",IF($T169="Void","Void",IF(OR($T169="",$T169="Draft"),"Draft",IF($T169="Disputed","Disputed",IF($S169&lt;-0.005,"Overpaid",IF($S169&lt;=0.005,"Paid",IF($R169+$Q169&gt;0.005,IF($V169&gt;0,"Part-paid, overdue","Part-paid"),IF($V169&gt;0,"Overdue","Outstanding"))))))))</f>
        <v/>
      </c>
      <c r="V169" s="36" t="str">
        <f aca="true">IF($A169="","",IF(AND(OR($T169="Issued",$T169="Disputed"),$S169&gt;0.005,$K169&lt;&gt;"",$K169&lt;TODAY()),TODAY()-$K169,0))</f>
        <v/>
      </c>
      <c r="W169" s="35" t="str">
        <f aca="false">IF($A169="","",IF(AND(OR($T169="Issued",$T169="Disputed"),$S169&gt;0.005),IF($V169&lt;=0,"Not yet due",IF($V169&lt;=30,"1 to 30 days",IF($V169&lt;=60,"31 to 60 days",IF($V169&lt;=90,"61 to 90 days","Over 90 days")))),""))</f>
        <v/>
      </c>
      <c r="X169" s="26"/>
      <c r="Y169" s="29"/>
      <c r="Z169" s="28"/>
      <c r="AA169" s="28"/>
    </row>
    <row r="170" customFormat="false" ht="15" hidden="false" customHeight="false" outlineLevel="0" collapsed="false">
      <c r="A170" s="26"/>
      <c r="B170" s="26"/>
      <c r="C170" s="27" t="str">
        <f aca="false">IF($B170="","",IFERROR(INDEX(Clients!$B$6:$B$105,MATCH($B170,Clients!$A$6:$A$105,0)),"Client not found"))</f>
        <v/>
      </c>
      <c r="D170" s="26"/>
      <c r="E170" s="26"/>
      <c r="F170" s="26"/>
      <c r="G170" s="26"/>
      <c r="H170" s="28"/>
      <c r="I170" s="29"/>
      <c r="J170" s="30" t="str">
        <f aca="false">IF($A170="","",IFERROR(IF(N(INDEX(Clients!$E$6:$E$105,MATCH($B170,Clients!$A$6:$A$105,0)))&gt;0,INDEX(Clients!$E$6:$E$105,MATCH($B170,Clients!$A$6:$A$105,0)),Dashboard!$B$6),Dashboard!$B$6))</f>
        <v/>
      </c>
      <c r="K170" s="31" t="str">
        <f aca="false">IF(OR($A170="",$I170=""),"",$I170+$J170)</f>
        <v/>
      </c>
      <c r="L170" s="26"/>
      <c r="M170" s="32"/>
      <c r="N170" s="33"/>
      <c r="O170" s="34" t="str">
        <f aca="false">IF($A170="","",N($M170)*N($N170))</f>
        <v/>
      </c>
      <c r="P170" s="34" t="str">
        <f aca="false">IF($A170="","",N($M170)+$O170)</f>
        <v/>
      </c>
      <c r="Q170" s="34" t="str">
        <f aca="false">IF($A170="","",SUMIFS('Credit Notes'!$F$6:$F$205,'Credit Notes'!$B$6:$B$205,$A170,'Credit Notes'!$H$6:$H$205,"Issued"))</f>
        <v/>
      </c>
      <c r="R170" s="34" t="str">
        <f aca="false">IF($A170="","",SUMIFS(Payments!$I$6:$I$505,Payments!$C$6:$C$505,$A170))</f>
        <v/>
      </c>
      <c r="S170" s="34" t="str">
        <f aca="false">IF($A170="","",IF($T170="Void",0,$P170-$Q170-$R170))</f>
        <v/>
      </c>
      <c r="T170" s="26"/>
      <c r="U170" s="35" t="str">
        <f aca="false">IF($A170="","",IF($T170="Void","Void",IF(OR($T170="",$T170="Draft"),"Draft",IF($T170="Disputed","Disputed",IF($S170&lt;-0.005,"Overpaid",IF($S170&lt;=0.005,"Paid",IF($R170+$Q170&gt;0.005,IF($V170&gt;0,"Part-paid, overdue","Part-paid"),IF($V170&gt;0,"Overdue","Outstanding"))))))))</f>
        <v/>
      </c>
      <c r="V170" s="36" t="str">
        <f aca="true">IF($A170="","",IF(AND(OR($T170="Issued",$T170="Disputed"),$S170&gt;0.005,$K170&lt;&gt;"",$K170&lt;TODAY()),TODAY()-$K170,0))</f>
        <v/>
      </c>
      <c r="W170" s="35" t="str">
        <f aca="false">IF($A170="","",IF(AND(OR($T170="Issued",$T170="Disputed"),$S170&gt;0.005),IF($V170&lt;=0,"Not yet due",IF($V170&lt;=30,"1 to 30 days",IF($V170&lt;=60,"31 to 60 days",IF($V170&lt;=90,"61 to 90 days","Over 90 days")))),""))</f>
        <v/>
      </c>
      <c r="X170" s="26"/>
      <c r="Y170" s="29"/>
      <c r="Z170" s="28"/>
      <c r="AA170" s="28"/>
    </row>
    <row r="171" customFormat="false" ht="15" hidden="false" customHeight="false" outlineLevel="0" collapsed="false">
      <c r="A171" s="26"/>
      <c r="B171" s="26"/>
      <c r="C171" s="27" t="str">
        <f aca="false">IF($B171="","",IFERROR(INDEX(Clients!$B$6:$B$105,MATCH($B171,Clients!$A$6:$A$105,0)),"Client not found"))</f>
        <v/>
      </c>
      <c r="D171" s="26"/>
      <c r="E171" s="26"/>
      <c r="F171" s="26"/>
      <c r="G171" s="26"/>
      <c r="H171" s="28"/>
      <c r="I171" s="29"/>
      <c r="J171" s="30" t="str">
        <f aca="false">IF($A171="","",IFERROR(IF(N(INDEX(Clients!$E$6:$E$105,MATCH($B171,Clients!$A$6:$A$105,0)))&gt;0,INDEX(Clients!$E$6:$E$105,MATCH($B171,Clients!$A$6:$A$105,0)),Dashboard!$B$6),Dashboard!$B$6))</f>
        <v/>
      </c>
      <c r="K171" s="31" t="str">
        <f aca="false">IF(OR($A171="",$I171=""),"",$I171+$J171)</f>
        <v/>
      </c>
      <c r="L171" s="26"/>
      <c r="M171" s="32"/>
      <c r="N171" s="33"/>
      <c r="O171" s="34" t="str">
        <f aca="false">IF($A171="","",N($M171)*N($N171))</f>
        <v/>
      </c>
      <c r="P171" s="34" t="str">
        <f aca="false">IF($A171="","",N($M171)+$O171)</f>
        <v/>
      </c>
      <c r="Q171" s="34" t="str">
        <f aca="false">IF($A171="","",SUMIFS('Credit Notes'!$F$6:$F$205,'Credit Notes'!$B$6:$B$205,$A171,'Credit Notes'!$H$6:$H$205,"Issued"))</f>
        <v/>
      </c>
      <c r="R171" s="34" t="str">
        <f aca="false">IF($A171="","",SUMIFS(Payments!$I$6:$I$505,Payments!$C$6:$C$505,$A171))</f>
        <v/>
      </c>
      <c r="S171" s="34" t="str">
        <f aca="false">IF($A171="","",IF($T171="Void",0,$P171-$Q171-$R171))</f>
        <v/>
      </c>
      <c r="T171" s="26"/>
      <c r="U171" s="35" t="str">
        <f aca="false">IF($A171="","",IF($T171="Void","Void",IF(OR($T171="",$T171="Draft"),"Draft",IF($T171="Disputed","Disputed",IF($S171&lt;-0.005,"Overpaid",IF($S171&lt;=0.005,"Paid",IF($R171+$Q171&gt;0.005,IF($V171&gt;0,"Part-paid, overdue","Part-paid"),IF($V171&gt;0,"Overdue","Outstanding"))))))))</f>
        <v/>
      </c>
      <c r="V171" s="36" t="str">
        <f aca="true">IF($A171="","",IF(AND(OR($T171="Issued",$T171="Disputed"),$S171&gt;0.005,$K171&lt;&gt;"",$K171&lt;TODAY()),TODAY()-$K171,0))</f>
        <v/>
      </c>
      <c r="W171" s="35" t="str">
        <f aca="false">IF($A171="","",IF(AND(OR($T171="Issued",$T171="Disputed"),$S171&gt;0.005),IF($V171&lt;=0,"Not yet due",IF($V171&lt;=30,"1 to 30 days",IF($V171&lt;=60,"31 to 60 days",IF($V171&lt;=90,"61 to 90 days","Over 90 days")))),""))</f>
        <v/>
      </c>
      <c r="X171" s="26"/>
      <c r="Y171" s="29"/>
      <c r="Z171" s="28"/>
      <c r="AA171" s="28"/>
    </row>
    <row r="172" customFormat="false" ht="15" hidden="false" customHeight="false" outlineLevel="0" collapsed="false">
      <c r="A172" s="26"/>
      <c r="B172" s="26"/>
      <c r="C172" s="27" t="str">
        <f aca="false">IF($B172="","",IFERROR(INDEX(Clients!$B$6:$B$105,MATCH($B172,Clients!$A$6:$A$105,0)),"Client not found"))</f>
        <v/>
      </c>
      <c r="D172" s="26"/>
      <c r="E172" s="26"/>
      <c r="F172" s="26"/>
      <c r="G172" s="26"/>
      <c r="H172" s="28"/>
      <c r="I172" s="29"/>
      <c r="J172" s="30" t="str">
        <f aca="false">IF($A172="","",IFERROR(IF(N(INDEX(Clients!$E$6:$E$105,MATCH($B172,Clients!$A$6:$A$105,0)))&gt;0,INDEX(Clients!$E$6:$E$105,MATCH($B172,Clients!$A$6:$A$105,0)),Dashboard!$B$6),Dashboard!$B$6))</f>
        <v/>
      </c>
      <c r="K172" s="31" t="str">
        <f aca="false">IF(OR($A172="",$I172=""),"",$I172+$J172)</f>
        <v/>
      </c>
      <c r="L172" s="26"/>
      <c r="M172" s="32"/>
      <c r="N172" s="33"/>
      <c r="O172" s="34" t="str">
        <f aca="false">IF($A172="","",N($M172)*N($N172))</f>
        <v/>
      </c>
      <c r="P172" s="34" t="str">
        <f aca="false">IF($A172="","",N($M172)+$O172)</f>
        <v/>
      </c>
      <c r="Q172" s="34" t="str">
        <f aca="false">IF($A172="","",SUMIFS('Credit Notes'!$F$6:$F$205,'Credit Notes'!$B$6:$B$205,$A172,'Credit Notes'!$H$6:$H$205,"Issued"))</f>
        <v/>
      </c>
      <c r="R172" s="34" t="str">
        <f aca="false">IF($A172="","",SUMIFS(Payments!$I$6:$I$505,Payments!$C$6:$C$505,$A172))</f>
        <v/>
      </c>
      <c r="S172" s="34" t="str">
        <f aca="false">IF($A172="","",IF($T172="Void",0,$P172-$Q172-$R172))</f>
        <v/>
      </c>
      <c r="T172" s="26"/>
      <c r="U172" s="35" t="str">
        <f aca="false">IF($A172="","",IF($T172="Void","Void",IF(OR($T172="",$T172="Draft"),"Draft",IF($T172="Disputed","Disputed",IF($S172&lt;-0.005,"Overpaid",IF($S172&lt;=0.005,"Paid",IF($R172+$Q172&gt;0.005,IF($V172&gt;0,"Part-paid, overdue","Part-paid"),IF($V172&gt;0,"Overdue","Outstanding"))))))))</f>
        <v/>
      </c>
      <c r="V172" s="36" t="str">
        <f aca="true">IF($A172="","",IF(AND(OR($T172="Issued",$T172="Disputed"),$S172&gt;0.005,$K172&lt;&gt;"",$K172&lt;TODAY()),TODAY()-$K172,0))</f>
        <v/>
      </c>
      <c r="W172" s="35" t="str">
        <f aca="false">IF($A172="","",IF(AND(OR($T172="Issued",$T172="Disputed"),$S172&gt;0.005),IF($V172&lt;=0,"Not yet due",IF($V172&lt;=30,"1 to 30 days",IF($V172&lt;=60,"31 to 60 days",IF($V172&lt;=90,"61 to 90 days","Over 90 days")))),""))</f>
        <v/>
      </c>
      <c r="X172" s="26"/>
      <c r="Y172" s="29"/>
      <c r="Z172" s="28"/>
      <c r="AA172" s="28"/>
    </row>
    <row r="173" customFormat="false" ht="15" hidden="false" customHeight="false" outlineLevel="0" collapsed="false">
      <c r="A173" s="26"/>
      <c r="B173" s="26"/>
      <c r="C173" s="27" t="str">
        <f aca="false">IF($B173="","",IFERROR(INDEX(Clients!$B$6:$B$105,MATCH($B173,Clients!$A$6:$A$105,0)),"Client not found"))</f>
        <v/>
      </c>
      <c r="D173" s="26"/>
      <c r="E173" s="26"/>
      <c r="F173" s="26"/>
      <c r="G173" s="26"/>
      <c r="H173" s="28"/>
      <c r="I173" s="29"/>
      <c r="J173" s="30" t="str">
        <f aca="false">IF($A173="","",IFERROR(IF(N(INDEX(Clients!$E$6:$E$105,MATCH($B173,Clients!$A$6:$A$105,0)))&gt;0,INDEX(Clients!$E$6:$E$105,MATCH($B173,Clients!$A$6:$A$105,0)),Dashboard!$B$6),Dashboard!$B$6))</f>
        <v/>
      </c>
      <c r="K173" s="31" t="str">
        <f aca="false">IF(OR($A173="",$I173=""),"",$I173+$J173)</f>
        <v/>
      </c>
      <c r="L173" s="26"/>
      <c r="M173" s="32"/>
      <c r="N173" s="33"/>
      <c r="O173" s="34" t="str">
        <f aca="false">IF($A173="","",N($M173)*N($N173))</f>
        <v/>
      </c>
      <c r="P173" s="34" t="str">
        <f aca="false">IF($A173="","",N($M173)+$O173)</f>
        <v/>
      </c>
      <c r="Q173" s="34" t="str">
        <f aca="false">IF($A173="","",SUMIFS('Credit Notes'!$F$6:$F$205,'Credit Notes'!$B$6:$B$205,$A173,'Credit Notes'!$H$6:$H$205,"Issued"))</f>
        <v/>
      </c>
      <c r="R173" s="34" t="str">
        <f aca="false">IF($A173="","",SUMIFS(Payments!$I$6:$I$505,Payments!$C$6:$C$505,$A173))</f>
        <v/>
      </c>
      <c r="S173" s="34" t="str">
        <f aca="false">IF($A173="","",IF($T173="Void",0,$P173-$Q173-$R173))</f>
        <v/>
      </c>
      <c r="T173" s="26"/>
      <c r="U173" s="35" t="str">
        <f aca="false">IF($A173="","",IF($T173="Void","Void",IF(OR($T173="",$T173="Draft"),"Draft",IF($T173="Disputed","Disputed",IF($S173&lt;-0.005,"Overpaid",IF($S173&lt;=0.005,"Paid",IF($R173+$Q173&gt;0.005,IF($V173&gt;0,"Part-paid, overdue","Part-paid"),IF($V173&gt;0,"Overdue","Outstanding"))))))))</f>
        <v/>
      </c>
      <c r="V173" s="36" t="str">
        <f aca="true">IF($A173="","",IF(AND(OR($T173="Issued",$T173="Disputed"),$S173&gt;0.005,$K173&lt;&gt;"",$K173&lt;TODAY()),TODAY()-$K173,0))</f>
        <v/>
      </c>
      <c r="W173" s="35" t="str">
        <f aca="false">IF($A173="","",IF(AND(OR($T173="Issued",$T173="Disputed"),$S173&gt;0.005),IF($V173&lt;=0,"Not yet due",IF($V173&lt;=30,"1 to 30 days",IF($V173&lt;=60,"31 to 60 days",IF($V173&lt;=90,"61 to 90 days","Over 90 days")))),""))</f>
        <v/>
      </c>
      <c r="X173" s="26"/>
      <c r="Y173" s="29"/>
      <c r="Z173" s="28"/>
      <c r="AA173" s="28"/>
    </row>
    <row r="174" customFormat="false" ht="15" hidden="false" customHeight="false" outlineLevel="0" collapsed="false">
      <c r="A174" s="26"/>
      <c r="B174" s="26"/>
      <c r="C174" s="27" t="str">
        <f aca="false">IF($B174="","",IFERROR(INDEX(Clients!$B$6:$B$105,MATCH($B174,Clients!$A$6:$A$105,0)),"Client not found"))</f>
        <v/>
      </c>
      <c r="D174" s="26"/>
      <c r="E174" s="26"/>
      <c r="F174" s="26"/>
      <c r="G174" s="26"/>
      <c r="H174" s="28"/>
      <c r="I174" s="29"/>
      <c r="J174" s="30" t="str">
        <f aca="false">IF($A174="","",IFERROR(IF(N(INDEX(Clients!$E$6:$E$105,MATCH($B174,Clients!$A$6:$A$105,0)))&gt;0,INDEX(Clients!$E$6:$E$105,MATCH($B174,Clients!$A$6:$A$105,0)),Dashboard!$B$6),Dashboard!$B$6))</f>
        <v/>
      </c>
      <c r="K174" s="31" t="str">
        <f aca="false">IF(OR($A174="",$I174=""),"",$I174+$J174)</f>
        <v/>
      </c>
      <c r="L174" s="26"/>
      <c r="M174" s="32"/>
      <c r="N174" s="33"/>
      <c r="O174" s="34" t="str">
        <f aca="false">IF($A174="","",N($M174)*N($N174))</f>
        <v/>
      </c>
      <c r="P174" s="34" t="str">
        <f aca="false">IF($A174="","",N($M174)+$O174)</f>
        <v/>
      </c>
      <c r="Q174" s="34" t="str">
        <f aca="false">IF($A174="","",SUMIFS('Credit Notes'!$F$6:$F$205,'Credit Notes'!$B$6:$B$205,$A174,'Credit Notes'!$H$6:$H$205,"Issued"))</f>
        <v/>
      </c>
      <c r="R174" s="34" t="str">
        <f aca="false">IF($A174="","",SUMIFS(Payments!$I$6:$I$505,Payments!$C$6:$C$505,$A174))</f>
        <v/>
      </c>
      <c r="S174" s="34" t="str">
        <f aca="false">IF($A174="","",IF($T174="Void",0,$P174-$Q174-$R174))</f>
        <v/>
      </c>
      <c r="T174" s="26"/>
      <c r="U174" s="35" t="str">
        <f aca="false">IF($A174="","",IF($T174="Void","Void",IF(OR($T174="",$T174="Draft"),"Draft",IF($T174="Disputed","Disputed",IF($S174&lt;-0.005,"Overpaid",IF($S174&lt;=0.005,"Paid",IF($R174+$Q174&gt;0.005,IF($V174&gt;0,"Part-paid, overdue","Part-paid"),IF($V174&gt;0,"Overdue","Outstanding"))))))))</f>
        <v/>
      </c>
      <c r="V174" s="36" t="str">
        <f aca="true">IF($A174="","",IF(AND(OR($T174="Issued",$T174="Disputed"),$S174&gt;0.005,$K174&lt;&gt;"",$K174&lt;TODAY()),TODAY()-$K174,0))</f>
        <v/>
      </c>
      <c r="W174" s="35" t="str">
        <f aca="false">IF($A174="","",IF(AND(OR($T174="Issued",$T174="Disputed"),$S174&gt;0.005),IF($V174&lt;=0,"Not yet due",IF($V174&lt;=30,"1 to 30 days",IF($V174&lt;=60,"31 to 60 days",IF($V174&lt;=90,"61 to 90 days","Over 90 days")))),""))</f>
        <v/>
      </c>
      <c r="X174" s="26"/>
      <c r="Y174" s="29"/>
      <c r="Z174" s="28"/>
      <c r="AA174" s="28"/>
    </row>
    <row r="175" customFormat="false" ht="15" hidden="false" customHeight="false" outlineLevel="0" collapsed="false">
      <c r="A175" s="26"/>
      <c r="B175" s="26"/>
      <c r="C175" s="27" t="str">
        <f aca="false">IF($B175="","",IFERROR(INDEX(Clients!$B$6:$B$105,MATCH($B175,Clients!$A$6:$A$105,0)),"Client not found"))</f>
        <v/>
      </c>
      <c r="D175" s="26"/>
      <c r="E175" s="26"/>
      <c r="F175" s="26"/>
      <c r="G175" s="26"/>
      <c r="H175" s="28"/>
      <c r="I175" s="29"/>
      <c r="J175" s="30" t="str">
        <f aca="false">IF($A175="","",IFERROR(IF(N(INDEX(Clients!$E$6:$E$105,MATCH($B175,Clients!$A$6:$A$105,0)))&gt;0,INDEX(Clients!$E$6:$E$105,MATCH($B175,Clients!$A$6:$A$105,0)),Dashboard!$B$6),Dashboard!$B$6))</f>
        <v/>
      </c>
      <c r="K175" s="31" t="str">
        <f aca="false">IF(OR($A175="",$I175=""),"",$I175+$J175)</f>
        <v/>
      </c>
      <c r="L175" s="26"/>
      <c r="M175" s="32"/>
      <c r="N175" s="33"/>
      <c r="O175" s="34" t="str">
        <f aca="false">IF($A175="","",N($M175)*N($N175))</f>
        <v/>
      </c>
      <c r="P175" s="34" t="str">
        <f aca="false">IF($A175="","",N($M175)+$O175)</f>
        <v/>
      </c>
      <c r="Q175" s="34" t="str">
        <f aca="false">IF($A175="","",SUMIFS('Credit Notes'!$F$6:$F$205,'Credit Notes'!$B$6:$B$205,$A175,'Credit Notes'!$H$6:$H$205,"Issued"))</f>
        <v/>
      </c>
      <c r="R175" s="34" t="str">
        <f aca="false">IF($A175="","",SUMIFS(Payments!$I$6:$I$505,Payments!$C$6:$C$505,$A175))</f>
        <v/>
      </c>
      <c r="S175" s="34" t="str">
        <f aca="false">IF($A175="","",IF($T175="Void",0,$P175-$Q175-$R175))</f>
        <v/>
      </c>
      <c r="T175" s="26"/>
      <c r="U175" s="35" t="str">
        <f aca="false">IF($A175="","",IF($T175="Void","Void",IF(OR($T175="",$T175="Draft"),"Draft",IF($T175="Disputed","Disputed",IF($S175&lt;-0.005,"Overpaid",IF($S175&lt;=0.005,"Paid",IF($R175+$Q175&gt;0.005,IF($V175&gt;0,"Part-paid, overdue","Part-paid"),IF($V175&gt;0,"Overdue","Outstanding"))))))))</f>
        <v/>
      </c>
      <c r="V175" s="36" t="str">
        <f aca="true">IF($A175="","",IF(AND(OR($T175="Issued",$T175="Disputed"),$S175&gt;0.005,$K175&lt;&gt;"",$K175&lt;TODAY()),TODAY()-$K175,0))</f>
        <v/>
      </c>
      <c r="W175" s="35" t="str">
        <f aca="false">IF($A175="","",IF(AND(OR($T175="Issued",$T175="Disputed"),$S175&gt;0.005),IF($V175&lt;=0,"Not yet due",IF($V175&lt;=30,"1 to 30 days",IF($V175&lt;=60,"31 to 60 days",IF($V175&lt;=90,"61 to 90 days","Over 90 days")))),""))</f>
        <v/>
      </c>
      <c r="X175" s="26"/>
      <c r="Y175" s="29"/>
      <c r="Z175" s="28"/>
      <c r="AA175" s="28"/>
    </row>
    <row r="176" customFormat="false" ht="15" hidden="false" customHeight="false" outlineLevel="0" collapsed="false">
      <c r="A176" s="26"/>
      <c r="B176" s="26"/>
      <c r="C176" s="27" t="str">
        <f aca="false">IF($B176="","",IFERROR(INDEX(Clients!$B$6:$B$105,MATCH($B176,Clients!$A$6:$A$105,0)),"Client not found"))</f>
        <v/>
      </c>
      <c r="D176" s="26"/>
      <c r="E176" s="26"/>
      <c r="F176" s="26"/>
      <c r="G176" s="26"/>
      <c r="H176" s="28"/>
      <c r="I176" s="29"/>
      <c r="J176" s="30" t="str">
        <f aca="false">IF($A176="","",IFERROR(IF(N(INDEX(Clients!$E$6:$E$105,MATCH($B176,Clients!$A$6:$A$105,0)))&gt;0,INDEX(Clients!$E$6:$E$105,MATCH($B176,Clients!$A$6:$A$105,0)),Dashboard!$B$6),Dashboard!$B$6))</f>
        <v/>
      </c>
      <c r="K176" s="31" t="str">
        <f aca="false">IF(OR($A176="",$I176=""),"",$I176+$J176)</f>
        <v/>
      </c>
      <c r="L176" s="26"/>
      <c r="M176" s="32"/>
      <c r="N176" s="33"/>
      <c r="O176" s="34" t="str">
        <f aca="false">IF($A176="","",N($M176)*N($N176))</f>
        <v/>
      </c>
      <c r="P176" s="34" t="str">
        <f aca="false">IF($A176="","",N($M176)+$O176)</f>
        <v/>
      </c>
      <c r="Q176" s="34" t="str">
        <f aca="false">IF($A176="","",SUMIFS('Credit Notes'!$F$6:$F$205,'Credit Notes'!$B$6:$B$205,$A176,'Credit Notes'!$H$6:$H$205,"Issued"))</f>
        <v/>
      </c>
      <c r="R176" s="34" t="str">
        <f aca="false">IF($A176="","",SUMIFS(Payments!$I$6:$I$505,Payments!$C$6:$C$505,$A176))</f>
        <v/>
      </c>
      <c r="S176" s="34" t="str">
        <f aca="false">IF($A176="","",IF($T176="Void",0,$P176-$Q176-$R176))</f>
        <v/>
      </c>
      <c r="T176" s="26"/>
      <c r="U176" s="35" t="str">
        <f aca="false">IF($A176="","",IF($T176="Void","Void",IF(OR($T176="",$T176="Draft"),"Draft",IF($T176="Disputed","Disputed",IF($S176&lt;-0.005,"Overpaid",IF($S176&lt;=0.005,"Paid",IF($R176+$Q176&gt;0.005,IF($V176&gt;0,"Part-paid, overdue","Part-paid"),IF($V176&gt;0,"Overdue","Outstanding"))))))))</f>
        <v/>
      </c>
      <c r="V176" s="36" t="str">
        <f aca="true">IF($A176="","",IF(AND(OR($T176="Issued",$T176="Disputed"),$S176&gt;0.005,$K176&lt;&gt;"",$K176&lt;TODAY()),TODAY()-$K176,0))</f>
        <v/>
      </c>
      <c r="W176" s="35" t="str">
        <f aca="false">IF($A176="","",IF(AND(OR($T176="Issued",$T176="Disputed"),$S176&gt;0.005),IF($V176&lt;=0,"Not yet due",IF($V176&lt;=30,"1 to 30 days",IF($V176&lt;=60,"31 to 60 days",IF($V176&lt;=90,"61 to 90 days","Over 90 days")))),""))</f>
        <v/>
      </c>
      <c r="X176" s="26"/>
      <c r="Y176" s="29"/>
      <c r="Z176" s="28"/>
      <c r="AA176" s="28"/>
    </row>
    <row r="177" customFormat="false" ht="15" hidden="false" customHeight="false" outlineLevel="0" collapsed="false">
      <c r="A177" s="26"/>
      <c r="B177" s="26"/>
      <c r="C177" s="27" t="str">
        <f aca="false">IF($B177="","",IFERROR(INDEX(Clients!$B$6:$B$105,MATCH($B177,Clients!$A$6:$A$105,0)),"Client not found"))</f>
        <v/>
      </c>
      <c r="D177" s="26"/>
      <c r="E177" s="26"/>
      <c r="F177" s="26"/>
      <c r="G177" s="26"/>
      <c r="H177" s="28"/>
      <c r="I177" s="29"/>
      <c r="J177" s="30" t="str">
        <f aca="false">IF($A177="","",IFERROR(IF(N(INDEX(Clients!$E$6:$E$105,MATCH($B177,Clients!$A$6:$A$105,0)))&gt;0,INDEX(Clients!$E$6:$E$105,MATCH($B177,Clients!$A$6:$A$105,0)),Dashboard!$B$6),Dashboard!$B$6))</f>
        <v/>
      </c>
      <c r="K177" s="31" t="str">
        <f aca="false">IF(OR($A177="",$I177=""),"",$I177+$J177)</f>
        <v/>
      </c>
      <c r="L177" s="26"/>
      <c r="M177" s="32"/>
      <c r="N177" s="33"/>
      <c r="O177" s="34" t="str">
        <f aca="false">IF($A177="","",N($M177)*N($N177))</f>
        <v/>
      </c>
      <c r="P177" s="34" t="str">
        <f aca="false">IF($A177="","",N($M177)+$O177)</f>
        <v/>
      </c>
      <c r="Q177" s="34" t="str">
        <f aca="false">IF($A177="","",SUMIFS('Credit Notes'!$F$6:$F$205,'Credit Notes'!$B$6:$B$205,$A177,'Credit Notes'!$H$6:$H$205,"Issued"))</f>
        <v/>
      </c>
      <c r="R177" s="34" t="str">
        <f aca="false">IF($A177="","",SUMIFS(Payments!$I$6:$I$505,Payments!$C$6:$C$505,$A177))</f>
        <v/>
      </c>
      <c r="S177" s="34" t="str">
        <f aca="false">IF($A177="","",IF($T177="Void",0,$P177-$Q177-$R177))</f>
        <v/>
      </c>
      <c r="T177" s="26"/>
      <c r="U177" s="35" t="str">
        <f aca="false">IF($A177="","",IF($T177="Void","Void",IF(OR($T177="",$T177="Draft"),"Draft",IF($T177="Disputed","Disputed",IF($S177&lt;-0.005,"Overpaid",IF($S177&lt;=0.005,"Paid",IF($R177+$Q177&gt;0.005,IF($V177&gt;0,"Part-paid, overdue","Part-paid"),IF($V177&gt;0,"Overdue","Outstanding"))))))))</f>
        <v/>
      </c>
      <c r="V177" s="36" t="str">
        <f aca="true">IF($A177="","",IF(AND(OR($T177="Issued",$T177="Disputed"),$S177&gt;0.005,$K177&lt;&gt;"",$K177&lt;TODAY()),TODAY()-$K177,0))</f>
        <v/>
      </c>
      <c r="W177" s="35" t="str">
        <f aca="false">IF($A177="","",IF(AND(OR($T177="Issued",$T177="Disputed"),$S177&gt;0.005),IF($V177&lt;=0,"Not yet due",IF($V177&lt;=30,"1 to 30 days",IF($V177&lt;=60,"31 to 60 days",IF($V177&lt;=90,"61 to 90 days","Over 90 days")))),""))</f>
        <v/>
      </c>
      <c r="X177" s="26"/>
      <c r="Y177" s="29"/>
      <c r="Z177" s="28"/>
      <c r="AA177" s="28"/>
    </row>
    <row r="178" customFormat="false" ht="15" hidden="false" customHeight="false" outlineLevel="0" collapsed="false">
      <c r="A178" s="26"/>
      <c r="B178" s="26"/>
      <c r="C178" s="27" t="str">
        <f aca="false">IF($B178="","",IFERROR(INDEX(Clients!$B$6:$B$105,MATCH($B178,Clients!$A$6:$A$105,0)),"Client not found"))</f>
        <v/>
      </c>
      <c r="D178" s="26"/>
      <c r="E178" s="26"/>
      <c r="F178" s="26"/>
      <c r="G178" s="26"/>
      <c r="H178" s="28"/>
      <c r="I178" s="29"/>
      <c r="J178" s="30" t="str">
        <f aca="false">IF($A178="","",IFERROR(IF(N(INDEX(Clients!$E$6:$E$105,MATCH($B178,Clients!$A$6:$A$105,0)))&gt;0,INDEX(Clients!$E$6:$E$105,MATCH($B178,Clients!$A$6:$A$105,0)),Dashboard!$B$6),Dashboard!$B$6))</f>
        <v/>
      </c>
      <c r="K178" s="31" t="str">
        <f aca="false">IF(OR($A178="",$I178=""),"",$I178+$J178)</f>
        <v/>
      </c>
      <c r="L178" s="26"/>
      <c r="M178" s="32"/>
      <c r="N178" s="33"/>
      <c r="O178" s="34" t="str">
        <f aca="false">IF($A178="","",N($M178)*N($N178))</f>
        <v/>
      </c>
      <c r="P178" s="34" t="str">
        <f aca="false">IF($A178="","",N($M178)+$O178)</f>
        <v/>
      </c>
      <c r="Q178" s="34" t="str">
        <f aca="false">IF($A178="","",SUMIFS('Credit Notes'!$F$6:$F$205,'Credit Notes'!$B$6:$B$205,$A178,'Credit Notes'!$H$6:$H$205,"Issued"))</f>
        <v/>
      </c>
      <c r="R178" s="34" t="str">
        <f aca="false">IF($A178="","",SUMIFS(Payments!$I$6:$I$505,Payments!$C$6:$C$505,$A178))</f>
        <v/>
      </c>
      <c r="S178" s="34" t="str">
        <f aca="false">IF($A178="","",IF($T178="Void",0,$P178-$Q178-$R178))</f>
        <v/>
      </c>
      <c r="T178" s="26"/>
      <c r="U178" s="35" t="str">
        <f aca="false">IF($A178="","",IF($T178="Void","Void",IF(OR($T178="",$T178="Draft"),"Draft",IF($T178="Disputed","Disputed",IF($S178&lt;-0.005,"Overpaid",IF($S178&lt;=0.005,"Paid",IF($R178+$Q178&gt;0.005,IF($V178&gt;0,"Part-paid, overdue","Part-paid"),IF($V178&gt;0,"Overdue","Outstanding"))))))))</f>
        <v/>
      </c>
      <c r="V178" s="36" t="str">
        <f aca="true">IF($A178="","",IF(AND(OR($T178="Issued",$T178="Disputed"),$S178&gt;0.005,$K178&lt;&gt;"",$K178&lt;TODAY()),TODAY()-$K178,0))</f>
        <v/>
      </c>
      <c r="W178" s="35" t="str">
        <f aca="false">IF($A178="","",IF(AND(OR($T178="Issued",$T178="Disputed"),$S178&gt;0.005),IF($V178&lt;=0,"Not yet due",IF($V178&lt;=30,"1 to 30 days",IF($V178&lt;=60,"31 to 60 days",IF($V178&lt;=90,"61 to 90 days","Over 90 days")))),""))</f>
        <v/>
      </c>
      <c r="X178" s="26"/>
      <c r="Y178" s="29"/>
      <c r="Z178" s="28"/>
      <c r="AA178" s="28"/>
    </row>
    <row r="179" customFormat="false" ht="15" hidden="false" customHeight="false" outlineLevel="0" collapsed="false">
      <c r="A179" s="26"/>
      <c r="B179" s="26"/>
      <c r="C179" s="27" t="str">
        <f aca="false">IF($B179="","",IFERROR(INDEX(Clients!$B$6:$B$105,MATCH($B179,Clients!$A$6:$A$105,0)),"Client not found"))</f>
        <v/>
      </c>
      <c r="D179" s="26"/>
      <c r="E179" s="26"/>
      <c r="F179" s="26"/>
      <c r="G179" s="26"/>
      <c r="H179" s="28"/>
      <c r="I179" s="29"/>
      <c r="J179" s="30" t="str">
        <f aca="false">IF($A179="","",IFERROR(IF(N(INDEX(Clients!$E$6:$E$105,MATCH($B179,Clients!$A$6:$A$105,0)))&gt;0,INDEX(Clients!$E$6:$E$105,MATCH($B179,Clients!$A$6:$A$105,0)),Dashboard!$B$6),Dashboard!$B$6))</f>
        <v/>
      </c>
      <c r="K179" s="31" t="str">
        <f aca="false">IF(OR($A179="",$I179=""),"",$I179+$J179)</f>
        <v/>
      </c>
      <c r="L179" s="26"/>
      <c r="M179" s="32"/>
      <c r="N179" s="33"/>
      <c r="O179" s="34" t="str">
        <f aca="false">IF($A179="","",N($M179)*N($N179))</f>
        <v/>
      </c>
      <c r="P179" s="34" t="str">
        <f aca="false">IF($A179="","",N($M179)+$O179)</f>
        <v/>
      </c>
      <c r="Q179" s="34" t="str">
        <f aca="false">IF($A179="","",SUMIFS('Credit Notes'!$F$6:$F$205,'Credit Notes'!$B$6:$B$205,$A179,'Credit Notes'!$H$6:$H$205,"Issued"))</f>
        <v/>
      </c>
      <c r="R179" s="34" t="str">
        <f aca="false">IF($A179="","",SUMIFS(Payments!$I$6:$I$505,Payments!$C$6:$C$505,$A179))</f>
        <v/>
      </c>
      <c r="S179" s="34" t="str">
        <f aca="false">IF($A179="","",IF($T179="Void",0,$P179-$Q179-$R179))</f>
        <v/>
      </c>
      <c r="T179" s="26"/>
      <c r="U179" s="35" t="str">
        <f aca="false">IF($A179="","",IF($T179="Void","Void",IF(OR($T179="",$T179="Draft"),"Draft",IF($T179="Disputed","Disputed",IF($S179&lt;-0.005,"Overpaid",IF($S179&lt;=0.005,"Paid",IF($R179+$Q179&gt;0.005,IF($V179&gt;0,"Part-paid, overdue","Part-paid"),IF($V179&gt;0,"Overdue","Outstanding"))))))))</f>
        <v/>
      </c>
      <c r="V179" s="36" t="str">
        <f aca="true">IF($A179="","",IF(AND(OR($T179="Issued",$T179="Disputed"),$S179&gt;0.005,$K179&lt;&gt;"",$K179&lt;TODAY()),TODAY()-$K179,0))</f>
        <v/>
      </c>
      <c r="W179" s="35" t="str">
        <f aca="false">IF($A179="","",IF(AND(OR($T179="Issued",$T179="Disputed"),$S179&gt;0.005),IF($V179&lt;=0,"Not yet due",IF($V179&lt;=30,"1 to 30 days",IF($V179&lt;=60,"31 to 60 days",IF($V179&lt;=90,"61 to 90 days","Over 90 days")))),""))</f>
        <v/>
      </c>
      <c r="X179" s="26"/>
      <c r="Y179" s="29"/>
      <c r="Z179" s="28"/>
      <c r="AA179" s="28"/>
    </row>
    <row r="180" customFormat="false" ht="15" hidden="false" customHeight="false" outlineLevel="0" collapsed="false">
      <c r="A180" s="26"/>
      <c r="B180" s="26"/>
      <c r="C180" s="27" t="str">
        <f aca="false">IF($B180="","",IFERROR(INDEX(Clients!$B$6:$B$105,MATCH($B180,Clients!$A$6:$A$105,0)),"Client not found"))</f>
        <v/>
      </c>
      <c r="D180" s="26"/>
      <c r="E180" s="26"/>
      <c r="F180" s="26"/>
      <c r="G180" s="26"/>
      <c r="H180" s="28"/>
      <c r="I180" s="29"/>
      <c r="J180" s="30" t="str">
        <f aca="false">IF($A180="","",IFERROR(IF(N(INDEX(Clients!$E$6:$E$105,MATCH($B180,Clients!$A$6:$A$105,0)))&gt;0,INDEX(Clients!$E$6:$E$105,MATCH($B180,Clients!$A$6:$A$105,0)),Dashboard!$B$6),Dashboard!$B$6))</f>
        <v/>
      </c>
      <c r="K180" s="31" t="str">
        <f aca="false">IF(OR($A180="",$I180=""),"",$I180+$J180)</f>
        <v/>
      </c>
      <c r="L180" s="26"/>
      <c r="M180" s="32"/>
      <c r="N180" s="33"/>
      <c r="O180" s="34" t="str">
        <f aca="false">IF($A180="","",N($M180)*N($N180))</f>
        <v/>
      </c>
      <c r="P180" s="34" t="str">
        <f aca="false">IF($A180="","",N($M180)+$O180)</f>
        <v/>
      </c>
      <c r="Q180" s="34" t="str">
        <f aca="false">IF($A180="","",SUMIFS('Credit Notes'!$F$6:$F$205,'Credit Notes'!$B$6:$B$205,$A180,'Credit Notes'!$H$6:$H$205,"Issued"))</f>
        <v/>
      </c>
      <c r="R180" s="34" t="str">
        <f aca="false">IF($A180="","",SUMIFS(Payments!$I$6:$I$505,Payments!$C$6:$C$505,$A180))</f>
        <v/>
      </c>
      <c r="S180" s="34" t="str">
        <f aca="false">IF($A180="","",IF($T180="Void",0,$P180-$Q180-$R180))</f>
        <v/>
      </c>
      <c r="T180" s="26"/>
      <c r="U180" s="35" t="str">
        <f aca="false">IF($A180="","",IF($T180="Void","Void",IF(OR($T180="",$T180="Draft"),"Draft",IF($T180="Disputed","Disputed",IF($S180&lt;-0.005,"Overpaid",IF($S180&lt;=0.005,"Paid",IF($R180+$Q180&gt;0.005,IF($V180&gt;0,"Part-paid, overdue","Part-paid"),IF($V180&gt;0,"Overdue","Outstanding"))))))))</f>
        <v/>
      </c>
      <c r="V180" s="36" t="str">
        <f aca="true">IF($A180="","",IF(AND(OR($T180="Issued",$T180="Disputed"),$S180&gt;0.005,$K180&lt;&gt;"",$K180&lt;TODAY()),TODAY()-$K180,0))</f>
        <v/>
      </c>
      <c r="W180" s="35" t="str">
        <f aca="false">IF($A180="","",IF(AND(OR($T180="Issued",$T180="Disputed"),$S180&gt;0.005),IF($V180&lt;=0,"Not yet due",IF($V180&lt;=30,"1 to 30 days",IF($V180&lt;=60,"31 to 60 days",IF($V180&lt;=90,"61 to 90 days","Over 90 days")))),""))</f>
        <v/>
      </c>
      <c r="X180" s="26"/>
      <c r="Y180" s="29"/>
      <c r="Z180" s="28"/>
      <c r="AA180" s="28"/>
    </row>
    <row r="181" customFormat="false" ht="15" hidden="false" customHeight="false" outlineLevel="0" collapsed="false">
      <c r="A181" s="26"/>
      <c r="B181" s="26"/>
      <c r="C181" s="27" t="str">
        <f aca="false">IF($B181="","",IFERROR(INDEX(Clients!$B$6:$B$105,MATCH($B181,Clients!$A$6:$A$105,0)),"Client not found"))</f>
        <v/>
      </c>
      <c r="D181" s="26"/>
      <c r="E181" s="26"/>
      <c r="F181" s="26"/>
      <c r="G181" s="26"/>
      <c r="H181" s="28"/>
      <c r="I181" s="29"/>
      <c r="J181" s="30" t="str">
        <f aca="false">IF($A181="","",IFERROR(IF(N(INDEX(Clients!$E$6:$E$105,MATCH($B181,Clients!$A$6:$A$105,0)))&gt;0,INDEX(Clients!$E$6:$E$105,MATCH($B181,Clients!$A$6:$A$105,0)),Dashboard!$B$6),Dashboard!$B$6))</f>
        <v/>
      </c>
      <c r="K181" s="31" t="str">
        <f aca="false">IF(OR($A181="",$I181=""),"",$I181+$J181)</f>
        <v/>
      </c>
      <c r="L181" s="26"/>
      <c r="M181" s="32"/>
      <c r="N181" s="33"/>
      <c r="O181" s="34" t="str">
        <f aca="false">IF($A181="","",N($M181)*N($N181))</f>
        <v/>
      </c>
      <c r="P181" s="34" t="str">
        <f aca="false">IF($A181="","",N($M181)+$O181)</f>
        <v/>
      </c>
      <c r="Q181" s="34" t="str">
        <f aca="false">IF($A181="","",SUMIFS('Credit Notes'!$F$6:$F$205,'Credit Notes'!$B$6:$B$205,$A181,'Credit Notes'!$H$6:$H$205,"Issued"))</f>
        <v/>
      </c>
      <c r="R181" s="34" t="str">
        <f aca="false">IF($A181="","",SUMIFS(Payments!$I$6:$I$505,Payments!$C$6:$C$505,$A181))</f>
        <v/>
      </c>
      <c r="S181" s="34" t="str">
        <f aca="false">IF($A181="","",IF($T181="Void",0,$P181-$Q181-$R181))</f>
        <v/>
      </c>
      <c r="T181" s="26"/>
      <c r="U181" s="35" t="str">
        <f aca="false">IF($A181="","",IF($T181="Void","Void",IF(OR($T181="",$T181="Draft"),"Draft",IF($T181="Disputed","Disputed",IF($S181&lt;-0.005,"Overpaid",IF($S181&lt;=0.005,"Paid",IF($R181+$Q181&gt;0.005,IF($V181&gt;0,"Part-paid, overdue","Part-paid"),IF($V181&gt;0,"Overdue","Outstanding"))))))))</f>
        <v/>
      </c>
      <c r="V181" s="36" t="str">
        <f aca="true">IF($A181="","",IF(AND(OR($T181="Issued",$T181="Disputed"),$S181&gt;0.005,$K181&lt;&gt;"",$K181&lt;TODAY()),TODAY()-$K181,0))</f>
        <v/>
      </c>
      <c r="W181" s="35" t="str">
        <f aca="false">IF($A181="","",IF(AND(OR($T181="Issued",$T181="Disputed"),$S181&gt;0.005),IF($V181&lt;=0,"Not yet due",IF($V181&lt;=30,"1 to 30 days",IF($V181&lt;=60,"31 to 60 days",IF($V181&lt;=90,"61 to 90 days","Over 90 days")))),""))</f>
        <v/>
      </c>
      <c r="X181" s="26"/>
      <c r="Y181" s="29"/>
      <c r="Z181" s="28"/>
      <c r="AA181" s="28"/>
    </row>
    <row r="182" customFormat="false" ht="15" hidden="false" customHeight="false" outlineLevel="0" collapsed="false">
      <c r="A182" s="26"/>
      <c r="B182" s="26"/>
      <c r="C182" s="27" t="str">
        <f aca="false">IF($B182="","",IFERROR(INDEX(Clients!$B$6:$B$105,MATCH($B182,Clients!$A$6:$A$105,0)),"Client not found"))</f>
        <v/>
      </c>
      <c r="D182" s="26"/>
      <c r="E182" s="26"/>
      <c r="F182" s="26"/>
      <c r="G182" s="26"/>
      <c r="H182" s="28"/>
      <c r="I182" s="29"/>
      <c r="J182" s="30" t="str">
        <f aca="false">IF($A182="","",IFERROR(IF(N(INDEX(Clients!$E$6:$E$105,MATCH($B182,Clients!$A$6:$A$105,0)))&gt;0,INDEX(Clients!$E$6:$E$105,MATCH($B182,Clients!$A$6:$A$105,0)),Dashboard!$B$6),Dashboard!$B$6))</f>
        <v/>
      </c>
      <c r="K182" s="31" t="str">
        <f aca="false">IF(OR($A182="",$I182=""),"",$I182+$J182)</f>
        <v/>
      </c>
      <c r="L182" s="26"/>
      <c r="M182" s="32"/>
      <c r="N182" s="33"/>
      <c r="O182" s="34" t="str">
        <f aca="false">IF($A182="","",N($M182)*N($N182))</f>
        <v/>
      </c>
      <c r="P182" s="34" t="str">
        <f aca="false">IF($A182="","",N($M182)+$O182)</f>
        <v/>
      </c>
      <c r="Q182" s="34" t="str">
        <f aca="false">IF($A182="","",SUMIFS('Credit Notes'!$F$6:$F$205,'Credit Notes'!$B$6:$B$205,$A182,'Credit Notes'!$H$6:$H$205,"Issued"))</f>
        <v/>
      </c>
      <c r="R182" s="34" t="str">
        <f aca="false">IF($A182="","",SUMIFS(Payments!$I$6:$I$505,Payments!$C$6:$C$505,$A182))</f>
        <v/>
      </c>
      <c r="S182" s="34" t="str">
        <f aca="false">IF($A182="","",IF($T182="Void",0,$P182-$Q182-$R182))</f>
        <v/>
      </c>
      <c r="T182" s="26"/>
      <c r="U182" s="35" t="str">
        <f aca="false">IF($A182="","",IF($T182="Void","Void",IF(OR($T182="",$T182="Draft"),"Draft",IF($T182="Disputed","Disputed",IF($S182&lt;-0.005,"Overpaid",IF($S182&lt;=0.005,"Paid",IF($R182+$Q182&gt;0.005,IF($V182&gt;0,"Part-paid, overdue","Part-paid"),IF($V182&gt;0,"Overdue","Outstanding"))))))))</f>
        <v/>
      </c>
      <c r="V182" s="36" t="str">
        <f aca="true">IF($A182="","",IF(AND(OR($T182="Issued",$T182="Disputed"),$S182&gt;0.005,$K182&lt;&gt;"",$K182&lt;TODAY()),TODAY()-$K182,0))</f>
        <v/>
      </c>
      <c r="W182" s="35" t="str">
        <f aca="false">IF($A182="","",IF(AND(OR($T182="Issued",$T182="Disputed"),$S182&gt;0.005),IF($V182&lt;=0,"Not yet due",IF($V182&lt;=30,"1 to 30 days",IF($V182&lt;=60,"31 to 60 days",IF($V182&lt;=90,"61 to 90 days","Over 90 days")))),""))</f>
        <v/>
      </c>
      <c r="X182" s="26"/>
      <c r="Y182" s="29"/>
      <c r="Z182" s="28"/>
      <c r="AA182" s="28"/>
    </row>
    <row r="183" customFormat="false" ht="15" hidden="false" customHeight="false" outlineLevel="0" collapsed="false">
      <c r="A183" s="26"/>
      <c r="B183" s="26"/>
      <c r="C183" s="27" t="str">
        <f aca="false">IF($B183="","",IFERROR(INDEX(Clients!$B$6:$B$105,MATCH($B183,Clients!$A$6:$A$105,0)),"Client not found"))</f>
        <v/>
      </c>
      <c r="D183" s="26"/>
      <c r="E183" s="26"/>
      <c r="F183" s="26"/>
      <c r="G183" s="26"/>
      <c r="H183" s="28"/>
      <c r="I183" s="29"/>
      <c r="J183" s="30" t="str">
        <f aca="false">IF($A183="","",IFERROR(IF(N(INDEX(Clients!$E$6:$E$105,MATCH($B183,Clients!$A$6:$A$105,0)))&gt;0,INDEX(Clients!$E$6:$E$105,MATCH($B183,Clients!$A$6:$A$105,0)),Dashboard!$B$6),Dashboard!$B$6))</f>
        <v/>
      </c>
      <c r="K183" s="31" t="str">
        <f aca="false">IF(OR($A183="",$I183=""),"",$I183+$J183)</f>
        <v/>
      </c>
      <c r="L183" s="26"/>
      <c r="M183" s="32"/>
      <c r="N183" s="33"/>
      <c r="O183" s="34" t="str">
        <f aca="false">IF($A183="","",N($M183)*N($N183))</f>
        <v/>
      </c>
      <c r="P183" s="34" t="str">
        <f aca="false">IF($A183="","",N($M183)+$O183)</f>
        <v/>
      </c>
      <c r="Q183" s="34" t="str">
        <f aca="false">IF($A183="","",SUMIFS('Credit Notes'!$F$6:$F$205,'Credit Notes'!$B$6:$B$205,$A183,'Credit Notes'!$H$6:$H$205,"Issued"))</f>
        <v/>
      </c>
      <c r="R183" s="34" t="str">
        <f aca="false">IF($A183="","",SUMIFS(Payments!$I$6:$I$505,Payments!$C$6:$C$505,$A183))</f>
        <v/>
      </c>
      <c r="S183" s="34" t="str">
        <f aca="false">IF($A183="","",IF($T183="Void",0,$P183-$Q183-$R183))</f>
        <v/>
      </c>
      <c r="T183" s="26"/>
      <c r="U183" s="35" t="str">
        <f aca="false">IF($A183="","",IF($T183="Void","Void",IF(OR($T183="",$T183="Draft"),"Draft",IF($T183="Disputed","Disputed",IF($S183&lt;-0.005,"Overpaid",IF($S183&lt;=0.005,"Paid",IF($R183+$Q183&gt;0.005,IF($V183&gt;0,"Part-paid, overdue","Part-paid"),IF($V183&gt;0,"Overdue","Outstanding"))))))))</f>
        <v/>
      </c>
      <c r="V183" s="36" t="str">
        <f aca="true">IF($A183="","",IF(AND(OR($T183="Issued",$T183="Disputed"),$S183&gt;0.005,$K183&lt;&gt;"",$K183&lt;TODAY()),TODAY()-$K183,0))</f>
        <v/>
      </c>
      <c r="W183" s="35" t="str">
        <f aca="false">IF($A183="","",IF(AND(OR($T183="Issued",$T183="Disputed"),$S183&gt;0.005),IF($V183&lt;=0,"Not yet due",IF($V183&lt;=30,"1 to 30 days",IF($V183&lt;=60,"31 to 60 days",IF($V183&lt;=90,"61 to 90 days","Over 90 days")))),""))</f>
        <v/>
      </c>
      <c r="X183" s="26"/>
      <c r="Y183" s="29"/>
      <c r="Z183" s="28"/>
      <c r="AA183" s="28"/>
    </row>
    <row r="184" customFormat="false" ht="15" hidden="false" customHeight="false" outlineLevel="0" collapsed="false">
      <c r="A184" s="26"/>
      <c r="B184" s="26"/>
      <c r="C184" s="27" t="str">
        <f aca="false">IF($B184="","",IFERROR(INDEX(Clients!$B$6:$B$105,MATCH($B184,Clients!$A$6:$A$105,0)),"Client not found"))</f>
        <v/>
      </c>
      <c r="D184" s="26"/>
      <c r="E184" s="26"/>
      <c r="F184" s="26"/>
      <c r="G184" s="26"/>
      <c r="H184" s="28"/>
      <c r="I184" s="29"/>
      <c r="J184" s="30" t="str">
        <f aca="false">IF($A184="","",IFERROR(IF(N(INDEX(Clients!$E$6:$E$105,MATCH($B184,Clients!$A$6:$A$105,0)))&gt;0,INDEX(Clients!$E$6:$E$105,MATCH($B184,Clients!$A$6:$A$105,0)),Dashboard!$B$6),Dashboard!$B$6))</f>
        <v/>
      </c>
      <c r="K184" s="31" t="str">
        <f aca="false">IF(OR($A184="",$I184=""),"",$I184+$J184)</f>
        <v/>
      </c>
      <c r="L184" s="26"/>
      <c r="M184" s="32"/>
      <c r="N184" s="33"/>
      <c r="O184" s="34" t="str">
        <f aca="false">IF($A184="","",N($M184)*N($N184))</f>
        <v/>
      </c>
      <c r="P184" s="34" t="str">
        <f aca="false">IF($A184="","",N($M184)+$O184)</f>
        <v/>
      </c>
      <c r="Q184" s="34" t="str">
        <f aca="false">IF($A184="","",SUMIFS('Credit Notes'!$F$6:$F$205,'Credit Notes'!$B$6:$B$205,$A184,'Credit Notes'!$H$6:$H$205,"Issued"))</f>
        <v/>
      </c>
      <c r="R184" s="34" t="str">
        <f aca="false">IF($A184="","",SUMIFS(Payments!$I$6:$I$505,Payments!$C$6:$C$505,$A184))</f>
        <v/>
      </c>
      <c r="S184" s="34" t="str">
        <f aca="false">IF($A184="","",IF($T184="Void",0,$P184-$Q184-$R184))</f>
        <v/>
      </c>
      <c r="T184" s="26"/>
      <c r="U184" s="35" t="str">
        <f aca="false">IF($A184="","",IF($T184="Void","Void",IF(OR($T184="",$T184="Draft"),"Draft",IF($T184="Disputed","Disputed",IF($S184&lt;-0.005,"Overpaid",IF($S184&lt;=0.005,"Paid",IF($R184+$Q184&gt;0.005,IF($V184&gt;0,"Part-paid, overdue","Part-paid"),IF($V184&gt;0,"Overdue","Outstanding"))))))))</f>
        <v/>
      </c>
      <c r="V184" s="36" t="str">
        <f aca="true">IF($A184="","",IF(AND(OR($T184="Issued",$T184="Disputed"),$S184&gt;0.005,$K184&lt;&gt;"",$K184&lt;TODAY()),TODAY()-$K184,0))</f>
        <v/>
      </c>
      <c r="W184" s="35" t="str">
        <f aca="false">IF($A184="","",IF(AND(OR($T184="Issued",$T184="Disputed"),$S184&gt;0.005),IF($V184&lt;=0,"Not yet due",IF($V184&lt;=30,"1 to 30 days",IF($V184&lt;=60,"31 to 60 days",IF($V184&lt;=90,"61 to 90 days","Over 90 days")))),""))</f>
        <v/>
      </c>
      <c r="X184" s="26"/>
      <c r="Y184" s="29"/>
      <c r="Z184" s="28"/>
      <c r="AA184" s="28"/>
    </row>
    <row r="185" customFormat="false" ht="15" hidden="false" customHeight="false" outlineLevel="0" collapsed="false">
      <c r="A185" s="26"/>
      <c r="B185" s="26"/>
      <c r="C185" s="27" t="str">
        <f aca="false">IF($B185="","",IFERROR(INDEX(Clients!$B$6:$B$105,MATCH($B185,Clients!$A$6:$A$105,0)),"Client not found"))</f>
        <v/>
      </c>
      <c r="D185" s="26"/>
      <c r="E185" s="26"/>
      <c r="F185" s="26"/>
      <c r="G185" s="26"/>
      <c r="H185" s="28"/>
      <c r="I185" s="29"/>
      <c r="J185" s="30" t="str">
        <f aca="false">IF($A185="","",IFERROR(IF(N(INDEX(Clients!$E$6:$E$105,MATCH($B185,Clients!$A$6:$A$105,0)))&gt;0,INDEX(Clients!$E$6:$E$105,MATCH($B185,Clients!$A$6:$A$105,0)),Dashboard!$B$6),Dashboard!$B$6))</f>
        <v/>
      </c>
      <c r="K185" s="31" t="str">
        <f aca="false">IF(OR($A185="",$I185=""),"",$I185+$J185)</f>
        <v/>
      </c>
      <c r="L185" s="26"/>
      <c r="M185" s="32"/>
      <c r="N185" s="33"/>
      <c r="O185" s="34" t="str">
        <f aca="false">IF($A185="","",N($M185)*N($N185))</f>
        <v/>
      </c>
      <c r="P185" s="34" t="str">
        <f aca="false">IF($A185="","",N($M185)+$O185)</f>
        <v/>
      </c>
      <c r="Q185" s="34" t="str">
        <f aca="false">IF($A185="","",SUMIFS('Credit Notes'!$F$6:$F$205,'Credit Notes'!$B$6:$B$205,$A185,'Credit Notes'!$H$6:$H$205,"Issued"))</f>
        <v/>
      </c>
      <c r="R185" s="34" t="str">
        <f aca="false">IF($A185="","",SUMIFS(Payments!$I$6:$I$505,Payments!$C$6:$C$505,$A185))</f>
        <v/>
      </c>
      <c r="S185" s="34" t="str">
        <f aca="false">IF($A185="","",IF($T185="Void",0,$P185-$Q185-$R185))</f>
        <v/>
      </c>
      <c r="T185" s="26"/>
      <c r="U185" s="35" t="str">
        <f aca="false">IF($A185="","",IF($T185="Void","Void",IF(OR($T185="",$T185="Draft"),"Draft",IF($T185="Disputed","Disputed",IF($S185&lt;-0.005,"Overpaid",IF($S185&lt;=0.005,"Paid",IF($R185+$Q185&gt;0.005,IF($V185&gt;0,"Part-paid, overdue","Part-paid"),IF($V185&gt;0,"Overdue","Outstanding"))))))))</f>
        <v/>
      </c>
      <c r="V185" s="36" t="str">
        <f aca="true">IF($A185="","",IF(AND(OR($T185="Issued",$T185="Disputed"),$S185&gt;0.005,$K185&lt;&gt;"",$K185&lt;TODAY()),TODAY()-$K185,0))</f>
        <v/>
      </c>
      <c r="W185" s="35" t="str">
        <f aca="false">IF($A185="","",IF(AND(OR($T185="Issued",$T185="Disputed"),$S185&gt;0.005),IF($V185&lt;=0,"Not yet due",IF($V185&lt;=30,"1 to 30 days",IF($V185&lt;=60,"31 to 60 days",IF($V185&lt;=90,"61 to 90 days","Over 90 days")))),""))</f>
        <v/>
      </c>
      <c r="X185" s="26"/>
      <c r="Y185" s="29"/>
      <c r="Z185" s="28"/>
      <c r="AA185" s="28"/>
    </row>
    <row r="186" customFormat="false" ht="15" hidden="false" customHeight="false" outlineLevel="0" collapsed="false">
      <c r="A186" s="26"/>
      <c r="B186" s="26"/>
      <c r="C186" s="27" t="str">
        <f aca="false">IF($B186="","",IFERROR(INDEX(Clients!$B$6:$B$105,MATCH($B186,Clients!$A$6:$A$105,0)),"Client not found"))</f>
        <v/>
      </c>
      <c r="D186" s="26"/>
      <c r="E186" s="26"/>
      <c r="F186" s="26"/>
      <c r="G186" s="26"/>
      <c r="H186" s="28"/>
      <c r="I186" s="29"/>
      <c r="J186" s="30" t="str">
        <f aca="false">IF($A186="","",IFERROR(IF(N(INDEX(Clients!$E$6:$E$105,MATCH($B186,Clients!$A$6:$A$105,0)))&gt;0,INDEX(Clients!$E$6:$E$105,MATCH($B186,Clients!$A$6:$A$105,0)),Dashboard!$B$6),Dashboard!$B$6))</f>
        <v/>
      </c>
      <c r="K186" s="31" t="str">
        <f aca="false">IF(OR($A186="",$I186=""),"",$I186+$J186)</f>
        <v/>
      </c>
      <c r="L186" s="26"/>
      <c r="M186" s="32"/>
      <c r="N186" s="33"/>
      <c r="O186" s="34" t="str">
        <f aca="false">IF($A186="","",N($M186)*N($N186))</f>
        <v/>
      </c>
      <c r="P186" s="34" t="str">
        <f aca="false">IF($A186="","",N($M186)+$O186)</f>
        <v/>
      </c>
      <c r="Q186" s="34" t="str">
        <f aca="false">IF($A186="","",SUMIFS('Credit Notes'!$F$6:$F$205,'Credit Notes'!$B$6:$B$205,$A186,'Credit Notes'!$H$6:$H$205,"Issued"))</f>
        <v/>
      </c>
      <c r="R186" s="34" t="str">
        <f aca="false">IF($A186="","",SUMIFS(Payments!$I$6:$I$505,Payments!$C$6:$C$505,$A186))</f>
        <v/>
      </c>
      <c r="S186" s="34" t="str">
        <f aca="false">IF($A186="","",IF($T186="Void",0,$P186-$Q186-$R186))</f>
        <v/>
      </c>
      <c r="T186" s="26"/>
      <c r="U186" s="35" t="str">
        <f aca="false">IF($A186="","",IF($T186="Void","Void",IF(OR($T186="",$T186="Draft"),"Draft",IF($T186="Disputed","Disputed",IF($S186&lt;-0.005,"Overpaid",IF($S186&lt;=0.005,"Paid",IF($R186+$Q186&gt;0.005,IF($V186&gt;0,"Part-paid, overdue","Part-paid"),IF($V186&gt;0,"Overdue","Outstanding"))))))))</f>
        <v/>
      </c>
      <c r="V186" s="36" t="str">
        <f aca="true">IF($A186="","",IF(AND(OR($T186="Issued",$T186="Disputed"),$S186&gt;0.005,$K186&lt;&gt;"",$K186&lt;TODAY()),TODAY()-$K186,0))</f>
        <v/>
      </c>
      <c r="W186" s="35" t="str">
        <f aca="false">IF($A186="","",IF(AND(OR($T186="Issued",$T186="Disputed"),$S186&gt;0.005),IF($V186&lt;=0,"Not yet due",IF($V186&lt;=30,"1 to 30 days",IF($V186&lt;=60,"31 to 60 days",IF($V186&lt;=90,"61 to 90 days","Over 90 days")))),""))</f>
        <v/>
      </c>
      <c r="X186" s="26"/>
      <c r="Y186" s="29"/>
      <c r="Z186" s="28"/>
      <c r="AA186" s="28"/>
    </row>
    <row r="187" customFormat="false" ht="15" hidden="false" customHeight="false" outlineLevel="0" collapsed="false">
      <c r="A187" s="26"/>
      <c r="B187" s="26"/>
      <c r="C187" s="27" t="str">
        <f aca="false">IF($B187="","",IFERROR(INDEX(Clients!$B$6:$B$105,MATCH($B187,Clients!$A$6:$A$105,0)),"Client not found"))</f>
        <v/>
      </c>
      <c r="D187" s="26"/>
      <c r="E187" s="26"/>
      <c r="F187" s="26"/>
      <c r="G187" s="26"/>
      <c r="H187" s="28"/>
      <c r="I187" s="29"/>
      <c r="J187" s="30" t="str">
        <f aca="false">IF($A187="","",IFERROR(IF(N(INDEX(Clients!$E$6:$E$105,MATCH($B187,Clients!$A$6:$A$105,0)))&gt;0,INDEX(Clients!$E$6:$E$105,MATCH($B187,Clients!$A$6:$A$105,0)),Dashboard!$B$6),Dashboard!$B$6))</f>
        <v/>
      </c>
      <c r="K187" s="31" t="str">
        <f aca="false">IF(OR($A187="",$I187=""),"",$I187+$J187)</f>
        <v/>
      </c>
      <c r="L187" s="26"/>
      <c r="M187" s="32"/>
      <c r="N187" s="33"/>
      <c r="O187" s="34" t="str">
        <f aca="false">IF($A187="","",N($M187)*N($N187))</f>
        <v/>
      </c>
      <c r="P187" s="34" t="str">
        <f aca="false">IF($A187="","",N($M187)+$O187)</f>
        <v/>
      </c>
      <c r="Q187" s="34" t="str">
        <f aca="false">IF($A187="","",SUMIFS('Credit Notes'!$F$6:$F$205,'Credit Notes'!$B$6:$B$205,$A187,'Credit Notes'!$H$6:$H$205,"Issued"))</f>
        <v/>
      </c>
      <c r="R187" s="34" t="str">
        <f aca="false">IF($A187="","",SUMIFS(Payments!$I$6:$I$505,Payments!$C$6:$C$505,$A187))</f>
        <v/>
      </c>
      <c r="S187" s="34" t="str">
        <f aca="false">IF($A187="","",IF($T187="Void",0,$P187-$Q187-$R187))</f>
        <v/>
      </c>
      <c r="T187" s="26"/>
      <c r="U187" s="35" t="str">
        <f aca="false">IF($A187="","",IF($T187="Void","Void",IF(OR($T187="",$T187="Draft"),"Draft",IF($T187="Disputed","Disputed",IF($S187&lt;-0.005,"Overpaid",IF($S187&lt;=0.005,"Paid",IF($R187+$Q187&gt;0.005,IF($V187&gt;0,"Part-paid, overdue","Part-paid"),IF($V187&gt;0,"Overdue","Outstanding"))))))))</f>
        <v/>
      </c>
      <c r="V187" s="36" t="str">
        <f aca="true">IF($A187="","",IF(AND(OR($T187="Issued",$T187="Disputed"),$S187&gt;0.005,$K187&lt;&gt;"",$K187&lt;TODAY()),TODAY()-$K187,0))</f>
        <v/>
      </c>
      <c r="W187" s="35" t="str">
        <f aca="false">IF($A187="","",IF(AND(OR($T187="Issued",$T187="Disputed"),$S187&gt;0.005),IF($V187&lt;=0,"Not yet due",IF($V187&lt;=30,"1 to 30 days",IF($V187&lt;=60,"31 to 60 days",IF($V187&lt;=90,"61 to 90 days","Over 90 days")))),""))</f>
        <v/>
      </c>
      <c r="X187" s="26"/>
      <c r="Y187" s="29"/>
      <c r="Z187" s="28"/>
      <c r="AA187" s="28"/>
    </row>
    <row r="188" customFormat="false" ht="15" hidden="false" customHeight="false" outlineLevel="0" collapsed="false">
      <c r="A188" s="26"/>
      <c r="B188" s="26"/>
      <c r="C188" s="27" t="str">
        <f aca="false">IF($B188="","",IFERROR(INDEX(Clients!$B$6:$B$105,MATCH($B188,Clients!$A$6:$A$105,0)),"Client not found"))</f>
        <v/>
      </c>
      <c r="D188" s="26"/>
      <c r="E188" s="26"/>
      <c r="F188" s="26"/>
      <c r="G188" s="26"/>
      <c r="H188" s="28"/>
      <c r="I188" s="29"/>
      <c r="J188" s="30" t="str">
        <f aca="false">IF($A188="","",IFERROR(IF(N(INDEX(Clients!$E$6:$E$105,MATCH($B188,Clients!$A$6:$A$105,0)))&gt;0,INDEX(Clients!$E$6:$E$105,MATCH($B188,Clients!$A$6:$A$105,0)),Dashboard!$B$6),Dashboard!$B$6))</f>
        <v/>
      </c>
      <c r="K188" s="31" t="str">
        <f aca="false">IF(OR($A188="",$I188=""),"",$I188+$J188)</f>
        <v/>
      </c>
      <c r="L188" s="26"/>
      <c r="M188" s="32"/>
      <c r="N188" s="33"/>
      <c r="O188" s="34" t="str">
        <f aca="false">IF($A188="","",N($M188)*N($N188))</f>
        <v/>
      </c>
      <c r="P188" s="34" t="str">
        <f aca="false">IF($A188="","",N($M188)+$O188)</f>
        <v/>
      </c>
      <c r="Q188" s="34" t="str">
        <f aca="false">IF($A188="","",SUMIFS('Credit Notes'!$F$6:$F$205,'Credit Notes'!$B$6:$B$205,$A188,'Credit Notes'!$H$6:$H$205,"Issued"))</f>
        <v/>
      </c>
      <c r="R188" s="34" t="str">
        <f aca="false">IF($A188="","",SUMIFS(Payments!$I$6:$I$505,Payments!$C$6:$C$505,$A188))</f>
        <v/>
      </c>
      <c r="S188" s="34" t="str">
        <f aca="false">IF($A188="","",IF($T188="Void",0,$P188-$Q188-$R188))</f>
        <v/>
      </c>
      <c r="T188" s="26"/>
      <c r="U188" s="35" t="str">
        <f aca="false">IF($A188="","",IF($T188="Void","Void",IF(OR($T188="",$T188="Draft"),"Draft",IF($T188="Disputed","Disputed",IF($S188&lt;-0.005,"Overpaid",IF($S188&lt;=0.005,"Paid",IF($R188+$Q188&gt;0.005,IF($V188&gt;0,"Part-paid, overdue","Part-paid"),IF($V188&gt;0,"Overdue","Outstanding"))))))))</f>
        <v/>
      </c>
      <c r="V188" s="36" t="str">
        <f aca="true">IF($A188="","",IF(AND(OR($T188="Issued",$T188="Disputed"),$S188&gt;0.005,$K188&lt;&gt;"",$K188&lt;TODAY()),TODAY()-$K188,0))</f>
        <v/>
      </c>
      <c r="W188" s="35" t="str">
        <f aca="false">IF($A188="","",IF(AND(OR($T188="Issued",$T188="Disputed"),$S188&gt;0.005),IF($V188&lt;=0,"Not yet due",IF($V188&lt;=30,"1 to 30 days",IF($V188&lt;=60,"31 to 60 days",IF($V188&lt;=90,"61 to 90 days","Over 90 days")))),""))</f>
        <v/>
      </c>
      <c r="X188" s="26"/>
      <c r="Y188" s="29"/>
      <c r="Z188" s="28"/>
      <c r="AA188" s="28"/>
    </row>
    <row r="189" customFormat="false" ht="15" hidden="false" customHeight="false" outlineLevel="0" collapsed="false">
      <c r="A189" s="26"/>
      <c r="B189" s="26"/>
      <c r="C189" s="27" t="str">
        <f aca="false">IF($B189="","",IFERROR(INDEX(Clients!$B$6:$B$105,MATCH($B189,Clients!$A$6:$A$105,0)),"Client not found"))</f>
        <v/>
      </c>
      <c r="D189" s="26"/>
      <c r="E189" s="26"/>
      <c r="F189" s="26"/>
      <c r="G189" s="26"/>
      <c r="H189" s="28"/>
      <c r="I189" s="29"/>
      <c r="J189" s="30" t="str">
        <f aca="false">IF($A189="","",IFERROR(IF(N(INDEX(Clients!$E$6:$E$105,MATCH($B189,Clients!$A$6:$A$105,0)))&gt;0,INDEX(Clients!$E$6:$E$105,MATCH($B189,Clients!$A$6:$A$105,0)),Dashboard!$B$6),Dashboard!$B$6))</f>
        <v/>
      </c>
      <c r="K189" s="31" t="str">
        <f aca="false">IF(OR($A189="",$I189=""),"",$I189+$J189)</f>
        <v/>
      </c>
      <c r="L189" s="26"/>
      <c r="M189" s="32"/>
      <c r="N189" s="33"/>
      <c r="O189" s="34" t="str">
        <f aca="false">IF($A189="","",N($M189)*N($N189))</f>
        <v/>
      </c>
      <c r="P189" s="34" t="str">
        <f aca="false">IF($A189="","",N($M189)+$O189)</f>
        <v/>
      </c>
      <c r="Q189" s="34" t="str">
        <f aca="false">IF($A189="","",SUMIFS('Credit Notes'!$F$6:$F$205,'Credit Notes'!$B$6:$B$205,$A189,'Credit Notes'!$H$6:$H$205,"Issued"))</f>
        <v/>
      </c>
      <c r="R189" s="34" t="str">
        <f aca="false">IF($A189="","",SUMIFS(Payments!$I$6:$I$505,Payments!$C$6:$C$505,$A189))</f>
        <v/>
      </c>
      <c r="S189" s="34" t="str">
        <f aca="false">IF($A189="","",IF($T189="Void",0,$P189-$Q189-$R189))</f>
        <v/>
      </c>
      <c r="T189" s="26"/>
      <c r="U189" s="35" t="str">
        <f aca="false">IF($A189="","",IF($T189="Void","Void",IF(OR($T189="",$T189="Draft"),"Draft",IF($T189="Disputed","Disputed",IF($S189&lt;-0.005,"Overpaid",IF($S189&lt;=0.005,"Paid",IF($R189+$Q189&gt;0.005,IF($V189&gt;0,"Part-paid, overdue","Part-paid"),IF($V189&gt;0,"Overdue","Outstanding"))))))))</f>
        <v/>
      </c>
      <c r="V189" s="36" t="str">
        <f aca="true">IF($A189="","",IF(AND(OR($T189="Issued",$T189="Disputed"),$S189&gt;0.005,$K189&lt;&gt;"",$K189&lt;TODAY()),TODAY()-$K189,0))</f>
        <v/>
      </c>
      <c r="W189" s="35" t="str">
        <f aca="false">IF($A189="","",IF(AND(OR($T189="Issued",$T189="Disputed"),$S189&gt;0.005),IF($V189&lt;=0,"Not yet due",IF($V189&lt;=30,"1 to 30 days",IF($V189&lt;=60,"31 to 60 days",IF($V189&lt;=90,"61 to 90 days","Over 90 days")))),""))</f>
        <v/>
      </c>
      <c r="X189" s="26"/>
      <c r="Y189" s="29"/>
      <c r="Z189" s="28"/>
      <c r="AA189" s="28"/>
    </row>
    <row r="190" customFormat="false" ht="15" hidden="false" customHeight="false" outlineLevel="0" collapsed="false">
      <c r="A190" s="26"/>
      <c r="B190" s="26"/>
      <c r="C190" s="27" t="str">
        <f aca="false">IF($B190="","",IFERROR(INDEX(Clients!$B$6:$B$105,MATCH($B190,Clients!$A$6:$A$105,0)),"Client not found"))</f>
        <v/>
      </c>
      <c r="D190" s="26"/>
      <c r="E190" s="26"/>
      <c r="F190" s="26"/>
      <c r="G190" s="26"/>
      <c r="H190" s="28"/>
      <c r="I190" s="29"/>
      <c r="J190" s="30" t="str">
        <f aca="false">IF($A190="","",IFERROR(IF(N(INDEX(Clients!$E$6:$E$105,MATCH($B190,Clients!$A$6:$A$105,0)))&gt;0,INDEX(Clients!$E$6:$E$105,MATCH($B190,Clients!$A$6:$A$105,0)),Dashboard!$B$6),Dashboard!$B$6))</f>
        <v/>
      </c>
      <c r="K190" s="31" t="str">
        <f aca="false">IF(OR($A190="",$I190=""),"",$I190+$J190)</f>
        <v/>
      </c>
      <c r="L190" s="26"/>
      <c r="M190" s="32"/>
      <c r="N190" s="33"/>
      <c r="O190" s="34" t="str">
        <f aca="false">IF($A190="","",N($M190)*N($N190))</f>
        <v/>
      </c>
      <c r="P190" s="34" t="str">
        <f aca="false">IF($A190="","",N($M190)+$O190)</f>
        <v/>
      </c>
      <c r="Q190" s="34" t="str">
        <f aca="false">IF($A190="","",SUMIFS('Credit Notes'!$F$6:$F$205,'Credit Notes'!$B$6:$B$205,$A190,'Credit Notes'!$H$6:$H$205,"Issued"))</f>
        <v/>
      </c>
      <c r="R190" s="34" t="str">
        <f aca="false">IF($A190="","",SUMIFS(Payments!$I$6:$I$505,Payments!$C$6:$C$505,$A190))</f>
        <v/>
      </c>
      <c r="S190" s="34" t="str">
        <f aca="false">IF($A190="","",IF($T190="Void",0,$P190-$Q190-$R190))</f>
        <v/>
      </c>
      <c r="T190" s="26"/>
      <c r="U190" s="35" t="str">
        <f aca="false">IF($A190="","",IF($T190="Void","Void",IF(OR($T190="",$T190="Draft"),"Draft",IF($T190="Disputed","Disputed",IF($S190&lt;-0.005,"Overpaid",IF($S190&lt;=0.005,"Paid",IF($R190+$Q190&gt;0.005,IF($V190&gt;0,"Part-paid, overdue","Part-paid"),IF($V190&gt;0,"Overdue","Outstanding"))))))))</f>
        <v/>
      </c>
      <c r="V190" s="36" t="str">
        <f aca="true">IF($A190="","",IF(AND(OR($T190="Issued",$T190="Disputed"),$S190&gt;0.005,$K190&lt;&gt;"",$K190&lt;TODAY()),TODAY()-$K190,0))</f>
        <v/>
      </c>
      <c r="W190" s="35" t="str">
        <f aca="false">IF($A190="","",IF(AND(OR($T190="Issued",$T190="Disputed"),$S190&gt;0.005),IF($V190&lt;=0,"Not yet due",IF($V190&lt;=30,"1 to 30 days",IF($V190&lt;=60,"31 to 60 days",IF($V190&lt;=90,"61 to 90 days","Over 90 days")))),""))</f>
        <v/>
      </c>
      <c r="X190" s="26"/>
      <c r="Y190" s="29"/>
      <c r="Z190" s="28"/>
      <c r="AA190" s="28"/>
    </row>
    <row r="191" customFormat="false" ht="15" hidden="false" customHeight="false" outlineLevel="0" collapsed="false">
      <c r="A191" s="26"/>
      <c r="B191" s="26"/>
      <c r="C191" s="27" t="str">
        <f aca="false">IF($B191="","",IFERROR(INDEX(Clients!$B$6:$B$105,MATCH($B191,Clients!$A$6:$A$105,0)),"Client not found"))</f>
        <v/>
      </c>
      <c r="D191" s="26"/>
      <c r="E191" s="26"/>
      <c r="F191" s="26"/>
      <c r="G191" s="26"/>
      <c r="H191" s="28"/>
      <c r="I191" s="29"/>
      <c r="J191" s="30" t="str">
        <f aca="false">IF($A191="","",IFERROR(IF(N(INDEX(Clients!$E$6:$E$105,MATCH($B191,Clients!$A$6:$A$105,0)))&gt;0,INDEX(Clients!$E$6:$E$105,MATCH($B191,Clients!$A$6:$A$105,0)),Dashboard!$B$6),Dashboard!$B$6))</f>
        <v/>
      </c>
      <c r="K191" s="31" t="str">
        <f aca="false">IF(OR($A191="",$I191=""),"",$I191+$J191)</f>
        <v/>
      </c>
      <c r="L191" s="26"/>
      <c r="M191" s="32"/>
      <c r="N191" s="33"/>
      <c r="O191" s="34" t="str">
        <f aca="false">IF($A191="","",N($M191)*N($N191))</f>
        <v/>
      </c>
      <c r="P191" s="34" t="str">
        <f aca="false">IF($A191="","",N($M191)+$O191)</f>
        <v/>
      </c>
      <c r="Q191" s="34" t="str">
        <f aca="false">IF($A191="","",SUMIFS('Credit Notes'!$F$6:$F$205,'Credit Notes'!$B$6:$B$205,$A191,'Credit Notes'!$H$6:$H$205,"Issued"))</f>
        <v/>
      </c>
      <c r="R191" s="34" t="str">
        <f aca="false">IF($A191="","",SUMIFS(Payments!$I$6:$I$505,Payments!$C$6:$C$505,$A191))</f>
        <v/>
      </c>
      <c r="S191" s="34" t="str">
        <f aca="false">IF($A191="","",IF($T191="Void",0,$P191-$Q191-$R191))</f>
        <v/>
      </c>
      <c r="T191" s="26"/>
      <c r="U191" s="35" t="str">
        <f aca="false">IF($A191="","",IF($T191="Void","Void",IF(OR($T191="",$T191="Draft"),"Draft",IF($T191="Disputed","Disputed",IF($S191&lt;-0.005,"Overpaid",IF($S191&lt;=0.005,"Paid",IF($R191+$Q191&gt;0.005,IF($V191&gt;0,"Part-paid, overdue","Part-paid"),IF($V191&gt;0,"Overdue","Outstanding"))))))))</f>
        <v/>
      </c>
      <c r="V191" s="36" t="str">
        <f aca="true">IF($A191="","",IF(AND(OR($T191="Issued",$T191="Disputed"),$S191&gt;0.005,$K191&lt;&gt;"",$K191&lt;TODAY()),TODAY()-$K191,0))</f>
        <v/>
      </c>
      <c r="W191" s="35" t="str">
        <f aca="false">IF($A191="","",IF(AND(OR($T191="Issued",$T191="Disputed"),$S191&gt;0.005),IF($V191&lt;=0,"Not yet due",IF($V191&lt;=30,"1 to 30 days",IF($V191&lt;=60,"31 to 60 days",IF($V191&lt;=90,"61 to 90 days","Over 90 days")))),""))</f>
        <v/>
      </c>
      <c r="X191" s="26"/>
      <c r="Y191" s="29"/>
      <c r="Z191" s="28"/>
      <c r="AA191" s="28"/>
    </row>
    <row r="192" customFormat="false" ht="15" hidden="false" customHeight="false" outlineLevel="0" collapsed="false">
      <c r="A192" s="26"/>
      <c r="B192" s="26"/>
      <c r="C192" s="27" t="str">
        <f aca="false">IF($B192="","",IFERROR(INDEX(Clients!$B$6:$B$105,MATCH($B192,Clients!$A$6:$A$105,0)),"Client not found"))</f>
        <v/>
      </c>
      <c r="D192" s="26"/>
      <c r="E192" s="26"/>
      <c r="F192" s="26"/>
      <c r="G192" s="26"/>
      <c r="H192" s="28"/>
      <c r="I192" s="29"/>
      <c r="J192" s="30" t="str">
        <f aca="false">IF($A192="","",IFERROR(IF(N(INDEX(Clients!$E$6:$E$105,MATCH($B192,Clients!$A$6:$A$105,0)))&gt;0,INDEX(Clients!$E$6:$E$105,MATCH($B192,Clients!$A$6:$A$105,0)),Dashboard!$B$6),Dashboard!$B$6))</f>
        <v/>
      </c>
      <c r="K192" s="31" t="str">
        <f aca="false">IF(OR($A192="",$I192=""),"",$I192+$J192)</f>
        <v/>
      </c>
      <c r="L192" s="26"/>
      <c r="M192" s="32"/>
      <c r="N192" s="33"/>
      <c r="O192" s="34" t="str">
        <f aca="false">IF($A192="","",N($M192)*N($N192))</f>
        <v/>
      </c>
      <c r="P192" s="34" t="str">
        <f aca="false">IF($A192="","",N($M192)+$O192)</f>
        <v/>
      </c>
      <c r="Q192" s="34" t="str">
        <f aca="false">IF($A192="","",SUMIFS('Credit Notes'!$F$6:$F$205,'Credit Notes'!$B$6:$B$205,$A192,'Credit Notes'!$H$6:$H$205,"Issued"))</f>
        <v/>
      </c>
      <c r="R192" s="34" t="str">
        <f aca="false">IF($A192="","",SUMIFS(Payments!$I$6:$I$505,Payments!$C$6:$C$505,$A192))</f>
        <v/>
      </c>
      <c r="S192" s="34" t="str">
        <f aca="false">IF($A192="","",IF($T192="Void",0,$P192-$Q192-$R192))</f>
        <v/>
      </c>
      <c r="T192" s="26"/>
      <c r="U192" s="35" t="str">
        <f aca="false">IF($A192="","",IF($T192="Void","Void",IF(OR($T192="",$T192="Draft"),"Draft",IF($T192="Disputed","Disputed",IF($S192&lt;-0.005,"Overpaid",IF($S192&lt;=0.005,"Paid",IF($R192+$Q192&gt;0.005,IF($V192&gt;0,"Part-paid, overdue","Part-paid"),IF($V192&gt;0,"Overdue","Outstanding"))))))))</f>
        <v/>
      </c>
      <c r="V192" s="36" t="str">
        <f aca="true">IF($A192="","",IF(AND(OR($T192="Issued",$T192="Disputed"),$S192&gt;0.005,$K192&lt;&gt;"",$K192&lt;TODAY()),TODAY()-$K192,0))</f>
        <v/>
      </c>
      <c r="W192" s="35" t="str">
        <f aca="false">IF($A192="","",IF(AND(OR($T192="Issued",$T192="Disputed"),$S192&gt;0.005),IF($V192&lt;=0,"Not yet due",IF($V192&lt;=30,"1 to 30 days",IF($V192&lt;=60,"31 to 60 days",IF($V192&lt;=90,"61 to 90 days","Over 90 days")))),""))</f>
        <v/>
      </c>
      <c r="X192" s="26"/>
      <c r="Y192" s="29"/>
      <c r="Z192" s="28"/>
      <c r="AA192" s="28"/>
    </row>
    <row r="193" customFormat="false" ht="15" hidden="false" customHeight="false" outlineLevel="0" collapsed="false">
      <c r="A193" s="26"/>
      <c r="B193" s="26"/>
      <c r="C193" s="27" t="str">
        <f aca="false">IF($B193="","",IFERROR(INDEX(Clients!$B$6:$B$105,MATCH($B193,Clients!$A$6:$A$105,0)),"Client not found"))</f>
        <v/>
      </c>
      <c r="D193" s="26"/>
      <c r="E193" s="26"/>
      <c r="F193" s="26"/>
      <c r="G193" s="26"/>
      <c r="H193" s="28"/>
      <c r="I193" s="29"/>
      <c r="J193" s="30" t="str">
        <f aca="false">IF($A193="","",IFERROR(IF(N(INDEX(Clients!$E$6:$E$105,MATCH($B193,Clients!$A$6:$A$105,0)))&gt;0,INDEX(Clients!$E$6:$E$105,MATCH($B193,Clients!$A$6:$A$105,0)),Dashboard!$B$6),Dashboard!$B$6))</f>
        <v/>
      </c>
      <c r="K193" s="31" t="str">
        <f aca="false">IF(OR($A193="",$I193=""),"",$I193+$J193)</f>
        <v/>
      </c>
      <c r="L193" s="26"/>
      <c r="M193" s="32"/>
      <c r="N193" s="33"/>
      <c r="O193" s="34" t="str">
        <f aca="false">IF($A193="","",N($M193)*N($N193))</f>
        <v/>
      </c>
      <c r="P193" s="34" t="str">
        <f aca="false">IF($A193="","",N($M193)+$O193)</f>
        <v/>
      </c>
      <c r="Q193" s="34" t="str">
        <f aca="false">IF($A193="","",SUMIFS('Credit Notes'!$F$6:$F$205,'Credit Notes'!$B$6:$B$205,$A193,'Credit Notes'!$H$6:$H$205,"Issued"))</f>
        <v/>
      </c>
      <c r="R193" s="34" t="str">
        <f aca="false">IF($A193="","",SUMIFS(Payments!$I$6:$I$505,Payments!$C$6:$C$505,$A193))</f>
        <v/>
      </c>
      <c r="S193" s="34" t="str">
        <f aca="false">IF($A193="","",IF($T193="Void",0,$P193-$Q193-$R193))</f>
        <v/>
      </c>
      <c r="T193" s="26"/>
      <c r="U193" s="35" t="str">
        <f aca="false">IF($A193="","",IF($T193="Void","Void",IF(OR($T193="",$T193="Draft"),"Draft",IF($T193="Disputed","Disputed",IF($S193&lt;-0.005,"Overpaid",IF($S193&lt;=0.005,"Paid",IF($R193+$Q193&gt;0.005,IF($V193&gt;0,"Part-paid, overdue","Part-paid"),IF($V193&gt;0,"Overdue","Outstanding"))))))))</f>
        <v/>
      </c>
      <c r="V193" s="36" t="str">
        <f aca="true">IF($A193="","",IF(AND(OR($T193="Issued",$T193="Disputed"),$S193&gt;0.005,$K193&lt;&gt;"",$K193&lt;TODAY()),TODAY()-$K193,0))</f>
        <v/>
      </c>
      <c r="W193" s="35" t="str">
        <f aca="false">IF($A193="","",IF(AND(OR($T193="Issued",$T193="Disputed"),$S193&gt;0.005),IF($V193&lt;=0,"Not yet due",IF($V193&lt;=30,"1 to 30 days",IF($V193&lt;=60,"31 to 60 days",IF($V193&lt;=90,"61 to 90 days","Over 90 days")))),""))</f>
        <v/>
      </c>
      <c r="X193" s="26"/>
      <c r="Y193" s="29"/>
      <c r="Z193" s="28"/>
      <c r="AA193" s="28"/>
    </row>
    <row r="194" customFormat="false" ht="15" hidden="false" customHeight="false" outlineLevel="0" collapsed="false">
      <c r="A194" s="26"/>
      <c r="B194" s="26"/>
      <c r="C194" s="27" t="str">
        <f aca="false">IF($B194="","",IFERROR(INDEX(Clients!$B$6:$B$105,MATCH($B194,Clients!$A$6:$A$105,0)),"Client not found"))</f>
        <v/>
      </c>
      <c r="D194" s="26"/>
      <c r="E194" s="26"/>
      <c r="F194" s="26"/>
      <c r="G194" s="26"/>
      <c r="H194" s="28"/>
      <c r="I194" s="29"/>
      <c r="J194" s="30" t="str">
        <f aca="false">IF($A194="","",IFERROR(IF(N(INDEX(Clients!$E$6:$E$105,MATCH($B194,Clients!$A$6:$A$105,0)))&gt;0,INDEX(Clients!$E$6:$E$105,MATCH($B194,Clients!$A$6:$A$105,0)),Dashboard!$B$6),Dashboard!$B$6))</f>
        <v/>
      </c>
      <c r="K194" s="31" t="str">
        <f aca="false">IF(OR($A194="",$I194=""),"",$I194+$J194)</f>
        <v/>
      </c>
      <c r="L194" s="26"/>
      <c r="M194" s="32"/>
      <c r="N194" s="33"/>
      <c r="O194" s="34" t="str">
        <f aca="false">IF($A194="","",N($M194)*N($N194))</f>
        <v/>
      </c>
      <c r="P194" s="34" t="str">
        <f aca="false">IF($A194="","",N($M194)+$O194)</f>
        <v/>
      </c>
      <c r="Q194" s="34" t="str">
        <f aca="false">IF($A194="","",SUMIFS('Credit Notes'!$F$6:$F$205,'Credit Notes'!$B$6:$B$205,$A194,'Credit Notes'!$H$6:$H$205,"Issued"))</f>
        <v/>
      </c>
      <c r="R194" s="34" t="str">
        <f aca="false">IF($A194="","",SUMIFS(Payments!$I$6:$I$505,Payments!$C$6:$C$505,$A194))</f>
        <v/>
      </c>
      <c r="S194" s="34" t="str">
        <f aca="false">IF($A194="","",IF($T194="Void",0,$P194-$Q194-$R194))</f>
        <v/>
      </c>
      <c r="T194" s="26"/>
      <c r="U194" s="35" t="str">
        <f aca="false">IF($A194="","",IF($T194="Void","Void",IF(OR($T194="",$T194="Draft"),"Draft",IF($T194="Disputed","Disputed",IF($S194&lt;-0.005,"Overpaid",IF($S194&lt;=0.005,"Paid",IF($R194+$Q194&gt;0.005,IF($V194&gt;0,"Part-paid, overdue","Part-paid"),IF($V194&gt;0,"Overdue","Outstanding"))))))))</f>
        <v/>
      </c>
      <c r="V194" s="36" t="str">
        <f aca="true">IF($A194="","",IF(AND(OR($T194="Issued",$T194="Disputed"),$S194&gt;0.005,$K194&lt;&gt;"",$K194&lt;TODAY()),TODAY()-$K194,0))</f>
        <v/>
      </c>
      <c r="W194" s="35" t="str">
        <f aca="false">IF($A194="","",IF(AND(OR($T194="Issued",$T194="Disputed"),$S194&gt;0.005),IF($V194&lt;=0,"Not yet due",IF($V194&lt;=30,"1 to 30 days",IF($V194&lt;=60,"31 to 60 days",IF($V194&lt;=90,"61 to 90 days","Over 90 days")))),""))</f>
        <v/>
      </c>
      <c r="X194" s="26"/>
      <c r="Y194" s="29"/>
      <c r="Z194" s="28"/>
      <c r="AA194" s="28"/>
    </row>
    <row r="195" customFormat="false" ht="15" hidden="false" customHeight="false" outlineLevel="0" collapsed="false">
      <c r="A195" s="26"/>
      <c r="B195" s="26"/>
      <c r="C195" s="27" t="str">
        <f aca="false">IF($B195="","",IFERROR(INDEX(Clients!$B$6:$B$105,MATCH($B195,Clients!$A$6:$A$105,0)),"Client not found"))</f>
        <v/>
      </c>
      <c r="D195" s="26"/>
      <c r="E195" s="26"/>
      <c r="F195" s="26"/>
      <c r="G195" s="26"/>
      <c r="H195" s="28"/>
      <c r="I195" s="29"/>
      <c r="J195" s="30" t="str">
        <f aca="false">IF($A195="","",IFERROR(IF(N(INDEX(Clients!$E$6:$E$105,MATCH($B195,Clients!$A$6:$A$105,0)))&gt;0,INDEX(Clients!$E$6:$E$105,MATCH($B195,Clients!$A$6:$A$105,0)),Dashboard!$B$6),Dashboard!$B$6))</f>
        <v/>
      </c>
      <c r="K195" s="31" t="str">
        <f aca="false">IF(OR($A195="",$I195=""),"",$I195+$J195)</f>
        <v/>
      </c>
      <c r="L195" s="26"/>
      <c r="M195" s="32"/>
      <c r="N195" s="33"/>
      <c r="O195" s="34" t="str">
        <f aca="false">IF($A195="","",N($M195)*N($N195))</f>
        <v/>
      </c>
      <c r="P195" s="34" t="str">
        <f aca="false">IF($A195="","",N($M195)+$O195)</f>
        <v/>
      </c>
      <c r="Q195" s="34" t="str">
        <f aca="false">IF($A195="","",SUMIFS('Credit Notes'!$F$6:$F$205,'Credit Notes'!$B$6:$B$205,$A195,'Credit Notes'!$H$6:$H$205,"Issued"))</f>
        <v/>
      </c>
      <c r="R195" s="34" t="str">
        <f aca="false">IF($A195="","",SUMIFS(Payments!$I$6:$I$505,Payments!$C$6:$C$505,$A195))</f>
        <v/>
      </c>
      <c r="S195" s="34" t="str">
        <f aca="false">IF($A195="","",IF($T195="Void",0,$P195-$Q195-$R195))</f>
        <v/>
      </c>
      <c r="T195" s="26"/>
      <c r="U195" s="35" t="str">
        <f aca="false">IF($A195="","",IF($T195="Void","Void",IF(OR($T195="",$T195="Draft"),"Draft",IF($T195="Disputed","Disputed",IF($S195&lt;-0.005,"Overpaid",IF($S195&lt;=0.005,"Paid",IF($R195+$Q195&gt;0.005,IF($V195&gt;0,"Part-paid, overdue","Part-paid"),IF($V195&gt;0,"Overdue","Outstanding"))))))))</f>
        <v/>
      </c>
      <c r="V195" s="36" t="str">
        <f aca="true">IF($A195="","",IF(AND(OR($T195="Issued",$T195="Disputed"),$S195&gt;0.005,$K195&lt;&gt;"",$K195&lt;TODAY()),TODAY()-$K195,0))</f>
        <v/>
      </c>
      <c r="W195" s="35" t="str">
        <f aca="false">IF($A195="","",IF(AND(OR($T195="Issued",$T195="Disputed"),$S195&gt;0.005),IF($V195&lt;=0,"Not yet due",IF($V195&lt;=30,"1 to 30 days",IF($V195&lt;=60,"31 to 60 days",IF($V195&lt;=90,"61 to 90 days","Over 90 days")))),""))</f>
        <v/>
      </c>
      <c r="X195" s="26"/>
      <c r="Y195" s="29"/>
      <c r="Z195" s="28"/>
      <c r="AA195" s="28"/>
    </row>
    <row r="196" customFormat="false" ht="15" hidden="false" customHeight="false" outlineLevel="0" collapsed="false">
      <c r="A196" s="26"/>
      <c r="B196" s="26"/>
      <c r="C196" s="27" t="str">
        <f aca="false">IF($B196="","",IFERROR(INDEX(Clients!$B$6:$B$105,MATCH($B196,Clients!$A$6:$A$105,0)),"Client not found"))</f>
        <v/>
      </c>
      <c r="D196" s="26"/>
      <c r="E196" s="26"/>
      <c r="F196" s="26"/>
      <c r="G196" s="26"/>
      <c r="H196" s="28"/>
      <c r="I196" s="29"/>
      <c r="J196" s="30" t="str">
        <f aca="false">IF($A196="","",IFERROR(IF(N(INDEX(Clients!$E$6:$E$105,MATCH($B196,Clients!$A$6:$A$105,0)))&gt;0,INDEX(Clients!$E$6:$E$105,MATCH($B196,Clients!$A$6:$A$105,0)),Dashboard!$B$6),Dashboard!$B$6))</f>
        <v/>
      </c>
      <c r="K196" s="31" t="str">
        <f aca="false">IF(OR($A196="",$I196=""),"",$I196+$J196)</f>
        <v/>
      </c>
      <c r="L196" s="26"/>
      <c r="M196" s="32"/>
      <c r="N196" s="33"/>
      <c r="O196" s="34" t="str">
        <f aca="false">IF($A196="","",N($M196)*N($N196))</f>
        <v/>
      </c>
      <c r="P196" s="34" t="str">
        <f aca="false">IF($A196="","",N($M196)+$O196)</f>
        <v/>
      </c>
      <c r="Q196" s="34" t="str">
        <f aca="false">IF($A196="","",SUMIFS('Credit Notes'!$F$6:$F$205,'Credit Notes'!$B$6:$B$205,$A196,'Credit Notes'!$H$6:$H$205,"Issued"))</f>
        <v/>
      </c>
      <c r="R196" s="34" t="str">
        <f aca="false">IF($A196="","",SUMIFS(Payments!$I$6:$I$505,Payments!$C$6:$C$505,$A196))</f>
        <v/>
      </c>
      <c r="S196" s="34" t="str">
        <f aca="false">IF($A196="","",IF($T196="Void",0,$P196-$Q196-$R196))</f>
        <v/>
      </c>
      <c r="T196" s="26"/>
      <c r="U196" s="35" t="str">
        <f aca="false">IF($A196="","",IF($T196="Void","Void",IF(OR($T196="",$T196="Draft"),"Draft",IF($T196="Disputed","Disputed",IF($S196&lt;-0.005,"Overpaid",IF($S196&lt;=0.005,"Paid",IF($R196+$Q196&gt;0.005,IF($V196&gt;0,"Part-paid, overdue","Part-paid"),IF($V196&gt;0,"Overdue","Outstanding"))))))))</f>
        <v/>
      </c>
      <c r="V196" s="36" t="str">
        <f aca="true">IF($A196="","",IF(AND(OR($T196="Issued",$T196="Disputed"),$S196&gt;0.005,$K196&lt;&gt;"",$K196&lt;TODAY()),TODAY()-$K196,0))</f>
        <v/>
      </c>
      <c r="W196" s="35" t="str">
        <f aca="false">IF($A196="","",IF(AND(OR($T196="Issued",$T196="Disputed"),$S196&gt;0.005),IF($V196&lt;=0,"Not yet due",IF($V196&lt;=30,"1 to 30 days",IF($V196&lt;=60,"31 to 60 days",IF($V196&lt;=90,"61 to 90 days","Over 90 days")))),""))</f>
        <v/>
      </c>
      <c r="X196" s="26"/>
      <c r="Y196" s="29"/>
      <c r="Z196" s="28"/>
      <c r="AA196" s="28"/>
    </row>
    <row r="197" customFormat="false" ht="15" hidden="false" customHeight="false" outlineLevel="0" collapsed="false">
      <c r="A197" s="26"/>
      <c r="B197" s="26"/>
      <c r="C197" s="27" t="str">
        <f aca="false">IF($B197="","",IFERROR(INDEX(Clients!$B$6:$B$105,MATCH($B197,Clients!$A$6:$A$105,0)),"Client not found"))</f>
        <v/>
      </c>
      <c r="D197" s="26"/>
      <c r="E197" s="26"/>
      <c r="F197" s="26"/>
      <c r="G197" s="26"/>
      <c r="H197" s="28"/>
      <c r="I197" s="29"/>
      <c r="J197" s="30" t="str">
        <f aca="false">IF($A197="","",IFERROR(IF(N(INDEX(Clients!$E$6:$E$105,MATCH($B197,Clients!$A$6:$A$105,0)))&gt;0,INDEX(Clients!$E$6:$E$105,MATCH($B197,Clients!$A$6:$A$105,0)),Dashboard!$B$6),Dashboard!$B$6))</f>
        <v/>
      </c>
      <c r="K197" s="31" t="str">
        <f aca="false">IF(OR($A197="",$I197=""),"",$I197+$J197)</f>
        <v/>
      </c>
      <c r="L197" s="26"/>
      <c r="M197" s="32"/>
      <c r="N197" s="33"/>
      <c r="O197" s="34" t="str">
        <f aca="false">IF($A197="","",N($M197)*N($N197))</f>
        <v/>
      </c>
      <c r="P197" s="34" t="str">
        <f aca="false">IF($A197="","",N($M197)+$O197)</f>
        <v/>
      </c>
      <c r="Q197" s="34" t="str">
        <f aca="false">IF($A197="","",SUMIFS('Credit Notes'!$F$6:$F$205,'Credit Notes'!$B$6:$B$205,$A197,'Credit Notes'!$H$6:$H$205,"Issued"))</f>
        <v/>
      </c>
      <c r="R197" s="34" t="str">
        <f aca="false">IF($A197="","",SUMIFS(Payments!$I$6:$I$505,Payments!$C$6:$C$505,$A197))</f>
        <v/>
      </c>
      <c r="S197" s="34" t="str">
        <f aca="false">IF($A197="","",IF($T197="Void",0,$P197-$Q197-$R197))</f>
        <v/>
      </c>
      <c r="T197" s="26"/>
      <c r="U197" s="35" t="str">
        <f aca="false">IF($A197="","",IF($T197="Void","Void",IF(OR($T197="",$T197="Draft"),"Draft",IF($T197="Disputed","Disputed",IF($S197&lt;-0.005,"Overpaid",IF($S197&lt;=0.005,"Paid",IF($R197+$Q197&gt;0.005,IF($V197&gt;0,"Part-paid, overdue","Part-paid"),IF($V197&gt;0,"Overdue","Outstanding"))))))))</f>
        <v/>
      </c>
      <c r="V197" s="36" t="str">
        <f aca="true">IF($A197="","",IF(AND(OR($T197="Issued",$T197="Disputed"),$S197&gt;0.005,$K197&lt;&gt;"",$K197&lt;TODAY()),TODAY()-$K197,0))</f>
        <v/>
      </c>
      <c r="W197" s="35" t="str">
        <f aca="false">IF($A197="","",IF(AND(OR($T197="Issued",$T197="Disputed"),$S197&gt;0.005),IF($V197&lt;=0,"Not yet due",IF($V197&lt;=30,"1 to 30 days",IF($V197&lt;=60,"31 to 60 days",IF($V197&lt;=90,"61 to 90 days","Over 90 days")))),""))</f>
        <v/>
      </c>
      <c r="X197" s="26"/>
      <c r="Y197" s="29"/>
      <c r="Z197" s="28"/>
      <c r="AA197" s="28"/>
    </row>
    <row r="198" customFormat="false" ht="15" hidden="false" customHeight="false" outlineLevel="0" collapsed="false">
      <c r="A198" s="26"/>
      <c r="B198" s="26"/>
      <c r="C198" s="27" t="str">
        <f aca="false">IF($B198="","",IFERROR(INDEX(Clients!$B$6:$B$105,MATCH($B198,Clients!$A$6:$A$105,0)),"Client not found"))</f>
        <v/>
      </c>
      <c r="D198" s="26"/>
      <c r="E198" s="26"/>
      <c r="F198" s="26"/>
      <c r="G198" s="26"/>
      <c r="H198" s="28"/>
      <c r="I198" s="29"/>
      <c r="J198" s="30" t="str">
        <f aca="false">IF($A198="","",IFERROR(IF(N(INDEX(Clients!$E$6:$E$105,MATCH($B198,Clients!$A$6:$A$105,0)))&gt;0,INDEX(Clients!$E$6:$E$105,MATCH($B198,Clients!$A$6:$A$105,0)),Dashboard!$B$6),Dashboard!$B$6))</f>
        <v/>
      </c>
      <c r="K198" s="31" t="str">
        <f aca="false">IF(OR($A198="",$I198=""),"",$I198+$J198)</f>
        <v/>
      </c>
      <c r="L198" s="26"/>
      <c r="M198" s="32"/>
      <c r="N198" s="33"/>
      <c r="O198" s="34" t="str">
        <f aca="false">IF($A198="","",N($M198)*N($N198))</f>
        <v/>
      </c>
      <c r="P198" s="34" t="str">
        <f aca="false">IF($A198="","",N($M198)+$O198)</f>
        <v/>
      </c>
      <c r="Q198" s="34" t="str">
        <f aca="false">IF($A198="","",SUMIFS('Credit Notes'!$F$6:$F$205,'Credit Notes'!$B$6:$B$205,$A198,'Credit Notes'!$H$6:$H$205,"Issued"))</f>
        <v/>
      </c>
      <c r="R198" s="34" t="str">
        <f aca="false">IF($A198="","",SUMIFS(Payments!$I$6:$I$505,Payments!$C$6:$C$505,$A198))</f>
        <v/>
      </c>
      <c r="S198" s="34" t="str">
        <f aca="false">IF($A198="","",IF($T198="Void",0,$P198-$Q198-$R198))</f>
        <v/>
      </c>
      <c r="T198" s="26"/>
      <c r="U198" s="35" t="str">
        <f aca="false">IF($A198="","",IF($T198="Void","Void",IF(OR($T198="",$T198="Draft"),"Draft",IF($T198="Disputed","Disputed",IF($S198&lt;-0.005,"Overpaid",IF($S198&lt;=0.005,"Paid",IF($R198+$Q198&gt;0.005,IF($V198&gt;0,"Part-paid, overdue","Part-paid"),IF($V198&gt;0,"Overdue","Outstanding"))))))))</f>
        <v/>
      </c>
      <c r="V198" s="36" t="str">
        <f aca="true">IF($A198="","",IF(AND(OR($T198="Issued",$T198="Disputed"),$S198&gt;0.005,$K198&lt;&gt;"",$K198&lt;TODAY()),TODAY()-$K198,0))</f>
        <v/>
      </c>
      <c r="W198" s="35" t="str">
        <f aca="false">IF($A198="","",IF(AND(OR($T198="Issued",$T198="Disputed"),$S198&gt;0.005),IF($V198&lt;=0,"Not yet due",IF($V198&lt;=30,"1 to 30 days",IF($V198&lt;=60,"31 to 60 days",IF($V198&lt;=90,"61 to 90 days","Over 90 days")))),""))</f>
        <v/>
      </c>
      <c r="X198" s="26"/>
      <c r="Y198" s="29"/>
      <c r="Z198" s="28"/>
      <c r="AA198" s="28"/>
    </row>
    <row r="199" customFormat="false" ht="15" hidden="false" customHeight="false" outlineLevel="0" collapsed="false">
      <c r="A199" s="26"/>
      <c r="B199" s="26"/>
      <c r="C199" s="27" t="str">
        <f aca="false">IF($B199="","",IFERROR(INDEX(Clients!$B$6:$B$105,MATCH($B199,Clients!$A$6:$A$105,0)),"Client not found"))</f>
        <v/>
      </c>
      <c r="D199" s="26"/>
      <c r="E199" s="26"/>
      <c r="F199" s="26"/>
      <c r="G199" s="26"/>
      <c r="H199" s="28"/>
      <c r="I199" s="29"/>
      <c r="J199" s="30" t="str">
        <f aca="false">IF($A199="","",IFERROR(IF(N(INDEX(Clients!$E$6:$E$105,MATCH($B199,Clients!$A$6:$A$105,0)))&gt;0,INDEX(Clients!$E$6:$E$105,MATCH($B199,Clients!$A$6:$A$105,0)),Dashboard!$B$6),Dashboard!$B$6))</f>
        <v/>
      </c>
      <c r="K199" s="31" t="str">
        <f aca="false">IF(OR($A199="",$I199=""),"",$I199+$J199)</f>
        <v/>
      </c>
      <c r="L199" s="26"/>
      <c r="M199" s="32"/>
      <c r="N199" s="33"/>
      <c r="O199" s="34" t="str">
        <f aca="false">IF($A199="","",N($M199)*N($N199))</f>
        <v/>
      </c>
      <c r="P199" s="34" t="str">
        <f aca="false">IF($A199="","",N($M199)+$O199)</f>
        <v/>
      </c>
      <c r="Q199" s="34" t="str">
        <f aca="false">IF($A199="","",SUMIFS('Credit Notes'!$F$6:$F$205,'Credit Notes'!$B$6:$B$205,$A199,'Credit Notes'!$H$6:$H$205,"Issued"))</f>
        <v/>
      </c>
      <c r="R199" s="34" t="str">
        <f aca="false">IF($A199="","",SUMIFS(Payments!$I$6:$I$505,Payments!$C$6:$C$505,$A199))</f>
        <v/>
      </c>
      <c r="S199" s="34" t="str">
        <f aca="false">IF($A199="","",IF($T199="Void",0,$P199-$Q199-$R199))</f>
        <v/>
      </c>
      <c r="T199" s="26"/>
      <c r="U199" s="35" t="str">
        <f aca="false">IF($A199="","",IF($T199="Void","Void",IF(OR($T199="",$T199="Draft"),"Draft",IF($T199="Disputed","Disputed",IF($S199&lt;-0.005,"Overpaid",IF($S199&lt;=0.005,"Paid",IF($R199+$Q199&gt;0.005,IF($V199&gt;0,"Part-paid, overdue","Part-paid"),IF($V199&gt;0,"Overdue","Outstanding"))))))))</f>
        <v/>
      </c>
      <c r="V199" s="36" t="str">
        <f aca="true">IF($A199="","",IF(AND(OR($T199="Issued",$T199="Disputed"),$S199&gt;0.005,$K199&lt;&gt;"",$K199&lt;TODAY()),TODAY()-$K199,0))</f>
        <v/>
      </c>
      <c r="W199" s="35" t="str">
        <f aca="false">IF($A199="","",IF(AND(OR($T199="Issued",$T199="Disputed"),$S199&gt;0.005),IF($V199&lt;=0,"Not yet due",IF($V199&lt;=30,"1 to 30 days",IF($V199&lt;=60,"31 to 60 days",IF($V199&lt;=90,"61 to 90 days","Over 90 days")))),""))</f>
        <v/>
      </c>
      <c r="X199" s="26"/>
      <c r="Y199" s="29"/>
      <c r="Z199" s="28"/>
      <c r="AA199" s="28"/>
    </row>
    <row r="200" customFormat="false" ht="15" hidden="false" customHeight="false" outlineLevel="0" collapsed="false">
      <c r="A200" s="26"/>
      <c r="B200" s="26"/>
      <c r="C200" s="27" t="str">
        <f aca="false">IF($B200="","",IFERROR(INDEX(Clients!$B$6:$B$105,MATCH($B200,Clients!$A$6:$A$105,0)),"Client not found"))</f>
        <v/>
      </c>
      <c r="D200" s="26"/>
      <c r="E200" s="26"/>
      <c r="F200" s="26"/>
      <c r="G200" s="26"/>
      <c r="H200" s="28"/>
      <c r="I200" s="29"/>
      <c r="J200" s="30" t="str">
        <f aca="false">IF($A200="","",IFERROR(IF(N(INDEX(Clients!$E$6:$E$105,MATCH($B200,Clients!$A$6:$A$105,0)))&gt;0,INDEX(Clients!$E$6:$E$105,MATCH($B200,Clients!$A$6:$A$105,0)),Dashboard!$B$6),Dashboard!$B$6))</f>
        <v/>
      </c>
      <c r="K200" s="31" t="str">
        <f aca="false">IF(OR($A200="",$I200=""),"",$I200+$J200)</f>
        <v/>
      </c>
      <c r="L200" s="26"/>
      <c r="M200" s="32"/>
      <c r="N200" s="33"/>
      <c r="O200" s="34" t="str">
        <f aca="false">IF($A200="","",N($M200)*N($N200))</f>
        <v/>
      </c>
      <c r="P200" s="34" t="str">
        <f aca="false">IF($A200="","",N($M200)+$O200)</f>
        <v/>
      </c>
      <c r="Q200" s="34" t="str">
        <f aca="false">IF($A200="","",SUMIFS('Credit Notes'!$F$6:$F$205,'Credit Notes'!$B$6:$B$205,$A200,'Credit Notes'!$H$6:$H$205,"Issued"))</f>
        <v/>
      </c>
      <c r="R200" s="34" t="str">
        <f aca="false">IF($A200="","",SUMIFS(Payments!$I$6:$I$505,Payments!$C$6:$C$505,$A200))</f>
        <v/>
      </c>
      <c r="S200" s="34" t="str">
        <f aca="false">IF($A200="","",IF($T200="Void",0,$P200-$Q200-$R200))</f>
        <v/>
      </c>
      <c r="T200" s="26"/>
      <c r="U200" s="35" t="str">
        <f aca="false">IF($A200="","",IF($T200="Void","Void",IF(OR($T200="",$T200="Draft"),"Draft",IF($T200="Disputed","Disputed",IF($S200&lt;-0.005,"Overpaid",IF($S200&lt;=0.005,"Paid",IF($R200+$Q200&gt;0.005,IF($V200&gt;0,"Part-paid, overdue","Part-paid"),IF($V200&gt;0,"Overdue","Outstanding"))))))))</f>
        <v/>
      </c>
      <c r="V200" s="36" t="str">
        <f aca="true">IF($A200="","",IF(AND(OR($T200="Issued",$T200="Disputed"),$S200&gt;0.005,$K200&lt;&gt;"",$K200&lt;TODAY()),TODAY()-$K200,0))</f>
        <v/>
      </c>
      <c r="W200" s="35" t="str">
        <f aca="false">IF($A200="","",IF(AND(OR($T200="Issued",$T200="Disputed"),$S200&gt;0.005),IF($V200&lt;=0,"Not yet due",IF($V200&lt;=30,"1 to 30 days",IF($V200&lt;=60,"31 to 60 days",IF($V200&lt;=90,"61 to 90 days","Over 90 days")))),""))</f>
        <v/>
      </c>
      <c r="X200" s="26"/>
      <c r="Y200" s="29"/>
      <c r="Z200" s="28"/>
      <c r="AA200" s="28"/>
    </row>
    <row r="201" customFormat="false" ht="15" hidden="false" customHeight="false" outlineLevel="0" collapsed="false">
      <c r="A201" s="26"/>
      <c r="B201" s="26"/>
      <c r="C201" s="27" t="str">
        <f aca="false">IF($B201="","",IFERROR(INDEX(Clients!$B$6:$B$105,MATCH($B201,Clients!$A$6:$A$105,0)),"Client not found"))</f>
        <v/>
      </c>
      <c r="D201" s="26"/>
      <c r="E201" s="26"/>
      <c r="F201" s="26"/>
      <c r="G201" s="26"/>
      <c r="H201" s="28"/>
      <c r="I201" s="29"/>
      <c r="J201" s="30" t="str">
        <f aca="false">IF($A201="","",IFERROR(IF(N(INDEX(Clients!$E$6:$E$105,MATCH($B201,Clients!$A$6:$A$105,0)))&gt;0,INDEX(Clients!$E$6:$E$105,MATCH($B201,Clients!$A$6:$A$105,0)),Dashboard!$B$6),Dashboard!$B$6))</f>
        <v/>
      </c>
      <c r="K201" s="31" t="str">
        <f aca="false">IF(OR($A201="",$I201=""),"",$I201+$J201)</f>
        <v/>
      </c>
      <c r="L201" s="26"/>
      <c r="M201" s="32"/>
      <c r="N201" s="33"/>
      <c r="O201" s="34" t="str">
        <f aca="false">IF($A201="","",N($M201)*N($N201))</f>
        <v/>
      </c>
      <c r="P201" s="34" t="str">
        <f aca="false">IF($A201="","",N($M201)+$O201)</f>
        <v/>
      </c>
      <c r="Q201" s="34" t="str">
        <f aca="false">IF($A201="","",SUMIFS('Credit Notes'!$F$6:$F$205,'Credit Notes'!$B$6:$B$205,$A201,'Credit Notes'!$H$6:$H$205,"Issued"))</f>
        <v/>
      </c>
      <c r="R201" s="34" t="str">
        <f aca="false">IF($A201="","",SUMIFS(Payments!$I$6:$I$505,Payments!$C$6:$C$505,$A201))</f>
        <v/>
      </c>
      <c r="S201" s="34" t="str">
        <f aca="false">IF($A201="","",IF($T201="Void",0,$P201-$Q201-$R201))</f>
        <v/>
      </c>
      <c r="T201" s="26"/>
      <c r="U201" s="35" t="str">
        <f aca="false">IF($A201="","",IF($T201="Void","Void",IF(OR($T201="",$T201="Draft"),"Draft",IF($T201="Disputed","Disputed",IF($S201&lt;-0.005,"Overpaid",IF($S201&lt;=0.005,"Paid",IF($R201+$Q201&gt;0.005,IF($V201&gt;0,"Part-paid, overdue","Part-paid"),IF($V201&gt;0,"Overdue","Outstanding"))))))))</f>
        <v/>
      </c>
      <c r="V201" s="36" t="str">
        <f aca="true">IF($A201="","",IF(AND(OR($T201="Issued",$T201="Disputed"),$S201&gt;0.005,$K201&lt;&gt;"",$K201&lt;TODAY()),TODAY()-$K201,0))</f>
        <v/>
      </c>
      <c r="W201" s="35" t="str">
        <f aca="false">IF($A201="","",IF(AND(OR($T201="Issued",$T201="Disputed"),$S201&gt;0.005),IF($V201&lt;=0,"Not yet due",IF($V201&lt;=30,"1 to 30 days",IF($V201&lt;=60,"31 to 60 days",IF($V201&lt;=90,"61 to 90 days","Over 90 days")))),""))</f>
        <v/>
      </c>
      <c r="X201" s="26"/>
      <c r="Y201" s="29"/>
      <c r="Z201" s="28"/>
      <c r="AA201" s="28"/>
    </row>
    <row r="202" customFormat="false" ht="15" hidden="false" customHeight="false" outlineLevel="0" collapsed="false">
      <c r="A202" s="26"/>
      <c r="B202" s="26"/>
      <c r="C202" s="27" t="str">
        <f aca="false">IF($B202="","",IFERROR(INDEX(Clients!$B$6:$B$105,MATCH($B202,Clients!$A$6:$A$105,0)),"Client not found"))</f>
        <v/>
      </c>
      <c r="D202" s="26"/>
      <c r="E202" s="26"/>
      <c r="F202" s="26"/>
      <c r="G202" s="26"/>
      <c r="H202" s="28"/>
      <c r="I202" s="29"/>
      <c r="J202" s="30" t="str">
        <f aca="false">IF($A202="","",IFERROR(IF(N(INDEX(Clients!$E$6:$E$105,MATCH($B202,Clients!$A$6:$A$105,0)))&gt;0,INDEX(Clients!$E$6:$E$105,MATCH($B202,Clients!$A$6:$A$105,0)),Dashboard!$B$6),Dashboard!$B$6))</f>
        <v/>
      </c>
      <c r="K202" s="31" t="str">
        <f aca="false">IF(OR($A202="",$I202=""),"",$I202+$J202)</f>
        <v/>
      </c>
      <c r="L202" s="26"/>
      <c r="M202" s="32"/>
      <c r="N202" s="33"/>
      <c r="O202" s="34" t="str">
        <f aca="false">IF($A202="","",N($M202)*N($N202))</f>
        <v/>
      </c>
      <c r="P202" s="34" t="str">
        <f aca="false">IF($A202="","",N($M202)+$O202)</f>
        <v/>
      </c>
      <c r="Q202" s="34" t="str">
        <f aca="false">IF($A202="","",SUMIFS('Credit Notes'!$F$6:$F$205,'Credit Notes'!$B$6:$B$205,$A202,'Credit Notes'!$H$6:$H$205,"Issued"))</f>
        <v/>
      </c>
      <c r="R202" s="34" t="str">
        <f aca="false">IF($A202="","",SUMIFS(Payments!$I$6:$I$505,Payments!$C$6:$C$505,$A202))</f>
        <v/>
      </c>
      <c r="S202" s="34" t="str">
        <f aca="false">IF($A202="","",IF($T202="Void",0,$P202-$Q202-$R202))</f>
        <v/>
      </c>
      <c r="T202" s="26"/>
      <c r="U202" s="35" t="str">
        <f aca="false">IF($A202="","",IF($T202="Void","Void",IF(OR($T202="",$T202="Draft"),"Draft",IF($T202="Disputed","Disputed",IF($S202&lt;-0.005,"Overpaid",IF($S202&lt;=0.005,"Paid",IF($R202+$Q202&gt;0.005,IF($V202&gt;0,"Part-paid, overdue","Part-paid"),IF($V202&gt;0,"Overdue","Outstanding"))))))))</f>
        <v/>
      </c>
      <c r="V202" s="36" t="str">
        <f aca="true">IF($A202="","",IF(AND(OR($T202="Issued",$T202="Disputed"),$S202&gt;0.005,$K202&lt;&gt;"",$K202&lt;TODAY()),TODAY()-$K202,0))</f>
        <v/>
      </c>
      <c r="W202" s="35" t="str">
        <f aca="false">IF($A202="","",IF(AND(OR($T202="Issued",$T202="Disputed"),$S202&gt;0.005),IF($V202&lt;=0,"Not yet due",IF($V202&lt;=30,"1 to 30 days",IF($V202&lt;=60,"31 to 60 days",IF($V202&lt;=90,"61 to 90 days","Over 90 days")))),""))</f>
        <v/>
      </c>
      <c r="X202" s="26"/>
      <c r="Y202" s="29"/>
      <c r="Z202" s="28"/>
      <c r="AA202" s="28"/>
    </row>
    <row r="203" customFormat="false" ht="15" hidden="false" customHeight="false" outlineLevel="0" collapsed="false">
      <c r="A203" s="26"/>
      <c r="B203" s="26"/>
      <c r="C203" s="27" t="str">
        <f aca="false">IF($B203="","",IFERROR(INDEX(Clients!$B$6:$B$105,MATCH($B203,Clients!$A$6:$A$105,0)),"Client not found"))</f>
        <v/>
      </c>
      <c r="D203" s="26"/>
      <c r="E203" s="26"/>
      <c r="F203" s="26"/>
      <c r="G203" s="26"/>
      <c r="H203" s="28"/>
      <c r="I203" s="29"/>
      <c r="J203" s="30" t="str">
        <f aca="false">IF($A203="","",IFERROR(IF(N(INDEX(Clients!$E$6:$E$105,MATCH($B203,Clients!$A$6:$A$105,0)))&gt;0,INDEX(Clients!$E$6:$E$105,MATCH($B203,Clients!$A$6:$A$105,0)),Dashboard!$B$6),Dashboard!$B$6))</f>
        <v/>
      </c>
      <c r="K203" s="31" t="str">
        <f aca="false">IF(OR($A203="",$I203=""),"",$I203+$J203)</f>
        <v/>
      </c>
      <c r="L203" s="26"/>
      <c r="M203" s="32"/>
      <c r="N203" s="33"/>
      <c r="O203" s="34" t="str">
        <f aca="false">IF($A203="","",N($M203)*N($N203))</f>
        <v/>
      </c>
      <c r="P203" s="34" t="str">
        <f aca="false">IF($A203="","",N($M203)+$O203)</f>
        <v/>
      </c>
      <c r="Q203" s="34" t="str">
        <f aca="false">IF($A203="","",SUMIFS('Credit Notes'!$F$6:$F$205,'Credit Notes'!$B$6:$B$205,$A203,'Credit Notes'!$H$6:$H$205,"Issued"))</f>
        <v/>
      </c>
      <c r="R203" s="34" t="str">
        <f aca="false">IF($A203="","",SUMIFS(Payments!$I$6:$I$505,Payments!$C$6:$C$505,$A203))</f>
        <v/>
      </c>
      <c r="S203" s="34" t="str">
        <f aca="false">IF($A203="","",IF($T203="Void",0,$P203-$Q203-$R203))</f>
        <v/>
      </c>
      <c r="T203" s="26"/>
      <c r="U203" s="35" t="str">
        <f aca="false">IF($A203="","",IF($T203="Void","Void",IF(OR($T203="",$T203="Draft"),"Draft",IF($T203="Disputed","Disputed",IF($S203&lt;-0.005,"Overpaid",IF($S203&lt;=0.005,"Paid",IF($R203+$Q203&gt;0.005,IF($V203&gt;0,"Part-paid, overdue","Part-paid"),IF($V203&gt;0,"Overdue","Outstanding"))))))))</f>
        <v/>
      </c>
      <c r="V203" s="36" t="str">
        <f aca="true">IF($A203="","",IF(AND(OR($T203="Issued",$T203="Disputed"),$S203&gt;0.005,$K203&lt;&gt;"",$K203&lt;TODAY()),TODAY()-$K203,0))</f>
        <v/>
      </c>
      <c r="W203" s="35" t="str">
        <f aca="false">IF($A203="","",IF(AND(OR($T203="Issued",$T203="Disputed"),$S203&gt;0.005),IF($V203&lt;=0,"Not yet due",IF($V203&lt;=30,"1 to 30 days",IF($V203&lt;=60,"31 to 60 days",IF($V203&lt;=90,"61 to 90 days","Over 90 days")))),""))</f>
        <v/>
      </c>
      <c r="X203" s="26"/>
      <c r="Y203" s="29"/>
      <c r="Z203" s="28"/>
      <c r="AA203" s="28"/>
    </row>
    <row r="204" customFormat="false" ht="15" hidden="false" customHeight="false" outlineLevel="0" collapsed="false">
      <c r="A204" s="26"/>
      <c r="B204" s="26"/>
      <c r="C204" s="27" t="str">
        <f aca="false">IF($B204="","",IFERROR(INDEX(Clients!$B$6:$B$105,MATCH($B204,Clients!$A$6:$A$105,0)),"Client not found"))</f>
        <v/>
      </c>
      <c r="D204" s="26"/>
      <c r="E204" s="26"/>
      <c r="F204" s="26"/>
      <c r="G204" s="26"/>
      <c r="H204" s="28"/>
      <c r="I204" s="29"/>
      <c r="J204" s="30" t="str">
        <f aca="false">IF($A204="","",IFERROR(IF(N(INDEX(Clients!$E$6:$E$105,MATCH($B204,Clients!$A$6:$A$105,0)))&gt;0,INDEX(Clients!$E$6:$E$105,MATCH($B204,Clients!$A$6:$A$105,0)),Dashboard!$B$6),Dashboard!$B$6))</f>
        <v/>
      </c>
      <c r="K204" s="31" t="str">
        <f aca="false">IF(OR($A204="",$I204=""),"",$I204+$J204)</f>
        <v/>
      </c>
      <c r="L204" s="26"/>
      <c r="M204" s="32"/>
      <c r="N204" s="33"/>
      <c r="O204" s="34" t="str">
        <f aca="false">IF($A204="","",N($M204)*N($N204))</f>
        <v/>
      </c>
      <c r="P204" s="34" t="str">
        <f aca="false">IF($A204="","",N($M204)+$O204)</f>
        <v/>
      </c>
      <c r="Q204" s="34" t="str">
        <f aca="false">IF($A204="","",SUMIFS('Credit Notes'!$F$6:$F$205,'Credit Notes'!$B$6:$B$205,$A204,'Credit Notes'!$H$6:$H$205,"Issued"))</f>
        <v/>
      </c>
      <c r="R204" s="34" t="str">
        <f aca="false">IF($A204="","",SUMIFS(Payments!$I$6:$I$505,Payments!$C$6:$C$505,$A204))</f>
        <v/>
      </c>
      <c r="S204" s="34" t="str">
        <f aca="false">IF($A204="","",IF($T204="Void",0,$P204-$Q204-$R204))</f>
        <v/>
      </c>
      <c r="T204" s="26"/>
      <c r="U204" s="35" t="str">
        <f aca="false">IF($A204="","",IF($T204="Void","Void",IF(OR($T204="",$T204="Draft"),"Draft",IF($T204="Disputed","Disputed",IF($S204&lt;-0.005,"Overpaid",IF($S204&lt;=0.005,"Paid",IF($R204+$Q204&gt;0.005,IF($V204&gt;0,"Part-paid, overdue","Part-paid"),IF($V204&gt;0,"Overdue","Outstanding"))))))))</f>
        <v/>
      </c>
      <c r="V204" s="36" t="str">
        <f aca="true">IF($A204="","",IF(AND(OR($T204="Issued",$T204="Disputed"),$S204&gt;0.005,$K204&lt;&gt;"",$K204&lt;TODAY()),TODAY()-$K204,0))</f>
        <v/>
      </c>
      <c r="W204" s="35" t="str">
        <f aca="false">IF($A204="","",IF(AND(OR($T204="Issued",$T204="Disputed"),$S204&gt;0.005),IF($V204&lt;=0,"Not yet due",IF($V204&lt;=30,"1 to 30 days",IF($V204&lt;=60,"31 to 60 days",IF($V204&lt;=90,"61 to 90 days","Over 90 days")))),""))</f>
        <v/>
      </c>
      <c r="X204" s="26"/>
      <c r="Y204" s="29"/>
      <c r="Z204" s="28"/>
      <c r="AA204" s="28"/>
    </row>
    <row r="205" customFormat="false" ht="15" hidden="false" customHeight="false" outlineLevel="0" collapsed="false">
      <c r="A205" s="26"/>
      <c r="B205" s="26"/>
      <c r="C205" s="27" t="str">
        <f aca="false">IF($B205="","",IFERROR(INDEX(Clients!$B$6:$B$105,MATCH($B205,Clients!$A$6:$A$105,0)),"Client not found"))</f>
        <v/>
      </c>
      <c r="D205" s="26"/>
      <c r="E205" s="26"/>
      <c r="F205" s="26"/>
      <c r="G205" s="26"/>
      <c r="H205" s="28"/>
      <c r="I205" s="29"/>
      <c r="J205" s="30" t="str">
        <f aca="false">IF($A205="","",IFERROR(IF(N(INDEX(Clients!$E$6:$E$105,MATCH($B205,Clients!$A$6:$A$105,0)))&gt;0,INDEX(Clients!$E$6:$E$105,MATCH($B205,Clients!$A$6:$A$105,0)),Dashboard!$B$6),Dashboard!$B$6))</f>
        <v/>
      </c>
      <c r="K205" s="31" t="str">
        <f aca="false">IF(OR($A205="",$I205=""),"",$I205+$J205)</f>
        <v/>
      </c>
      <c r="L205" s="26"/>
      <c r="M205" s="32"/>
      <c r="N205" s="33"/>
      <c r="O205" s="34" t="str">
        <f aca="false">IF($A205="","",N($M205)*N($N205))</f>
        <v/>
      </c>
      <c r="P205" s="34" t="str">
        <f aca="false">IF($A205="","",N($M205)+$O205)</f>
        <v/>
      </c>
      <c r="Q205" s="34" t="str">
        <f aca="false">IF($A205="","",SUMIFS('Credit Notes'!$F$6:$F$205,'Credit Notes'!$B$6:$B$205,$A205,'Credit Notes'!$H$6:$H$205,"Issued"))</f>
        <v/>
      </c>
      <c r="R205" s="34" t="str">
        <f aca="false">IF($A205="","",SUMIFS(Payments!$I$6:$I$505,Payments!$C$6:$C$505,$A205))</f>
        <v/>
      </c>
      <c r="S205" s="34" t="str">
        <f aca="false">IF($A205="","",IF($T205="Void",0,$P205-$Q205-$R205))</f>
        <v/>
      </c>
      <c r="T205" s="26"/>
      <c r="U205" s="35" t="str">
        <f aca="false">IF($A205="","",IF($T205="Void","Void",IF(OR($T205="",$T205="Draft"),"Draft",IF($T205="Disputed","Disputed",IF($S205&lt;-0.005,"Overpaid",IF($S205&lt;=0.005,"Paid",IF($R205+$Q205&gt;0.005,IF($V205&gt;0,"Part-paid, overdue","Part-paid"),IF($V205&gt;0,"Overdue","Outstanding"))))))))</f>
        <v/>
      </c>
      <c r="V205" s="36" t="str">
        <f aca="true">IF($A205="","",IF(AND(OR($T205="Issued",$T205="Disputed"),$S205&gt;0.005,$K205&lt;&gt;"",$K205&lt;TODAY()),TODAY()-$K205,0))</f>
        <v/>
      </c>
      <c r="W205" s="35" t="str">
        <f aca="false">IF($A205="","",IF(AND(OR($T205="Issued",$T205="Disputed"),$S205&gt;0.005),IF($V205&lt;=0,"Not yet due",IF($V205&lt;=30,"1 to 30 days",IF($V205&lt;=60,"31 to 60 days",IF($V205&lt;=90,"61 to 90 days","Over 90 days")))),""))</f>
        <v/>
      </c>
      <c r="X205" s="26"/>
      <c r="Y205" s="29"/>
      <c r="Z205" s="28"/>
      <c r="AA205" s="28"/>
    </row>
    <row r="206" customFormat="false" ht="15" hidden="false" customHeight="false" outlineLevel="0" collapsed="false">
      <c r="A206" s="26"/>
      <c r="B206" s="26"/>
      <c r="C206" s="27" t="str">
        <f aca="false">IF($B206="","",IFERROR(INDEX(Clients!$B$6:$B$105,MATCH($B206,Clients!$A$6:$A$105,0)),"Client not found"))</f>
        <v/>
      </c>
      <c r="D206" s="26"/>
      <c r="E206" s="26"/>
      <c r="F206" s="26"/>
      <c r="G206" s="26"/>
      <c r="H206" s="28"/>
      <c r="I206" s="29"/>
      <c r="J206" s="30" t="str">
        <f aca="false">IF($A206="","",IFERROR(IF(N(INDEX(Clients!$E$6:$E$105,MATCH($B206,Clients!$A$6:$A$105,0)))&gt;0,INDEX(Clients!$E$6:$E$105,MATCH($B206,Clients!$A$6:$A$105,0)),Dashboard!$B$6),Dashboard!$B$6))</f>
        <v/>
      </c>
      <c r="K206" s="31" t="str">
        <f aca="false">IF(OR($A206="",$I206=""),"",$I206+$J206)</f>
        <v/>
      </c>
      <c r="L206" s="26"/>
      <c r="M206" s="32"/>
      <c r="N206" s="33"/>
      <c r="O206" s="34" t="str">
        <f aca="false">IF($A206="","",N($M206)*N($N206))</f>
        <v/>
      </c>
      <c r="P206" s="34" t="str">
        <f aca="false">IF($A206="","",N($M206)+$O206)</f>
        <v/>
      </c>
      <c r="Q206" s="34" t="str">
        <f aca="false">IF($A206="","",SUMIFS('Credit Notes'!$F$6:$F$205,'Credit Notes'!$B$6:$B$205,$A206,'Credit Notes'!$H$6:$H$205,"Issued"))</f>
        <v/>
      </c>
      <c r="R206" s="34" t="str">
        <f aca="false">IF($A206="","",SUMIFS(Payments!$I$6:$I$505,Payments!$C$6:$C$505,$A206))</f>
        <v/>
      </c>
      <c r="S206" s="34" t="str">
        <f aca="false">IF($A206="","",IF($T206="Void",0,$P206-$Q206-$R206))</f>
        <v/>
      </c>
      <c r="T206" s="26"/>
      <c r="U206" s="35" t="str">
        <f aca="false">IF($A206="","",IF($T206="Void","Void",IF(OR($T206="",$T206="Draft"),"Draft",IF($T206="Disputed","Disputed",IF($S206&lt;-0.005,"Overpaid",IF($S206&lt;=0.005,"Paid",IF($R206+$Q206&gt;0.005,IF($V206&gt;0,"Part-paid, overdue","Part-paid"),IF($V206&gt;0,"Overdue","Outstanding"))))))))</f>
        <v/>
      </c>
      <c r="V206" s="36" t="str">
        <f aca="true">IF($A206="","",IF(AND(OR($T206="Issued",$T206="Disputed"),$S206&gt;0.005,$K206&lt;&gt;"",$K206&lt;TODAY()),TODAY()-$K206,0))</f>
        <v/>
      </c>
      <c r="W206" s="35" t="str">
        <f aca="false">IF($A206="","",IF(AND(OR($T206="Issued",$T206="Disputed"),$S206&gt;0.005),IF($V206&lt;=0,"Not yet due",IF($V206&lt;=30,"1 to 30 days",IF($V206&lt;=60,"31 to 60 days",IF($V206&lt;=90,"61 to 90 days","Over 90 days")))),""))</f>
        <v/>
      </c>
      <c r="X206" s="26"/>
      <c r="Y206" s="29"/>
      <c r="Z206" s="28"/>
      <c r="AA206" s="28"/>
    </row>
    <row r="207" customFormat="false" ht="15" hidden="false" customHeight="false" outlineLevel="0" collapsed="false">
      <c r="A207" s="26"/>
      <c r="B207" s="26"/>
      <c r="C207" s="27" t="str">
        <f aca="false">IF($B207="","",IFERROR(INDEX(Clients!$B$6:$B$105,MATCH($B207,Clients!$A$6:$A$105,0)),"Client not found"))</f>
        <v/>
      </c>
      <c r="D207" s="26"/>
      <c r="E207" s="26"/>
      <c r="F207" s="26"/>
      <c r="G207" s="26"/>
      <c r="H207" s="28"/>
      <c r="I207" s="29"/>
      <c r="J207" s="30" t="str">
        <f aca="false">IF($A207="","",IFERROR(IF(N(INDEX(Clients!$E$6:$E$105,MATCH($B207,Clients!$A$6:$A$105,0)))&gt;0,INDEX(Clients!$E$6:$E$105,MATCH($B207,Clients!$A$6:$A$105,0)),Dashboard!$B$6),Dashboard!$B$6))</f>
        <v/>
      </c>
      <c r="K207" s="31" t="str">
        <f aca="false">IF(OR($A207="",$I207=""),"",$I207+$J207)</f>
        <v/>
      </c>
      <c r="L207" s="26"/>
      <c r="M207" s="32"/>
      <c r="N207" s="33"/>
      <c r="O207" s="34" t="str">
        <f aca="false">IF($A207="","",N($M207)*N($N207))</f>
        <v/>
      </c>
      <c r="P207" s="34" t="str">
        <f aca="false">IF($A207="","",N($M207)+$O207)</f>
        <v/>
      </c>
      <c r="Q207" s="34" t="str">
        <f aca="false">IF($A207="","",SUMIFS('Credit Notes'!$F$6:$F$205,'Credit Notes'!$B$6:$B$205,$A207,'Credit Notes'!$H$6:$H$205,"Issued"))</f>
        <v/>
      </c>
      <c r="R207" s="34" t="str">
        <f aca="false">IF($A207="","",SUMIFS(Payments!$I$6:$I$505,Payments!$C$6:$C$505,$A207))</f>
        <v/>
      </c>
      <c r="S207" s="34" t="str">
        <f aca="false">IF($A207="","",IF($T207="Void",0,$P207-$Q207-$R207))</f>
        <v/>
      </c>
      <c r="T207" s="26"/>
      <c r="U207" s="35" t="str">
        <f aca="false">IF($A207="","",IF($T207="Void","Void",IF(OR($T207="",$T207="Draft"),"Draft",IF($T207="Disputed","Disputed",IF($S207&lt;-0.005,"Overpaid",IF($S207&lt;=0.005,"Paid",IF($R207+$Q207&gt;0.005,IF($V207&gt;0,"Part-paid, overdue","Part-paid"),IF($V207&gt;0,"Overdue","Outstanding"))))))))</f>
        <v/>
      </c>
      <c r="V207" s="36" t="str">
        <f aca="true">IF($A207="","",IF(AND(OR($T207="Issued",$T207="Disputed"),$S207&gt;0.005,$K207&lt;&gt;"",$K207&lt;TODAY()),TODAY()-$K207,0))</f>
        <v/>
      </c>
      <c r="W207" s="35" t="str">
        <f aca="false">IF($A207="","",IF(AND(OR($T207="Issued",$T207="Disputed"),$S207&gt;0.005),IF($V207&lt;=0,"Not yet due",IF($V207&lt;=30,"1 to 30 days",IF($V207&lt;=60,"31 to 60 days",IF($V207&lt;=90,"61 to 90 days","Over 90 days")))),""))</f>
        <v/>
      </c>
      <c r="X207" s="26"/>
      <c r="Y207" s="29"/>
      <c r="Z207" s="28"/>
      <c r="AA207" s="28"/>
    </row>
    <row r="208" customFormat="false" ht="15" hidden="false" customHeight="false" outlineLevel="0" collapsed="false">
      <c r="A208" s="26"/>
      <c r="B208" s="26"/>
      <c r="C208" s="27" t="str">
        <f aca="false">IF($B208="","",IFERROR(INDEX(Clients!$B$6:$B$105,MATCH($B208,Clients!$A$6:$A$105,0)),"Client not found"))</f>
        <v/>
      </c>
      <c r="D208" s="26"/>
      <c r="E208" s="26"/>
      <c r="F208" s="26"/>
      <c r="G208" s="26"/>
      <c r="H208" s="28"/>
      <c r="I208" s="29"/>
      <c r="J208" s="30" t="str">
        <f aca="false">IF($A208="","",IFERROR(IF(N(INDEX(Clients!$E$6:$E$105,MATCH($B208,Clients!$A$6:$A$105,0)))&gt;0,INDEX(Clients!$E$6:$E$105,MATCH($B208,Clients!$A$6:$A$105,0)),Dashboard!$B$6),Dashboard!$B$6))</f>
        <v/>
      </c>
      <c r="K208" s="31" t="str">
        <f aca="false">IF(OR($A208="",$I208=""),"",$I208+$J208)</f>
        <v/>
      </c>
      <c r="L208" s="26"/>
      <c r="M208" s="32"/>
      <c r="N208" s="33"/>
      <c r="O208" s="34" t="str">
        <f aca="false">IF($A208="","",N($M208)*N($N208))</f>
        <v/>
      </c>
      <c r="P208" s="34" t="str">
        <f aca="false">IF($A208="","",N($M208)+$O208)</f>
        <v/>
      </c>
      <c r="Q208" s="34" t="str">
        <f aca="false">IF($A208="","",SUMIFS('Credit Notes'!$F$6:$F$205,'Credit Notes'!$B$6:$B$205,$A208,'Credit Notes'!$H$6:$H$205,"Issued"))</f>
        <v/>
      </c>
      <c r="R208" s="34" t="str">
        <f aca="false">IF($A208="","",SUMIFS(Payments!$I$6:$I$505,Payments!$C$6:$C$505,$A208))</f>
        <v/>
      </c>
      <c r="S208" s="34" t="str">
        <f aca="false">IF($A208="","",IF($T208="Void",0,$P208-$Q208-$R208))</f>
        <v/>
      </c>
      <c r="T208" s="26"/>
      <c r="U208" s="35" t="str">
        <f aca="false">IF($A208="","",IF($T208="Void","Void",IF(OR($T208="",$T208="Draft"),"Draft",IF($T208="Disputed","Disputed",IF($S208&lt;-0.005,"Overpaid",IF($S208&lt;=0.005,"Paid",IF($R208+$Q208&gt;0.005,IF($V208&gt;0,"Part-paid, overdue","Part-paid"),IF($V208&gt;0,"Overdue","Outstanding"))))))))</f>
        <v/>
      </c>
      <c r="V208" s="36" t="str">
        <f aca="true">IF($A208="","",IF(AND(OR($T208="Issued",$T208="Disputed"),$S208&gt;0.005,$K208&lt;&gt;"",$K208&lt;TODAY()),TODAY()-$K208,0))</f>
        <v/>
      </c>
      <c r="W208" s="35" t="str">
        <f aca="false">IF($A208="","",IF(AND(OR($T208="Issued",$T208="Disputed"),$S208&gt;0.005),IF($V208&lt;=0,"Not yet due",IF($V208&lt;=30,"1 to 30 days",IF($V208&lt;=60,"31 to 60 days",IF($V208&lt;=90,"61 to 90 days","Over 90 days")))),""))</f>
        <v/>
      </c>
      <c r="X208" s="26"/>
      <c r="Y208" s="29"/>
      <c r="Z208" s="28"/>
      <c r="AA208" s="28"/>
    </row>
    <row r="209" customFormat="false" ht="15" hidden="false" customHeight="false" outlineLevel="0" collapsed="false">
      <c r="A209" s="26"/>
      <c r="B209" s="26"/>
      <c r="C209" s="27" t="str">
        <f aca="false">IF($B209="","",IFERROR(INDEX(Clients!$B$6:$B$105,MATCH($B209,Clients!$A$6:$A$105,0)),"Client not found"))</f>
        <v/>
      </c>
      <c r="D209" s="26"/>
      <c r="E209" s="26"/>
      <c r="F209" s="26"/>
      <c r="G209" s="26"/>
      <c r="H209" s="28"/>
      <c r="I209" s="29"/>
      <c r="J209" s="30" t="str">
        <f aca="false">IF($A209="","",IFERROR(IF(N(INDEX(Clients!$E$6:$E$105,MATCH($B209,Clients!$A$6:$A$105,0)))&gt;0,INDEX(Clients!$E$6:$E$105,MATCH($B209,Clients!$A$6:$A$105,0)),Dashboard!$B$6),Dashboard!$B$6))</f>
        <v/>
      </c>
      <c r="K209" s="31" t="str">
        <f aca="false">IF(OR($A209="",$I209=""),"",$I209+$J209)</f>
        <v/>
      </c>
      <c r="L209" s="26"/>
      <c r="M209" s="32"/>
      <c r="N209" s="33"/>
      <c r="O209" s="34" t="str">
        <f aca="false">IF($A209="","",N($M209)*N($N209))</f>
        <v/>
      </c>
      <c r="P209" s="34" t="str">
        <f aca="false">IF($A209="","",N($M209)+$O209)</f>
        <v/>
      </c>
      <c r="Q209" s="34" t="str">
        <f aca="false">IF($A209="","",SUMIFS('Credit Notes'!$F$6:$F$205,'Credit Notes'!$B$6:$B$205,$A209,'Credit Notes'!$H$6:$H$205,"Issued"))</f>
        <v/>
      </c>
      <c r="R209" s="34" t="str">
        <f aca="false">IF($A209="","",SUMIFS(Payments!$I$6:$I$505,Payments!$C$6:$C$505,$A209))</f>
        <v/>
      </c>
      <c r="S209" s="34" t="str">
        <f aca="false">IF($A209="","",IF($T209="Void",0,$P209-$Q209-$R209))</f>
        <v/>
      </c>
      <c r="T209" s="26"/>
      <c r="U209" s="35" t="str">
        <f aca="false">IF($A209="","",IF($T209="Void","Void",IF(OR($T209="",$T209="Draft"),"Draft",IF($T209="Disputed","Disputed",IF($S209&lt;-0.005,"Overpaid",IF($S209&lt;=0.005,"Paid",IF($R209+$Q209&gt;0.005,IF($V209&gt;0,"Part-paid, overdue","Part-paid"),IF($V209&gt;0,"Overdue","Outstanding"))))))))</f>
        <v/>
      </c>
      <c r="V209" s="36" t="str">
        <f aca="true">IF($A209="","",IF(AND(OR($T209="Issued",$T209="Disputed"),$S209&gt;0.005,$K209&lt;&gt;"",$K209&lt;TODAY()),TODAY()-$K209,0))</f>
        <v/>
      </c>
      <c r="W209" s="35" t="str">
        <f aca="false">IF($A209="","",IF(AND(OR($T209="Issued",$T209="Disputed"),$S209&gt;0.005),IF($V209&lt;=0,"Not yet due",IF($V209&lt;=30,"1 to 30 days",IF($V209&lt;=60,"31 to 60 days",IF($V209&lt;=90,"61 to 90 days","Over 90 days")))),""))</f>
        <v/>
      </c>
      <c r="X209" s="26"/>
      <c r="Y209" s="29"/>
      <c r="Z209" s="28"/>
      <c r="AA209" s="28"/>
    </row>
    <row r="210" customFormat="false" ht="15" hidden="false" customHeight="false" outlineLevel="0" collapsed="false">
      <c r="A210" s="26"/>
      <c r="B210" s="26"/>
      <c r="C210" s="27" t="str">
        <f aca="false">IF($B210="","",IFERROR(INDEX(Clients!$B$6:$B$105,MATCH($B210,Clients!$A$6:$A$105,0)),"Client not found"))</f>
        <v/>
      </c>
      <c r="D210" s="26"/>
      <c r="E210" s="26"/>
      <c r="F210" s="26"/>
      <c r="G210" s="26"/>
      <c r="H210" s="28"/>
      <c r="I210" s="29"/>
      <c r="J210" s="30" t="str">
        <f aca="false">IF($A210="","",IFERROR(IF(N(INDEX(Clients!$E$6:$E$105,MATCH($B210,Clients!$A$6:$A$105,0)))&gt;0,INDEX(Clients!$E$6:$E$105,MATCH($B210,Clients!$A$6:$A$105,0)),Dashboard!$B$6),Dashboard!$B$6))</f>
        <v/>
      </c>
      <c r="K210" s="31" t="str">
        <f aca="false">IF(OR($A210="",$I210=""),"",$I210+$J210)</f>
        <v/>
      </c>
      <c r="L210" s="26"/>
      <c r="M210" s="32"/>
      <c r="N210" s="33"/>
      <c r="O210" s="34" t="str">
        <f aca="false">IF($A210="","",N($M210)*N($N210))</f>
        <v/>
      </c>
      <c r="P210" s="34" t="str">
        <f aca="false">IF($A210="","",N($M210)+$O210)</f>
        <v/>
      </c>
      <c r="Q210" s="34" t="str">
        <f aca="false">IF($A210="","",SUMIFS('Credit Notes'!$F$6:$F$205,'Credit Notes'!$B$6:$B$205,$A210,'Credit Notes'!$H$6:$H$205,"Issued"))</f>
        <v/>
      </c>
      <c r="R210" s="34" t="str">
        <f aca="false">IF($A210="","",SUMIFS(Payments!$I$6:$I$505,Payments!$C$6:$C$505,$A210))</f>
        <v/>
      </c>
      <c r="S210" s="34" t="str">
        <f aca="false">IF($A210="","",IF($T210="Void",0,$P210-$Q210-$R210))</f>
        <v/>
      </c>
      <c r="T210" s="26"/>
      <c r="U210" s="35" t="str">
        <f aca="false">IF($A210="","",IF($T210="Void","Void",IF(OR($T210="",$T210="Draft"),"Draft",IF($T210="Disputed","Disputed",IF($S210&lt;-0.005,"Overpaid",IF($S210&lt;=0.005,"Paid",IF($R210+$Q210&gt;0.005,IF($V210&gt;0,"Part-paid, overdue","Part-paid"),IF($V210&gt;0,"Overdue","Outstanding"))))))))</f>
        <v/>
      </c>
      <c r="V210" s="36" t="str">
        <f aca="true">IF($A210="","",IF(AND(OR($T210="Issued",$T210="Disputed"),$S210&gt;0.005,$K210&lt;&gt;"",$K210&lt;TODAY()),TODAY()-$K210,0))</f>
        <v/>
      </c>
      <c r="W210" s="35" t="str">
        <f aca="false">IF($A210="","",IF(AND(OR($T210="Issued",$T210="Disputed"),$S210&gt;0.005),IF($V210&lt;=0,"Not yet due",IF($V210&lt;=30,"1 to 30 days",IF($V210&lt;=60,"31 to 60 days",IF($V210&lt;=90,"61 to 90 days","Over 90 days")))),""))</f>
        <v/>
      </c>
      <c r="X210" s="26"/>
      <c r="Y210" s="29"/>
      <c r="Z210" s="28"/>
      <c r="AA210" s="28"/>
    </row>
    <row r="211" customFormat="false" ht="15" hidden="false" customHeight="false" outlineLevel="0" collapsed="false">
      <c r="A211" s="26"/>
      <c r="B211" s="26"/>
      <c r="C211" s="27" t="str">
        <f aca="false">IF($B211="","",IFERROR(INDEX(Clients!$B$6:$B$105,MATCH($B211,Clients!$A$6:$A$105,0)),"Client not found"))</f>
        <v/>
      </c>
      <c r="D211" s="26"/>
      <c r="E211" s="26"/>
      <c r="F211" s="26"/>
      <c r="G211" s="26"/>
      <c r="H211" s="28"/>
      <c r="I211" s="29"/>
      <c r="J211" s="30" t="str">
        <f aca="false">IF($A211="","",IFERROR(IF(N(INDEX(Clients!$E$6:$E$105,MATCH($B211,Clients!$A$6:$A$105,0)))&gt;0,INDEX(Clients!$E$6:$E$105,MATCH($B211,Clients!$A$6:$A$105,0)),Dashboard!$B$6),Dashboard!$B$6))</f>
        <v/>
      </c>
      <c r="K211" s="31" t="str">
        <f aca="false">IF(OR($A211="",$I211=""),"",$I211+$J211)</f>
        <v/>
      </c>
      <c r="L211" s="26"/>
      <c r="M211" s="32"/>
      <c r="N211" s="33"/>
      <c r="O211" s="34" t="str">
        <f aca="false">IF($A211="","",N($M211)*N($N211))</f>
        <v/>
      </c>
      <c r="P211" s="34" t="str">
        <f aca="false">IF($A211="","",N($M211)+$O211)</f>
        <v/>
      </c>
      <c r="Q211" s="34" t="str">
        <f aca="false">IF($A211="","",SUMIFS('Credit Notes'!$F$6:$F$205,'Credit Notes'!$B$6:$B$205,$A211,'Credit Notes'!$H$6:$H$205,"Issued"))</f>
        <v/>
      </c>
      <c r="R211" s="34" t="str">
        <f aca="false">IF($A211="","",SUMIFS(Payments!$I$6:$I$505,Payments!$C$6:$C$505,$A211))</f>
        <v/>
      </c>
      <c r="S211" s="34" t="str">
        <f aca="false">IF($A211="","",IF($T211="Void",0,$P211-$Q211-$R211))</f>
        <v/>
      </c>
      <c r="T211" s="26"/>
      <c r="U211" s="35" t="str">
        <f aca="false">IF($A211="","",IF($T211="Void","Void",IF(OR($T211="",$T211="Draft"),"Draft",IF($T211="Disputed","Disputed",IF($S211&lt;-0.005,"Overpaid",IF($S211&lt;=0.005,"Paid",IF($R211+$Q211&gt;0.005,IF($V211&gt;0,"Part-paid, overdue","Part-paid"),IF($V211&gt;0,"Overdue","Outstanding"))))))))</f>
        <v/>
      </c>
      <c r="V211" s="36" t="str">
        <f aca="true">IF($A211="","",IF(AND(OR($T211="Issued",$T211="Disputed"),$S211&gt;0.005,$K211&lt;&gt;"",$K211&lt;TODAY()),TODAY()-$K211,0))</f>
        <v/>
      </c>
      <c r="W211" s="35" t="str">
        <f aca="false">IF($A211="","",IF(AND(OR($T211="Issued",$T211="Disputed"),$S211&gt;0.005),IF($V211&lt;=0,"Not yet due",IF($V211&lt;=30,"1 to 30 days",IF($V211&lt;=60,"31 to 60 days",IF($V211&lt;=90,"61 to 90 days","Over 90 days")))),""))</f>
        <v/>
      </c>
      <c r="X211" s="26"/>
      <c r="Y211" s="29"/>
      <c r="Z211" s="28"/>
      <c r="AA211" s="28"/>
    </row>
    <row r="212" customFormat="false" ht="15" hidden="false" customHeight="false" outlineLevel="0" collapsed="false">
      <c r="A212" s="26"/>
      <c r="B212" s="26"/>
      <c r="C212" s="27" t="str">
        <f aca="false">IF($B212="","",IFERROR(INDEX(Clients!$B$6:$B$105,MATCH($B212,Clients!$A$6:$A$105,0)),"Client not found"))</f>
        <v/>
      </c>
      <c r="D212" s="26"/>
      <c r="E212" s="26"/>
      <c r="F212" s="26"/>
      <c r="G212" s="26"/>
      <c r="H212" s="28"/>
      <c r="I212" s="29"/>
      <c r="J212" s="30" t="str">
        <f aca="false">IF($A212="","",IFERROR(IF(N(INDEX(Clients!$E$6:$E$105,MATCH($B212,Clients!$A$6:$A$105,0)))&gt;0,INDEX(Clients!$E$6:$E$105,MATCH($B212,Clients!$A$6:$A$105,0)),Dashboard!$B$6),Dashboard!$B$6))</f>
        <v/>
      </c>
      <c r="K212" s="31" t="str">
        <f aca="false">IF(OR($A212="",$I212=""),"",$I212+$J212)</f>
        <v/>
      </c>
      <c r="L212" s="26"/>
      <c r="M212" s="32"/>
      <c r="N212" s="33"/>
      <c r="O212" s="34" t="str">
        <f aca="false">IF($A212="","",N($M212)*N($N212))</f>
        <v/>
      </c>
      <c r="P212" s="34" t="str">
        <f aca="false">IF($A212="","",N($M212)+$O212)</f>
        <v/>
      </c>
      <c r="Q212" s="34" t="str">
        <f aca="false">IF($A212="","",SUMIFS('Credit Notes'!$F$6:$F$205,'Credit Notes'!$B$6:$B$205,$A212,'Credit Notes'!$H$6:$H$205,"Issued"))</f>
        <v/>
      </c>
      <c r="R212" s="34" t="str">
        <f aca="false">IF($A212="","",SUMIFS(Payments!$I$6:$I$505,Payments!$C$6:$C$505,$A212))</f>
        <v/>
      </c>
      <c r="S212" s="34" t="str">
        <f aca="false">IF($A212="","",IF($T212="Void",0,$P212-$Q212-$R212))</f>
        <v/>
      </c>
      <c r="T212" s="26"/>
      <c r="U212" s="35" t="str">
        <f aca="false">IF($A212="","",IF($T212="Void","Void",IF(OR($T212="",$T212="Draft"),"Draft",IF($T212="Disputed","Disputed",IF($S212&lt;-0.005,"Overpaid",IF($S212&lt;=0.005,"Paid",IF($R212+$Q212&gt;0.005,IF($V212&gt;0,"Part-paid, overdue","Part-paid"),IF($V212&gt;0,"Overdue","Outstanding"))))))))</f>
        <v/>
      </c>
      <c r="V212" s="36" t="str">
        <f aca="true">IF($A212="","",IF(AND(OR($T212="Issued",$T212="Disputed"),$S212&gt;0.005,$K212&lt;&gt;"",$K212&lt;TODAY()),TODAY()-$K212,0))</f>
        <v/>
      </c>
      <c r="W212" s="35" t="str">
        <f aca="false">IF($A212="","",IF(AND(OR($T212="Issued",$T212="Disputed"),$S212&gt;0.005),IF($V212&lt;=0,"Not yet due",IF($V212&lt;=30,"1 to 30 days",IF($V212&lt;=60,"31 to 60 days",IF($V212&lt;=90,"61 to 90 days","Over 90 days")))),""))</f>
        <v/>
      </c>
      <c r="X212" s="26"/>
      <c r="Y212" s="29"/>
      <c r="Z212" s="28"/>
      <c r="AA212" s="28"/>
    </row>
    <row r="213" customFormat="false" ht="15" hidden="false" customHeight="false" outlineLevel="0" collapsed="false">
      <c r="A213" s="26"/>
      <c r="B213" s="26"/>
      <c r="C213" s="27" t="str">
        <f aca="false">IF($B213="","",IFERROR(INDEX(Clients!$B$6:$B$105,MATCH($B213,Clients!$A$6:$A$105,0)),"Client not found"))</f>
        <v/>
      </c>
      <c r="D213" s="26"/>
      <c r="E213" s="26"/>
      <c r="F213" s="26"/>
      <c r="G213" s="26"/>
      <c r="H213" s="28"/>
      <c r="I213" s="29"/>
      <c r="J213" s="30" t="str">
        <f aca="false">IF($A213="","",IFERROR(IF(N(INDEX(Clients!$E$6:$E$105,MATCH($B213,Clients!$A$6:$A$105,0)))&gt;0,INDEX(Clients!$E$6:$E$105,MATCH($B213,Clients!$A$6:$A$105,0)),Dashboard!$B$6),Dashboard!$B$6))</f>
        <v/>
      </c>
      <c r="K213" s="31" t="str">
        <f aca="false">IF(OR($A213="",$I213=""),"",$I213+$J213)</f>
        <v/>
      </c>
      <c r="L213" s="26"/>
      <c r="M213" s="32"/>
      <c r="N213" s="33"/>
      <c r="O213" s="34" t="str">
        <f aca="false">IF($A213="","",N($M213)*N($N213))</f>
        <v/>
      </c>
      <c r="P213" s="34" t="str">
        <f aca="false">IF($A213="","",N($M213)+$O213)</f>
        <v/>
      </c>
      <c r="Q213" s="34" t="str">
        <f aca="false">IF($A213="","",SUMIFS('Credit Notes'!$F$6:$F$205,'Credit Notes'!$B$6:$B$205,$A213,'Credit Notes'!$H$6:$H$205,"Issued"))</f>
        <v/>
      </c>
      <c r="R213" s="34" t="str">
        <f aca="false">IF($A213="","",SUMIFS(Payments!$I$6:$I$505,Payments!$C$6:$C$505,$A213))</f>
        <v/>
      </c>
      <c r="S213" s="34" t="str">
        <f aca="false">IF($A213="","",IF($T213="Void",0,$P213-$Q213-$R213))</f>
        <v/>
      </c>
      <c r="T213" s="26"/>
      <c r="U213" s="35" t="str">
        <f aca="false">IF($A213="","",IF($T213="Void","Void",IF(OR($T213="",$T213="Draft"),"Draft",IF($T213="Disputed","Disputed",IF($S213&lt;-0.005,"Overpaid",IF($S213&lt;=0.005,"Paid",IF($R213+$Q213&gt;0.005,IF($V213&gt;0,"Part-paid, overdue","Part-paid"),IF($V213&gt;0,"Overdue","Outstanding"))))))))</f>
        <v/>
      </c>
      <c r="V213" s="36" t="str">
        <f aca="true">IF($A213="","",IF(AND(OR($T213="Issued",$T213="Disputed"),$S213&gt;0.005,$K213&lt;&gt;"",$K213&lt;TODAY()),TODAY()-$K213,0))</f>
        <v/>
      </c>
      <c r="W213" s="35" t="str">
        <f aca="false">IF($A213="","",IF(AND(OR($T213="Issued",$T213="Disputed"),$S213&gt;0.005),IF($V213&lt;=0,"Not yet due",IF($V213&lt;=30,"1 to 30 days",IF($V213&lt;=60,"31 to 60 days",IF($V213&lt;=90,"61 to 90 days","Over 90 days")))),""))</f>
        <v/>
      </c>
      <c r="X213" s="26"/>
      <c r="Y213" s="29"/>
      <c r="Z213" s="28"/>
      <c r="AA213" s="28"/>
    </row>
    <row r="214" customFormat="false" ht="15" hidden="false" customHeight="false" outlineLevel="0" collapsed="false">
      <c r="A214" s="26"/>
      <c r="B214" s="26"/>
      <c r="C214" s="27" t="str">
        <f aca="false">IF($B214="","",IFERROR(INDEX(Clients!$B$6:$B$105,MATCH($B214,Clients!$A$6:$A$105,0)),"Client not found"))</f>
        <v/>
      </c>
      <c r="D214" s="26"/>
      <c r="E214" s="26"/>
      <c r="F214" s="26"/>
      <c r="G214" s="26"/>
      <c r="H214" s="28"/>
      <c r="I214" s="29"/>
      <c r="J214" s="30" t="str">
        <f aca="false">IF($A214="","",IFERROR(IF(N(INDEX(Clients!$E$6:$E$105,MATCH($B214,Clients!$A$6:$A$105,0)))&gt;0,INDEX(Clients!$E$6:$E$105,MATCH($B214,Clients!$A$6:$A$105,0)),Dashboard!$B$6),Dashboard!$B$6))</f>
        <v/>
      </c>
      <c r="K214" s="31" t="str">
        <f aca="false">IF(OR($A214="",$I214=""),"",$I214+$J214)</f>
        <v/>
      </c>
      <c r="L214" s="26"/>
      <c r="M214" s="32"/>
      <c r="N214" s="33"/>
      <c r="O214" s="34" t="str">
        <f aca="false">IF($A214="","",N($M214)*N($N214))</f>
        <v/>
      </c>
      <c r="P214" s="34" t="str">
        <f aca="false">IF($A214="","",N($M214)+$O214)</f>
        <v/>
      </c>
      <c r="Q214" s="34" t="str">
        <f aca="false">IF($A214="","",SUMIFS('Credit Notes'!$F$6:$F$205,'Credit Notes'!$B$6:$B$205,$A214,'Credit Notes'!$H$6:$H$205,"Issued"))</f>
        <v/>
      </c>
      <c r="R214" s="34" t="str">
        <f aca="false">IF($A214="","",SUMIFS(Payments!$I$6:$I$505,Payments!$C$6:$C$505,$A214))</f>
        <v/>
      </c>
      <c r="S214" s="34" t="str">
        <f aca="false">IF($A214="","",IF($T214="Void",0,$P214-$Q214-$R214))</f>
        <v/>
      </c>
      <c r="T214" s="26"/>
      <c r="U214" s="35" t="str">
        <f aca="false">IF($A214="","",IF($T214="Void","Void",IF(OR($T214="",$T214="Draft"),"Draft",IF($T214="Disputed","Disputed",IF($S214&lt;-0.005,"Overpaid",IF($S214&lt;=0.005,"Paid",IF($R214+$Q214&gt;0.005,IF($V214&gt;0,"Part-paid, overdue","Part-paid"),IF($V214&gt;0,"Overdue","Outstanding"))))))))</f>
        <v/>
      </c>
      <c r="V214" s="36" t="str">
        <f aca="true">IF($A214="","",IF(AND(OR($T214="Issued",$T214="Disputed"),$S214&gt;0.005,$K214&lt;&gt;"",$K214&lt;TODAY()),TODAY()-$K214,0))</f>
        <v/>
      </c>
      <c r="W214" s="35" t="str">
        <f aca="false">IF($A214="","",IF(AND(OR($T214="Issued",$T214="Disputed"),$S214&gt;0.005),IF($V214&lt;=0,"Not yet due",IF($V214&lt;=30,"1 to 30 days",IF($V214&lt;=60,"31 to 60 days",IF($V214&lt;=90,"61 to 90 days","Over 90 days")))),""))</f>
        <v/>
      </c>
      <c r="X214" s="26"/>
      <c r="Y214" s="29"/>
      <c r="Z214" s="28"/>
      <c r="AA214" s="28"/>
    </row>
    <row r="215" customFormat="false" ht="15" hidden="false" customHeight="false" outlineLevel="0" collapsed="false">
      <c r="A215" s="26"/>
      <c r="B215" s="26"/>
      <c r="C215" s="27" t="str">
        <f aca="false">IF($B215="","",IFERROR(INDEX(Clients!$B$6:$B$105,MATCH($B215,Clients!$A$6:$A$105,0)),"Client not found"))</f>
        <v/>
      </c>
      <c r="D215" s="26"/>
      <c r="E215" s="26"/>
      <c r="F215" s="26"/>
      <c r="G215" s="26"/>
      <c r="H215" s="28"/>
      <c r="I215" s="29"/>
      <c r="J215" s="30" t="str">
        <f aca="false">IF($A215="","",IFERROR(IF(N(INDEX(Clients!$E$6:$E$105,MATCH($B215,Clients!$A$6:$A$105,0)))&gt;0,INDEX(Clients!$E$6:$E$105,MATCH($B215,Clients!$A$6:$A$105,0)),Dashboard!$B$6),Dashboard!$B$6))</f>
        <v/>
      </c>
      <c r="K215" s="31" t="str">
        <f aca="false">IF(OR($A215="",$I215=""),"",$I215+$J215)</f>
        <v/>
      </c>
      <c r="L215" s="26"/>
      <c r="M215" s="32"/>
      <c r="N215" s="33"/>
      <c r="O215" s="34" t="str">
        <f aca="false">IF($A215="","",N($M215)*N($N215))</f>
        <v/>
      </c>
      <c r="P215" s="34" t="str">
        <f aca="false">IF($A215="","",N($M215)+$O215)</f>
        <v/>
      </c>
      <c r="Q215" s="34" t="str">
        <f aca="false">IF($A215="","",SUMIFS('Credit Notes'!$F$6:$F$205,'Credit Notes'!$B$6:$B$205,$A215,'Credit Notes'!$H$6:$H$205,"Issued"))</f>
        <v/>
      </c>
      <c r="R215" s="34" t="str">
        <f aca="false">IF($A215="","",SUMIFS(Payments!$I$6:$I$505,Payments!$C$6:$C$505,$A215))</f>
        <v/>
      </c>
      <c r="S215" s="34" t="str">
        <f aca="false">IF($A215="","",IF($T215="Void",0,$P215-$Q215-$R215))</f>
        <v/>
      </c>
      <c r="T215" s="26"/>
      <c r="U215" s="35" t="str">
        <f aca="false">IF($A215="","",IF($T215="Void","Void",IF(OR($T215="",$T215="Draft"),"Draft",IF($T215="Disputed","Disputed",IF($S215&lt;-0.005,"Overpaid",IF($S215&lt;=0.005,"Paid",IF($R215+$Q215&gt;0.005,IF($V215&gt;0,"Part-paid, overdue","Part-paid"),IF($V215&gt;0,"Overdue","Outstanding"))))))))</f>
        <v/>
      </c>
      <c r="V215" s="36" t="str">
        <f aca="true">IF($A215="","",IF(AND(OR($T215="Issued",$T215="Disputed"),$S215&gt;0.005,$K215&lt;&gt;"",$K215&lt;TODAY()),TODAY()-$K215,0))</f>
        <v/>
      </c>
      <c r="W215" s="35" t="str">
        <f aca="false">IF($A215="","",IF(AND(OR($T215="Issued",$T215="Disputed"),$S215&gt;0.005),IF($V215&lt;=0,"Not yet due",IF($V215&lt;=30,"1 to 30 days",IF($V215&lt;=60,"31 to 60 days",IF($V215&lt;=90,"61 to 90 days","Over 90 days")))),""))</f>
        <v/>
      </c>
      <c r="X215" s="26"/>
      <c r="Y215" s="29"/>
      <c r="Z215" s="28"/>
      <c r="AA215" s="28"/>
    </row>
    <row r="216" customFormat="false" ht="15" hidden="false" customHeight="false" outlineLevel="0" collapsed="false">
      <c r="A216" s="26"/>
      <c r="B216" s="26"/>
      <c r="C216" s="27" t="str">
        <f aca="false">IF($B216="","",IFERROR(INDEX(Clients!$B$6:$B$105,MATCH($B216,Clients!$A$6:$A$105,0)),"Client not found"))</f>
        <v/>
      </c>
      <c r="D216" s="26"/>
      <c r="E216" s="26"/>
      <c r="F216" s="26"/>
      <c r="G216" s="26"/>
      <c r="H216" s="28"/>
      <c r="I216" s="29"/>
      <c r="J216" s="30" t="str">
        <f aca="false">IF($A216="","",IFERROR(IF(N(INDEX(Clients!$E$6:$E$105,MATCH($B216,Clients!$A$6:$A$105,0)))&gt;0,INDEX(Clients!$E$6:$E$105,MATCH($B216,Clients!$A$6:$A$105,0)),Dashboard!$B$6),Dashboard!$B$6))</f>
        <v/>
      </c>
      <c r="K216" s="31" t="str">
        <f aca="false">IF(OR($A216="",$I216=""),"",$I216+$J216)</f>
        <v/>
      </c>
      <c r="L216" s="26"/>
      <c r="M216" s="32"/>
      <c r="N216" s="33"/>
      <c r="O216" s="34" t="str">
        <f aca="false">IF($A216="","",N($M216)*N($N216))</f>
        <v/>
      </c>
      <c r="P216" s="34" t="str">
        <f aca="false">IF($A216="","",N($M216)+$O216)</f>
        <v/>
      </c>
      <c r="Q216" s="34" t="str">
        <f aca="false">IF($A216="","",SUMIFS('Credit Notes'!$F$6:$F$205,'Credit Notes'!$B$6:$B$205,$A216,'Credit Notes'!$H$6:$H$205,"Issued"))</f>
        <v/>
      </c>
      <c r="R216" s="34" t="str">
        <f aca="false">IF($A216="","",SUMIFS(Payments!$I$6:$I$505,Payments!$C$6:$C$505,$A216))</f>
        <v/>
      </c>
      <c r="S216" s="34" t="str">
        <f aca="false">IF($A216="","",IF($T216="Void",0,$P216-$Q216-$R216))</f>
        <v/>
      </c>
      <c r="T216" s="26"/>
      <c r="U216" s="35" t="str">
        <f aca="false">IF($A216="","",IF($T216="Void","Void",IF(OR($T216="",$T216="Draft"),"Draft",IF($T216="Disputed","Disputed",IF($S216&lt;-0.005,"Overpaid",IF($S216&lt;=0.005,"Paid",IF($R216+$Q216&gt;0.005,IF($V216&gt;0,"Part-paid, overdue","Part-paid"),IF($V216&gt;0,"Overdue","Outstanding"))))))))</f>
        <v/>
      </c>
      <c r="V216" s="36" t="str">
        <f aca="true">IF($A216="","",IF(AND(OR($T216="Issued",$T216="Disputed"),$S216&gt;0.005,$K216&lt;&gt;"",$K216&lt;TODAY()),TODAY()-$K216,0))</f>
        <v/>
      </c>
      <c r="W216" s="35" t="str">
        <f aca="false">IF($A216="","",IF(AND(OR($T216="Issued",$T216="Disputed"),$S216&gt;0.005),IF($V216&lt;=0,"Not yet due",IF($V216&lt;=30,"1 to 30 days",IF($V216&lt;=60,"31 to 60 days",IF($V216&lt;=90,"61 to 90 days","Over 90 days")))),""))</f>
        <v/>
      </c>
      <c r="X216" s="26"/>
      <c r="Y216" s="29"/>
      <c r="Z216" s="28"/>
      <c r="AA216" s="28"/>
    </row>
    <row r="217" customFormat="false" ht="15" hidden="false" customHeight="false" outlineLevel="0" collapsed="false">
      <c r="A217" s="26"/>
      <c r="B217" s="26"/>
      <c r="C217" s="27" t="str">
        <f aca="false">IF($B217="","",IFERROR(INDEX(Clients!$B$6:$B$105,MATCH($B217,Clients!$A$6:$A$105,0)),"Client not found"))</f>
        <v/>
      </c>
      <c r="D217" s="26"/>
      <c r="E217" s="26"/>
      <c r="F217" s="26"/>
      <c r="G217" s="26"/>
      <c r="H217" s="28"/>
      <c r="I217" s="29"/>
      <c r="J217" s="30" t="str">
        <f aca="false">IF($A217="","",IFERROR(IF(N(INDEX(Clients!$E$6:$E$105,MATCH($B217,Clients!$A$6:$A$105,0)))&gt;0,INDEX(Clients!$E$6:$E$105,MATCH($B217,Clients!$A$6:$A$105,0)),Dashboard!$B$6),Dashboard!$B$6))</f>
        <v/>
      </c>
      <c r="K217" s="31" t="str">
        <f aca="false">IF(OR($A217="",$I217=""),"",$I217+$J217)</f>
        <v/>
      </c>
      <c r="L217" s="26"/>
      <c r="M217" s="32"/>
      <c r="N217" s="33"/>
      <c r="O217" s="34" t="str">
        <f aca="false">IF($A217="","",N($M217)*N($N217))</f>
        <v/>
      </c>
      <c r="P217" s="34" t="str">
        <f aca="false">IF($A217="","",N($M217)+$O217)</f>
        <v/>
      </c>
      <c r="Q217" s="34" t="str">
        <f aca="false">IF($A217="","",SUMIFS('Credit Notes'!$F$6:$F$205,'Credit Notes'!$B$6:$B$205,$A217,'Credit Notes'!$H$6:$H$205,"Issued"))</f>
        <v/>
      </c>
      <c r="R217" s="34" t="str">
        <f aca="false">IF($A217="","",SUMIFS(Payments!$I$6:$I$505,Payments!$C$6:$C$505,$A217))</f>
        <v/>
      </c>
      <c r="S217" s="34" t="str">
        <f aca="false">IF($A217="","",IF($T217="Void",0,$P217-$Q217-$R217))</f>
        <v/>
      </c>
      <c r="T217" s="26"/>
      <c r="U217" s="35" t="str">
        <f aca="false">IF($A217="","",IF($T217="Void","Void",IF(OR($T217="",$T217="Draft"),"Draft",IF($T217="Disputed","Disputed",IF($S217&lt;-0.005,"Overpaid",IF($S217&lt;=0.005,"Paid",IF($R217+$Q217&gt;0.005,IF($V217&gt;0,"Part-paid, overdue","Part-paid"),IF($V217&gt;0,"Overdue","Outstanding"))))))))</f>
        <v/>
      </c>
      <c r="V217" s="36" t="str">
        <f aca="true">IF($A217="","",IF(AND(OR($T217="Issued",$T217="Disputed"),$S217&gt;0.005,$K217&lt;&gt;"",$K217&lt;TODAY()),TODAY()-$K217,0))</f>
        <v/>
      </c>
      <c r="W217" s="35" t="str">
        <f aca="false">IF($A217="","",IF(AND(OR($T217="Issued",$T217="Disputed"),$S217&gt;0.005),IF($V217&lt;=0,"Not yet due",IF($V217&lt;=30,"1 to 30 days",IF($V217&lt;=60,"31 to 60 days",IF($V217&lt;=90,"61 to 90 days","Over 90 days")))),""))</f>
        <v/>
      </c>
      <c r="X217" s="26"/>
      <c r="Y217" s="29"/>
      <c r="Z217" s="28"/>
      <c r="AA217" s="28"/>
    </row>
    <row r="218" customFormat="false" ht="15" hidden="false" customHeight="false" outlineLevel="0" collapsed="false">
      <c r="A218" s="26"/>
      <c r="B218" s="26"/>
      <c r="C218" s="27" t="str">
        <f aca="false">IF($B218="","",IFERROR(INDEX(Clients!$B$6:$B$105,MATCH($B218,Clients!$A$6:$A$105,0)),"Client not found"))</f>
        <v/>
      </c>
      <c r="D218" s="26"/>
      <c r="E218" s="26"/>
      <c r="F218" s="26"/>
      <c r="G218" s="26"/>
      <c r="H218" s="28"/>
      <c r="I218" s="29"/>
      <c r="J218" s="30" t="str">
        <f aca="false">IF($A218="","",IFERROR(IF(N(INDEX(Clients!$E$6:$E$105,MATCH($B218,Clients!$A$6:$A$105,0)))&gt;0,INDEX(Clients!$E$6:$E$105,MATCH($B218,Clients!$A$6:$A$105,0)),Dashboard!$B$6),Dashboard!$B$6))</f>
        <v/>
      </c>
      <c r="K218" s="31" t="str">
        <f aca="false">IF(OR($A218="",$I218=""),"",$I218+$J218)</f>
        <v/>
      </c>
      <c r="L218" s="26"/>
      <c r="M218" s="32"/>
      <c r="N218" s="33"/>
      <c r="O218" s="34" t="str">
        <f aca="false">IF($A218="","",N($M218)*N($N218))</f>
        <v/>
      </c>
      <c r="P218" s="34" t="str">
        <f aca="false">IF($A218="","",N($M218)+$O218)</f>
        <v/>
      </c>
      <c r="Q218" s="34" t="str">
        <f aca="false">IF($A218="","",SUMIFS('Credit Notes'!$F$6:$F$205,'Credit Notes'!$B$6:$B$205,$A218,'Credit Notes'!$H$6:$H$205,"Issued"))</f>
        <v/>
      </c>
      <c r="R218" s="34" t="str">
        <f aca="false">IF($A218="","",SUMIFS(Payments!$I$6:$I$505,Payments!$C$6:$C$505,$A218))</f>
        <v/>
      </c>
      <c r="S218" s="34" t="str">
        <f aca="false">IF($A218="","",IF($T218="Void",0,$P218-$Q218-$R218))</f>
        <v/>
      </c>
      <c r="T218" s="26"/>
      <c r="U218" s="35" t="str">
        <f aca="false">IF($A218="","",IF($T218="Void","Void",IF(OR($T218="",$T218="Draft"),"Draft",IF($T218="Disputed","Disputed",IF($S218&lt;-0.005,"Overpaid",IF($S218&lt;=0.005,"Paid",IF($R218+$Q218&gt;0.005,IF($V218&gt;0,"Part-paid, overdue","Part-paid"),IF($V218&gt;0,"Overdue","Outstanding"))))))))</f>
        <v/>
      </c>
      <c r="V218" s="36" t="str">
        <f aca="true">IF($A218="","",IF(AND(OR($T218="Issued",$T218="Disputed"),$S218&gt;0.005,$K218&lt;&gt;"",$K218&lt;TODAY()),TODAY()-$K218,0))</f>
        <v/>
      </c>
      <c r="W218" s="35" t="str">
        <f aca="false">IF($A218="","",IF(AND(OR($T218="Issued",$T218="Disputed"),$S218&gt;0.005),IF($V218&lt;=0,"Not yet due",IF($V218&lt;=30,"1 to 30 days",IF($V218&lt;=60,"31 to 60 days",IF($V218&lt;=90,"61 to 90 days","Over 90 days")))),""))</f>
        <v/>
      </c>
      <c r="X218" s="26"/>
      <c r="Y218" s="29"/>
      <c r="Z218" s="28"/>
      <c r="AA218" s="28"/>
    </row>
    <row r="219" customFormat="false" ht="15" hidden="false" customHeight="false" outlineLevel="0" collapsed="false">
      <c r="A219" s="26"/>
      <c r="B219" s="26"/>
      <c r="C219" s="27" t="str">
        <f aca="false">IF($B219="","",IFERROR(INDEX(Clients!$B$6:$B$105,MATCH($B219,Clients!$A$6:$A$105,0)),"Client not found"))</f>
        <v/>
      </c>
      <c r="D219" s="26"/>
      <c r="E219" s="26"/>
      <c r="F219" s="26"/>
      <c r="G219" s="26"/>
      <c r="H219" s="28"/>
      <c r="I219" s="29"/>
      <c r="J219" s="30" t="str">
        <f aca="false">IF($A219="","",IFERROR(IF(N(INDEX(Clients!$E$6:$E$105,MATCH($B219,Clients!$A$6:$A$105,0)))&gt;0,INDEX(Clients!$E$6:$E$105,MATCH($B219,Clients!$A$6:$A$105,0)),Dashboard!$B$6),Dashboard!$B$6))</f>
        <v/>
      </c>
      <c r="K219" s="31" t="str">
        <f aca="false">IF(OR($A219="",$I219=""),"",$I219+$J219)</f>
        <v/>
      </c>
      <c r="L219" s="26"/>
      <c r="M219" s="32"/>
      <c r="N219" s="33"/>
      <c r="O219" s="34" t="str">
        <f aca="false">IF($A219="","",N($M219)*N($N219))</f>
        <v/>
      </c>
      <c r="P219" s="34" t="str">
        <f aca="false">IF($A219="","",N($M219)+$O219)</f>
        <v/>
      </c>
      <c r="Q219" s="34" t="str">
        <f aca="false">IF($A219="","",SUMIFS('Credit Notes'!$F$6:$F$205,'Credit Notes'!$B$6:$B$205,$A219,'Credit Notes'!$H$6:$H$205,"Issued"))</f>
        <v/>
      </c>
      <c r="R219" s="34" t="str">
        <f aca="false">IF($A219="","",SUMIFS(Payments!$I$6:$I$505,Payments!$C$6:$C$505,$A219))</f>
        <v/>
      </c>
      <c r="S219" s="34" t="str">
        <f aca="false">IF($A219="","",IF($T219="Void",0,$P219-$Q219-$R219))</f>
        <v/>
      </c>
      <c r="T219" s="26"/>
      <c r="U219" s="35" t="str">
        <f aca="false">IF($A219="","",IF($T219="Void","Void",IF(OR($T219="",$T219="Draft"),"Draft",IF($T219="Disputed","Disputed",IF($S219&lt;-0.005,"Overpaid",IF($S219&lt;=0.005,"Paid",IF($R219+$Q219&gt;0.005,IF($V219&gt;0,"Part-paid, overdue","Part-paid"),IF($V219&gt;0,"Overdue","Outstanding"))))))))</f>
        <v/>
      </c>
      <c r="V219" s="36" t="str">
        <f aca="true">IF($A219="","",IF(AND(OR($T219="Issued",$T219="Disputed"),$S219&gt;0.005,$K219&lt;&gt;"",$K219&lt;TODAY()),TODAY()-$K219,0))</f>
        <v/>
      </c>
      <c r="W219" s="35" t="str">
        <f aca="false">IF($A219="","",IF(AND(OR($T219="Issued",$T219="Disputed"),$S219&gt;0.005),IF($V219&lt;=0,"Not yet due",IF($V219&lt;=30,"1 to 30 days",IF($V219&lt;=60,"31 to 60 days",IF($V219&lt;=90,"61 to 90 days","Over 90 days")))),""))</f>
        <v/>
      </c>
      <c r="X219" s="26"/>
      <c r="Y219" s="29"/>
      <c r="Z219" s="28"/>
      <c r="AA219" s="28"/>
    </row>
    <row r="220" customFormat="false" ht="15" hidden="false" customHeight="false" outlineLevel="0" collapsed="false">
      <c r="A220" s="26"/>
      <c r="B220" s="26"/>
      <c r="C220" s="27" t="str">
        <f aca="false">IF($B220="","",IFERROR(INDEX(Clients!$B$6:$B$105,MATCH($B220,Clients!$A$6:$A$105,0)),"Client not found"))</f>
        <v/>
      </c>
      <c r="D220" s="26"/>
      <c r="E220" s="26"/>
      <c r="F220" s="26"/>
      <c r="G220" s="26"/>
      <c r="H220" s="28"/>
      <c r="I220" s="29"/>
      <c r="J220" s="30" t="str">
        <f aca="false">IF($A220="","",IFERROR(IF(N(INDEX(Clients!$E$6:$E$105,MATCH($B220,Clients!$A$6:$A$105,0)))&gt;0,INDEX(Clients!$E$6:$E$105,MATCH($B220,Clients!$A$6:$A$105,0)),Dashboard!$B$6),Dashboard!$B$6))</f>
        <v/>
      </c>
      <c r="K220" s="31" t="str">
        <f aca="false">IF(OR($A220="",$I220=""),"",$I220+$J220)</f>
        <v/>
      </c>
      <c r="L220" s="26"/>
      <c r="M220" s="32"/>
      <c r="N220" s="33"/>
      <c r="O220" s="34" t="str">
        <f aca="false">IF($A220="","",N($M220)*N($N220))</f>
        <v/>
      </c>
      <c r="P220" s="34" t="str">
        <f aca="false">IF($A220="","",N($M220)+$O220)</f>
        <v/>
      </c>
      <c r="Q220" s="34" t="str">
        <f aca="false">IF($A220="","",SUMIFS('Credit Notes'!$F$6:$F$205,'Credit Notes'!$B$6:$B$205,$A220,'Credit Notes'!$H$6:$H$205,"Issued"))</f>
        <v/>
      </c>
      <c r="R220" s="34" t="str">
        <f aca="false">IF($A220="","",SUMIFS(Payments!$I$6:$I$505,Payments!$C$6:$C$505,$A220))</f>
        <v/>
      </c>
      <c r="S220" s="34" t="str">
        <f aca="false">IF($A220="","",IF($T220="Void",0,$P220-$Q220-$R220))</f>
        <v/>
      </c>
      <c r="T220" s="26"/>
      <c r="U220" s="35" t="str">
        <f aca="false">IF($A220="","",IF($T220="Void","Void",IF(OR($T220="",$T220="Draft"),"Draft",IF($T220="Disputed","Disputed",IF($S220&lt;-0.005,"Overpaid",IF($S220&lt;=0.005,"Paid",IF($R220+$Q220&gt;0.005,IF($V220&gt;0,"Part-paid, overdue","Part-paid"),IF($V220&gt;0,"Overdue","Outstanding"))))))))</f>
        <v/>
      </c>
      <c r="V220" s="36" t="str">
        <f aca="true">IF($A220="","",IF(AND(OR($T220="Issued",$T220="Disputed"),$S220&gt;0.005,$K220&lt;&gt;"",$K220&lt;TODAY()),TODAY()-$K220,0))</f>
        <v/>
      </c>
      <c r="W220" s="35" t="str">
        <f aca="false">IF($A220="","",IF(AND(OR($T220="Issued",$T220="Disputed"),$S220&gt;0.005),IF($V220&lt;=0,"Not yet due",IF($V220&lt;=30,"1 to 30 days",IF($V220&lt;=60,"31 to 60 days",IF($V220&lt;=90,"61 to 90 days","Over 90 days")))),""))</f>
        <v/>
      </c>
      <c r="X220" s="26"/>
      <c r="Y220" s="29"/>
      <c r="Z220" s="28"/>
      <c r="AA220" s="28"/>
    </row>
    <row r="221" customFormat="false" ht="15" hidden="false" customHeight="false" outlineLevel="0" collapsed="false">
      <c r="A221" s="26"/>
      <c r="B221" s="26"/>
      <c r="C221" s="27" t="str">
        <f aca="false">IF($B221="","",IFERROR(INDEX(Clients!$B$6:$B$105,MATCH($B221,Clients!$A$6:$A$105,0)),"Client not found"))</f>
        <v/>
      </c>
      <c r="D221" s="26"/>
      <c r="E221" s="26"/>
      <c r="F221" s="26"/>
      <c r="G221" s="26"/>
      <c r="H221" s="28"/>
      <c r="I221" s="29"/>
      <c r="J221" s="30" t="str">
        <f aca="false">IF($A221="","",IFERROR(IF(N(INDEX(Clients!$E$6:$E$105,MATCH($B221,Clients!$A$6:$A$105,0)))&gt;0,INDEX(Clients!$E$6:$E$105,MATCH($B221,Clients!$A$6:$A$105,0)),Dashboard!$B$6),Dashboard!$B$6))</f>
        <v/>
      </c>
      <c r="K221" s="31" t="str">
        <f aca="false">IF(OR($A221="",$I221=""),"",$I221+$J221)</f>
        <v/>
      </c>
      <c r="L221" s="26"/>
      <c r="M221" s="32"/>
      <c r="N221" s="33"/>
      <c r="O221" s="34" t="str">
        <f aca="false">IF($A221="","",N($M221)*N($N221))</f>
        <v/>
      </c>
      <c r="P221" s="34" t="str">
        <f aca="false">IF($A221="","",N($M221)+$O221)</f>
        <v/>
      </c>
      <c r="Q221" s="34" t="str">
        <f aca="false">IF($A221="","",SUMIFS('Credit Notes'!$F$6:$F$205,'Credit Notes'!$B$6:$B$205,$A221,'Credit Notes'!$H$6:$H$205,"Issued"))</f>
        <v/>
      </c>
      <c r="R221" s="34" t="str">
        <f aca="false">IF($A221="","",SUMIFS(Payments!$I$6:$I$505,Payments!$C$6:$C$505,$A221))</f>
        <v/>
      </c>
      <c r="S221" s="34" t="str">
        <f aca="false">IF($A221="","",IF($T221="Void",0,$P221-$Q221-$R221))</f>
        <v/>
      </c>
      <c r="T221" s="26"/>
      <c r="U221" s="35" t="str">
        <f aca="false">IF($A221="","",IF($T221="Void","Void",IF(OR($T221="",$T221="Draft"),"Draft",IF($T221="Disputed","Disputed",IF($S221&lt;-0.005,"Overpaid",IF($S221&lt;=0.005,"Paid",IF($R221+$Q221&gt;0.005,IF($V221&gt;0,"Part-paid, overdue","Part-paid"),IF($V221&gt;0,"Overdue","Outstanding"))))))))</f>
        <v/>
      </c>
      <c r="V221" s="36" t="str">
        <f aca="true">IF($A221="","",IF(AND(OR($T221="Issued",$T221="Disputed"),$S221&gt;0.005,$K221&lt;&gt;"",$K221&lt;TODAY()),TODAY()-$K221,0))</f>
        <v/>
      </c>
      <c r="W221" s="35" t="str">
        <f aca="false">IF($A221="","",IF(AND(OR($T221="Issued",$T221="Disputed"),$S221&gt;0.005),IF($V221&lt;=0,"Not yet due",IF($V221&lt;=30,"1 to 30 days",IF($V221&lt;=60,"31 to 60 days",IF($V221&lt;=90,"61 to 90 days","Over 90 days")))),""))</f>
        <v/>
      </c>
      <c r="X221" s="26"/>
      <c r="Y221" s="29"/>
      <c r="Z221" s="28"/>
      <c r="AA221" s="28"/>
    </row>
    <row r="222" customFormat="false" ht="15" hidden="false" customHeight="false" outlineLevel="0" collapsed="false">
      <c r="A222" s="26"/>
      <c r="B222" s="26"/>
      <c r="C222" s="27" t="str">
        <f aca="false">IF($B222="","",IFERROR(INDEX(Clients!$B$6:$B$105,MATCH($B222,Clients!$A$6:$A$105,0)),"Client not found"))</f>
        <v/>
      </c>
      <c r="D222" s="26"/>
      <c r="E222" s="26"/>
      <c r="F222" s="26"/>
      <c r="G222" s="26"/>
      <c r="H222" s="28"/>
      <c r="I222" s="29"/>
      <c r="J222" s="30" t="str">
        <f aca="false">IF($A222="","",IFERROR(IF(N(INDEX(Clients!$E$6:$E$105,MATCH($B222,Clients!$A$6:$A$105,0)))&gt;0,INDEX(Clients!$E$6:$E$105,MATCH($B222,Clients!$A$6:$A$105,0)),Dashboard!$B$6),Dashboard!$B$6))</f>
        <v/>
      </c>
      <c r="K222" s="31" t="str">
        <f aca="false">IF(OR($A222="",$I222=""),"",$I222+$J222)</f>
        <v/>
      </c>
      <c r="L222" s="26"/>
      <c r="M222" s="32"/>
      <c r="N222" s="33"/>
      <c r="O222" s="34" t="str">
        <f aca="false">IF($A222="","",N($M222)*N($N222))</f>
        <v/>
      </c>
      <c r="P222" s="34" t="str">
        <f aca="false">IF($A222="","",N($M222)+$O222)</f>
        <v/>
      </c>
      <c r="Q222" s="34" t="str">
        <f aca="false">IF($A222="","",SUMIFS('Credit Notes'!$F$6:$F$205,'Credit Notes'!$B$6:$B$205,$A222,'Credit Notes'!$H$6:$H$205,"Issued"))</f>
        <v/>
      </c>
      <c r="R222" s="34" t="str">
        <f aca="false">IF($A222="","",SUMIFS(Payments!$I$6:$I$505,Payments!$C$6:$C$505,$A222))</f>
        <v/>
      </c>
      <c r="S222" s="34" t="str">
        <f aca="false">IF($A222="","",IF($T222="Void",0,$P222-$Q222-$R222))</f>
        <v/>
      </c>
      <c r="T222" s="26"/>
      <c r="U222" s="35" t="str">
        <f aca="false">IF($A222="","",IF($T222="Void","Void",IF(OR($T222="",$T222="Draft"),"Draft",IF($T222="Disputed","Disputed",IF($S222&lt;-0.005,"Overpaid",IF($S222&lt;=0.005,"Paid",IF($R222+$Q222&gt;0.005,IF($V222&gt;0,"Part-paid, overdue","Part-paid"),IF($V222&gt;0,"Overdue","Outstanding"))))))))</f>
        <v/>
      </c>
      <c r="V222" s="36" t="str">
        <f aca="true">IF($A222="","",IF(AND(OR($T222="Issued",$T222="Disputed"),$S222&gt;0.005,$K222&lt;&gt;"",$K222&lt;TODAY()),TODAY()-$K222,0))</f>
        <v/>
      </c>
      <c r="W222" s="35" t="str">
        <f aca="false">IF($A222="","",IF(AND(OR($T222="Issued",$T222="Disputed"),$S222&gt;0.005),IF($V222&lt;=0,"Not yet due",IF($V222&lt;=30,"1 to 30 days",IF($V222&lt;=60,"31 to 60 days",IF($V222&lt;=90,"61 to 90 days","Over 90 days")))),""))</f>
        <v/>
      </c>
      <c r="X222" s="26"/>
      <c r="Y222" s="29"/>
      <c r="Z222" s="28"/>
      <c r="AA222" s="28"/>
    </row>
    <row r="223" customFormat="false" ht="15" hidden="false" customHeight="false" outlineLevel="0" collapsed="false">
      <c r="A223" s="26"/>
      <c r="B223" s="26"/>
      <c r="C223" s="27" t="str">
        <f aca="false">IF($B223="","",IFERROR(INDEX(Clients!$B$6:$B$105,MATCH($B223,Clients!$A$6:$A$105,0)),"Client not found"))</f>
        <v/>
      </c>
      <c r="D223" s="26"/>
      <c r="E223" s="26"/>
      <c r="F223" s="26"/>
      <c r="G223" s="26"/>
      <c r="H223" s="28"/>
      <c r="I223" s="29"/>
      <c r="J223" s="30" t="str">
        <f aca="false">IF($A223="","",IFERROR(IF(N(INDEX(Clients!$E$6:$E$105,MATCH($B223,Clients!$A$6:$A$105,0)))&gt;0,INDEX(Clients!$E$6:$E$105,MATCH($B223,Clients!$A$6:$A$105,0)),Dashboard!$B$6),Dashboard!$B$6))</f>
        <v/>
      </c>
      <c r="K223" s="31" t="str">
        <f aca="false">IF(OR($A223="",$I223=""),"",$I223+$J223)</f>
        <v/>
      </c>
      <c r="L223" s="26"/>
      <c r="M223" s="32"/>
      <c r="N223" s="33"/>
      <c r="O223" s="34" t="str">
        <f aca="false">IF($A223="","",N($M223)*N($N223))</f>
        <v/>
      </c>
      <c r="P223" s="34" t="str">
        <f aca="false">IF($A223="","",N($M223)+$O223)</f>
        <v/>
      </c>
      <c r="Q223" s="34" t="str">
        <f aca="false">IF($A223="","",SUMIFS('Credit Notes'!$F$6:$F$205,'Credit Notes'!$B$6:$B$205,$A223,'Credit Notes'!$H$6:$H$205,"Issued"))</f>
        <v/>
      </c>
      <c r="R223" s="34" t="str">
        <f aca="false">IF($A223="","",SUMIFS(Payments!$I$6:$I$505,Payments!$C$6:$C$505,$A223))</f>
        <v/>
      </c>
      <c r="S223" s="34" t="str">
        <f aca="false">IF($A223="","",IF($T223="Void",0,$P223-$Q223-$R223))</f>
        <v/>
      </c>
      <c r="T223" s="26"/>
      <c r="U223" s="35" t="str">
        <f aca="false">IF($A223="","",IF($T223="Void","Void",IF(OR($T223="",$T223="Draft"),"Draft",IF($T223="Disputed","Disputed",IF($S223&lt;-0.005,"Overpaid",IF($S223&lt;=0.005,"Paid",IF($R223+$Q223&gt;0.005,IF($V223&gt;0,"Part-paid, overdue","Part-paid"),IF($V223&gt;0,"Overdue","Outstanding"))))))))</f>
        <v/>
      </c>
      <c r="V223" s="36" t="str">
        <f aca="true">IF($A223="","",IF(AND(OR($T223="Issued",$T223="Disputed"),$S223&gt;0.005,$K223&lt;&gt;"",$K223&lt;TODAY()),TODAY()-$K223,0))</f>
        <v/>
      </c>
      <c r="W223" s="35" t="str">
        <f aca="false">IF($A223="","",IF(AND(OR($T223="Issued",$T223="Disputed"),$S223&gt;0.005),IF($V223&lt;=0,"Not yet due",IF($V223&lt;=30,"1 to 30 days",IF($V223&lt;=60,"31 to 60 days",IF($V223&lt;=90,"61 to 90 days","Over 90 days")))),""))</f>
        <v/>
      </c>
      <c r="X223" s="26"/>
      <c r="Y223" s="29"/>
      <c r="Z223" s="28"/>
      <c r="AA223" s="28"/>
    </row>
    <row r="224" customFormat="false" ht="15" hidden="false" customHeight="false" outlineLevel="0" collapsed="false">
      <c r="A224" s="26"/>
      <c r="B224" s="26"/>
      <c r="C224" s="27" t="str">
        <f aca="false">IF($B224="","",IFERROR(INDEX(Clients!$B$6:$B$105,MATCH($B224,Clients!$A$6:$A$105,0)),"Client not found"))</f>
        <v/>
      </c>
      <c r="D224" s="26"/>
      <c r="E224" s="26"/>
      <c r="F224" s="26"/>
      <c r="G224" s="26"/>
      <c r="H224" s="28"/>
      <c r="I224" s="29"/>
      <c r="J224" s="30" t="str">
        <f aca="false">IF($A224="","",IFERROR(IF(N(INDEX(Clients!$E$6:$E$105,MATCH($B224,Clients!$A$6:$A$105,0)))&gt;0,INDEX(Clients!$E$6:$E$105,MATCH($B224,Clients!$A$6:$A$105,0)),Dashboard!$B$6),Dashboard!$B$6))</f>
        <v/>
      </c>
      <c r="K224" s="31" t="str">
        <f aca="false">IF(OR($A224="",$I224=""),"",$I224+$J224)</f>
        <v/>
      </c>
      <c r="L224" s="26"/>
      <c r="M224" s="32"/>
      <c r="N224" s="33"/>
      <c r="O224" s="34" t="str">
        <f aca="false">IF($A224="","",N($M224)*N($N224))</f>
        <v/>
      </c>
      <c r="P224" s="34" t="str">
        <f aca="false">IF($A224="","",N($M224)+$O224)</f>
        <v/>
      </c>
      <c r="Q224" s="34" t="str">
        <f aca="false">IF($A224="","",SUMIFS('Credit Notes'!$F$6:$F$205,'Credit Notes'!$B$6:$B$205,$A224,'Credit Notes'!$H$6:$H$205,"Issued"))</f>
        <v/>
      </c>
      <c r="R224" s="34" t="str">
        <f aca="false">IF($A224="","",SUMIFS(Payments!$I$6:$I$505,Payments!$C$6:$C$505,$A224))</f>
        <v/>
      </c>
      <c r="S224" s="34" t="str">
        <f aca="false">IF($A224="","",IF($T224="Void",0,$P224-$Q224-$R224))</f>
        <v/>
      </c>
      <c r="T224" s="26"/>
      <c r="U224" s="35" t="str">
        <f aca="false">IF($A224="","",IF($T224="Void","Void",IF(OR($T224="",$T224="Draft"),"Draft",IF($T224="Disputed","Disputed",IF($S224&lt;-0.005,"Overpaid",IF($S224&lt;=0.005,"Paid",IF($R224+$Q224&gt;0.005,IF($V224&gt;0,"Part-paid, overdue","Part-paid"),IF($V224&gt;0,"Overdue","Outstanding"))))))))</f>
        <v/>
      </c>
      <c r="V224" s="36" t="str">
        <f aca="true">IF($A224="","",IF(AND(OR($T224="Issued",$T224="Disputed"),$S224&gt;0.005,$K224&lt;&gt;"",$K224&lt;TODAY()),TODAY()-$K224,0))</f>
        <v/>
      </c>
      <c r="W224" s="35" t="str">
        <f aca="false">IF($A224="","",IF(AND(OR($T224="Issued",$T224="Disputed"),$S224&gt;0.005),IF($V224&lt;=0,"Not yet due",IF($V224&lt;=30,"1 to 30 days",IF($V224&lt;=60,"31 to 60 days",IF($V224&lt;=90,"61 to 90 days","Over 90 days")))),""))</f>
        <v/>
      </c>
      <c r="X224" s="26"/>
      <c r="Y224" s="29"/>
      <c r="Z224" s="28"/>
      <c r="AA224" s="28"/>
    </row>
    <row r="225" customFormat="false" ht="15" hidden="false" customHeight="false" outlineLevel="0" collapsed="false">
      <c r="A225" s="26"/>
      <c r="B225" s="26"/>
      <c r="C225" s="27" t="str">
        <f aca="false">IF($B225="","",IFERROR(INDEX(Clients!$B$6:$B$105,MATCH($B225,Clients!$A$6:$A$105,0)),"Client not found"))</f>
        <v/>
      </c>
      <c r="D225" s="26"/>
      <c r="E225" s="26"/>
      <c r="F225" s="26"/>
      <c r="G225" s="26"/>
      <c r="H225" s="28"/>
      <c r="I225" s="29"/>
      <c r="J225" s="30" t="str">
        <f aca="false">IF($A225="","",IFERROR(IF(N(INDEX(Clients!$E$6:$E$105,MATCH($B225,Clients!$A$6:$A$105,0)))&gt;0,INDEX(Clients!$E$6:$E$105,MATCH($B225,Clients!$A$6:$A$105,0)),Dashboard!$B$6),Dashboard!$B$6))</f>
        <v/>
      </c>
      <c r="K225" s="31" t="str">
        <f aca="false">IF(OR($A225="",$I225=""),"",$I225+$J225)</f>
        <v/>
      </c>
      <c r="L225" s="26"/>
      <c r="M225" s="32"/>
      <c r="N225" s="33"/>
      <c r="O225" s="34" t="str">
        <f aca="false">IF($A225="","",N($M225)*N($N225))</f>
        <v/>
      </c>
      <c r="P225" s="34" t="str">
        <f aca="false">IF($A225="","",N($M225)+$O225)</f>
        <v/>
      </c>
      <c r="Q225" s="34" t="str">
        <f aca="false">IF($A225="","",SUMIFS('Credit Notes'!$F$6:$F$205,'Credit Notes'!$B$6:$B$205,$A225,'Credit Notes'!$H$6:$H$205,"Issued"))</f>
        <v/>
      </c>
      <c r="R225" s="34" t="str">
        <f aca="false">IF($A225="","",SUMIFS(Payments!$I$6:$I$505,Payments!$C$6:$C$505,$A225))</f>
        <v/>
      </c>
      <c r="S225" s="34" t="str">
        <f aca="false">IF($A225="","",IF($T225="Void",0,$P225-$Q225-$R225))</f>
        <v/>
      </c>
      <c r="T225" s="26"/>
      <c r="U225" s="35" t="str">
        <f aca="false">IF($A225="","",IF($T225="Void","Void",IF(OR($T225="",$T225="Draft"),"Draft",IF($T225="Disputed","Disputed",IF($S225&lt;-0.005,"Overpaid",IF($S225&lt;=0.005,"Paid",IF($R225+$Q225&gt;0.005,IF($V225&gt;0,"Part-paid, overdue","Part-paid"),IF($V225&gt;0,"Overdue","Outstanding"))))))))</f>
        <v/>
      </c>
      <c r="V225" s="36" t="str">
        <f aca="true">IF($A225="","",IF(AND(OR($T225="Issued",$T225="Disputed"),$S225&gt;0.005,$K225&lt;&gt;"",$K225&lt;TODAY()),TODAY()-$K225,0))</f>
        <v/>
      </c>
      <c r="W225" s="35" t="str">
        <f aca="false">IF($A225="","",IF(AND(OR($T225="Issued",$T225="Disputed"),$S225&gt;0.005),IF($V225&lt;=0,"Not yet due",IF($V225&lt;=30,"1 to 30 days",IF($V225&lt;=60,"31 to 60 days",IF($V225&lt;=90,"61 to 90 days","Over 90 days")))),""))</f>
        <v/>
      </c>
      <c r="X225" s="26"/>
      <c r="Y225" s="29"/>
      <c r="Z225" s="28"/>
      <c r="AA225" s="28"/>
    </row>
    <row r="226" customFormat="false" ht="15" hidden="false" customHeight="false" outlineLevel="0" collapsed="false">
      <c r="A226" s="26"/>
      <c r="B226" s="26"/>
      <c r="C226" s="27" t="str">
        <f aca="false">IF($B226="","",IFERROR(INDEX(Clients!$B$6:$B$105,MATCH($B226,Clients!$A$6:$A$105,0)),"Client not found"))</f>
        <v/>
      </c>
      <c r="D226" s="26"/>
      <c r="E226" s="26"/>
      <c r="F226" s="26"/>
      <c r="G226" s="26"/>
      <c r="H226" s="28"/>
      <c r="I226" s="29"/>
      <c r="J226" s="30" t="str">
        <f aca="false">IF($A226="","",IFERROR(IF(N(INDEX(Clients!$E$6:$E$105,MATCH($B226,Clients!$A$6:$A$105,0)))&gt;0,INDEX(Clients!$E$6:$E$105,MATCH($B226,Clients!$A$6:$A$105,0)),Dashboard!$B$6),Dashboard!$B$6))</f>
        <v/>
      </c>
      <c r="K226" s="31" t="str">
        <f aca="false">IF(OR($A226="",$I226=""),"",$I226+$J226)</f>
        <v/>
      </c>
      <c r="L226" s="26"/>
      <c r="M226" s="32"/>
      <c r="N226" s="33"/>
      <c r="O226" s="34" t="str">
        <f aca="false">IF($A226="","",N($M226)*N($N226))</f>
        <v/>
      </c>
      <c r="P226" s="34" t="str">
        <f aca="false">IF($A226="","",N($M226)+$O226)</f>
        <v/>
      </c>
      <c r="Q226" s="34" t="str">
        <f aca="false">IF($A226="","",SUMIFS('Credit Notes'!$F$6:$F$205,'Credit Notes'!$B$6:$B$205,$A226,'Credit Notes'!$H$6:$H$205,"Issued"))</f>
        <v/>
      </c>
      <c r="R226" s="34" t="str">
        <f aca="false">IF($A226="","",SUMIFS(Payments!$I$6:$I$505,Payments!$C$6:$C$505,$A226))</f>
        <v/>
      </c>
      <c r="S226" s="34" t="str">
        <f aca="false">IF($A226="","",IF($T226="Void",0,$P226-$Q226-$R226))</f>
        <v/>
      </c>
      <c r="T226" s="26"/>
      <c r="U226" s="35" t="str">
        <f aca="false">IF($A226="","",IF($T226="Void","Void",IF(OR($T226="",$T226="Draft"),"Draft",IF($T226="Disputed","Disputed",IF($S226&lt;-0.005,"Overpaid",IF($S226&lt;=0.005,"Paid",IF($R226+$Q226&gt;0.005,IF($V226&gt;0,"Part-paid, overdue","Part-paid"),IF($V226&gt;0,"Overdue","Outstanding"))))))))</f>
        <v/>
      </c>
      <c r="V226" s="36" t="str">
        <f aca="true">IF($A226="","",IF(AND(OR($T226="Issued",$T226="Disputed"),$S226&gt;0.005,$K226&lt;&gt;"",$K226&lt;TODAY()),TODAY()-$K226,0))</f>
        <v/>
      </c>
      <c r="W226" s="35" t="str">
        <f aca="false">IF($A226="","",IF(AND(OR($T226="Issued",$T226="Disputed"),$S226&gt;0.005),IF($V226&lt;=0,"Not yet due",IF($V226&lt;=30,"1 to 30 days",IF($V226&lt;=60,"31 to 60 days",IF($V226&lt;=90,"61 to 90 days","Over 90 days")))),""))</f>
        <v/>
      </c>
      <c r="X226" s="26"/>
      <c r="Y226" s="29"/>
      <c r="Z226" s="28"/>
      <c r="AA226" s="28"/>
    </row>
    <row r="227" customFormat="false" ht="15" hidden="false" customHeight="false" outlineLevel="0" collapsed="false">
      <c r="A227" s="26"/>
      <c r="B227" s="26"/>
      <c r="C227" s="27" t="str">
        <f aca="false">IF($B227="","",IFERROR(INDEX(Clients!$B$6:$B$105,MATCH($B227,Clients!$A$6:$A$105,0)),"Client not found"))</f>
        <v/>
      </c>
      <c r="D227" s="26"/>
      <c r="E227" s="26"/>
      <c r="F227" s="26"/>
      <c r="G227" s="26"/>
      <c r="H227" s="28"/>
      <c r="I227" s="29"/>
      <c r="J227" s="30" t="str">
        <f aca="false">IF($A227="","",IFERROR(IF(N(INDEX(Clients!$E$6:$E$105,MATCH($B227,Clients!$A$6:$A$105,0)))&gt;0,INDEX(Clients!$E$6:$E$105,MATCH($B227,Clients!$A$6:$A$105,0)),Dashboard!$B$6),Dashboard!$B$6))</f>
        <v/>
      </c>
      <c r="K227" s="31" t="str">
        <f aca="false">IF(OR($A227="",$I227=""),"",$I227+$J227)</f>
        <v/>
      </c>
      <c r="L227" s="26"/>
      <c r="M227" s="32"/>
      <c r="N227" s="33"/>
      <c r="O227" s="34" t="str">
        <f aca="false">IF($A227="","",N($M227)*N($N227))</f>
        <v/>
      </c>
      <c r="P227" s="34" t="str">
        <f aca="false">IF($A227="","",N($M227)+$O227)</f>
        <v/>
      </c>
      <c r="Q227" s="34" t="str">
        <f aca="false">IF($A227="","",SUMIFS('Credit Notes'!$F$6:$F$205,'Credit Notes'!$B$6:$B$205,$A227,'Credit Notes'!$H$6:$H$205,"Issued"))</f>
        <v/>
      </c>
      <c r="R227" s="34" t="str">
        <f aca="false">IF($A227="","",SUMIFS(Payments!$I$6:$I$505,Payments!$C$6:$C$505,$A227))</f>
        <v/>
      </c>
      <c r="S227" s="34" t="str">
        <f aca="false">IF($A227="","",IF($T227="Void",0,$P227-$Q227-$R227))</f>
        <v/>
      </c>
      <c r="T227" s="26"/>
      <c r="U227" s="35" t="str">
        <f aca="false">IF($A227="","",IF($T227="Void","Void",IF(OR($T227="",$T227="Draft"),"Draft",IF($T227="Disputed","Disputed",IF($S227&lt;-0.005,"Overpaid",IF($S227&lt;=0.005,"Paid",IF($R227+$Q227&gt;0.005,IF($V227&gt;0,"Part-paid, overdue","Part-paid"),IF($V227&gt;0,"Overdue","Outstanding"))))))))</f>
        <v/>
      </c>
      <c r="V227" s="36" t="str">
        <f aca="true">IF($A227="","",IF(AND(OR($T227="Issued",$T227="Disputed"),$S227&gt;0.005,$K227&lt;&gt;"",$K227&lt;TODAY()),TODAY()-$K227,0))</f>
        <v/>
      </c>
      <c r="W227" s="35" t="str">
        <f aca="false">IF($A227="","",IF(AND(OR($T227="Issued",$T227="Disputed"),$S227&gt;0.005),IF($V227&lt;=0,"Not yet due",IF($V227&lt;=30,"1 to 30 days",IF($V227&lt;=60,"31 to 60 days",IF($V227&lt;=90,"61 to 90 days","Over 90 days")))),""))</f>
        <v/>
      </c>
      <c r="X227" s="26"/>
      <c r="Y227" s="29"/>
      <c r="Z227" s="28"/>
      <c r="AA227" s="28"/>
    </row>
    <row r="228" customFormat="false" ht="15" hidden="false" customHeight="false" outlineLevel="0" collapsed="false">
      <c r="A228" s="26"/>
      <c r="B228" s="26"/>
      <c r="C228" s="27" t="str">
        <f aca="false">IF($B228="","",IFERROR(INDEX(Clients!$B$6:$B$105,MATCH($B228,Clients!$A$6:$A$105,0)),"Client not found"))</f>
        <v/>
      </c>
      <c r="D228" s="26"/>
      <c r="E228" s="26"/>
      <c r="F228" s="26"/>
      <c r="G228" s="26"/>
      <c r="H228" s="28"/>
      <c r="I228" s="29"/>
      <c r="J228" s="30" t="str">
        <f aca="false">IF($A228="","",IFERROR(IF(N(INDEX(Clients!$E$6:$E$105,MATCH($B228,Clients!$A$6:$A$105,0)))&gt;0,INDEX(Clients!$E$6:$E$105,MATCH($B228,Clients!$A$6:$A$105,0)),Dashboard!$B$6),Dashboard!$B$6))</f>
        <v/>
      </c>
      <c r="K228" s="31" t="str">
        <f aca="false">IF(OR($A228="",$I228=""),"",$I228+$J228)</f>
        <v/>
      </c>
      <c r="L228" s="26"/>
      <c r="M228" s="32"/>
      <c r="N228" s="33"/>
      <c r="O228" s="34" t="str">
        <f aca="false">IF($A228="","",N($M228)*N($N228))</f>
        <v/>
      </c>
      <c r="P228" s="34" t="str">
        <f aca="false">IF($A228="","",N($M228)+$O228)</f>
        <v/>
      </c>
      <c r="Q228" s="34" t="str">
        <f aca="false">IF($A228="","",SUMIFS('Credit Notes'!$F$6:$F$205,'Credit Notes'!$B$6:$B$205,$A228,'Credit Notes'!$H$6:$H$205,"Issued"))</f>
        <v/>
      </c>
      <c r="R228" s="34" t="str">
        <f aca="false">IF($A228="","",SUMIFS(Payments!$I$6:$I$505,Payments!$C$6:$C$505,$A228))</f>
        <v/>
      </c>
      <c r="S228" s="34" t="str">
        <f aca="false">IF($A228="","",IF($T228="Void",0,$P228-$Q228-$R228))</f>
        <v/>
      </c>
      <c r="T228" s="26"/>
      <c r="U228" s="35" t="str">
        <f aca="false">IF($A228="","",IF($T228="Void","Void",IF(OR($T228="",$T228="Draft"),"Draft",IF($T228="Disputed","Disputed",IF($S228&lt;-0.005,"Overpaid",IF($S228&lt;=0.005,"Paid",IF($R228+$Q228&gt;0.005,IF($V228&gt;0,"Part-paid, overdue","Part-paid"),IF($V228&gt;0,"Overdue","Outstanding"))))))))</f>
        <v/>
      </c>
      <c r="V228" s="36" t="str">
        <f aca="true">IF($A228="","",IF(AND(OR($T228="Issued",$T228="Disputed"),$S228&gt;0.005,$K228&lt;&gt;"",$K228&lt;TODAY()),TODAY()-$K228,0))</f>
        <v/>
      </c>
      <c r="W228" s="35" t="str">
        <f aca="false">IF($A228="","",IF(AND(OR($T228="Issued",$T228="Disputed"),$S228&gt;0.005),IF($V228&lt;=0,"Not yet due",IF($V228&lt;=30,"1 to 30 days",IF($V228&lt;=60,"31 to 60 days",IF($V228&lt;=90,"61 to 90 days","Over 90 days")))),""))</f>
        <v/>
      </c>
      <c r="X228" s="26"/>
      <c r="Y228" s="29"/>
      <c r="Z228" s="28"/>
      <c r="AA228" s="28"/>
    </row>
    <row r="229" customFormat="false" ht="15" hidden="false" customHeight="false" outlineLevel="0" collapsed="false">
      <c r="A229" s="26"/>
      <c r="B229" s="26"/>
      <c r="C229" s="27" t="str">
        <f aca="false">IF($B229="","",IFERROR(INDEX(Clients!$B$6:$B$105,MATCH($B229,Clients!$A$6:$A$105,0)),"Client not found"))</f>
        <v/>
      </c>
      <c r="D229" s="26"/>
      <c r="E229" s="26"/>
      <c r="F229" s="26"/>
      <c r="G229" s="26"/>
      <c r="H229" s="28"/>
      <c r="I229" s="29"/>
      <c r="J229" s="30" t="str">
        <f aca="false">IF($A229="","",IFERROR(IF(N(INDEX(Clients!$E$6:$E$105,MATCH($B229,Clients!$A$6:$A$105,0)))&gt;0,INDEX(Clients!$E$6:$E$105,MATCH($B229,Clients!$A$6:$A$105,0)),Dashboard!$B$6),Dashboard!$B$6))</f>
        <v/>
      </c>
      <c r="K229" s="31" t="str">
        <f aca="false">IF(OR($A229="",$I229=""),"",$I229+$J229)</f>
        <v/>
      </c>
      <c r="L229" s="26"/>
      <c r="M229" s="32"/>
      <c r="N229" s="33"/>
      <c r="O229" s="34" t="str">
        <f aca="false">IF($A229="","",N($M229)*N($N229))</f>
        <v/>
      </c>
      <c r="P229" s="34" t="str">
        <f aca="false">IF($A229="","",N($M229)+$O229)</f>
        <v/>
      </c>
      <c r="Q229" s="34" t="str">
        <f aca="false">IF($A229="","",SUMIFS('Credit Notes'!$F$6:$F$205,'Credit Notes'!$B$6:$B$205,$A229,'Credit Notes'!$H$6:$H$205,"Issued"))</f>
        <v/>
      </c>
      <c r="R229" s="34" t="str">
        <f aca="false">IF($A229="","",SUMIFS(Payments!$I$6:$I$505,Payments!$C$6:$C$505,$A229))</f>
        <v/>
      </c>
      <c r="S229" s="34" t="str">
        <f aca="false">IF($A229="","",IF($T229="Void",0,$P229-$Q229-$R229))</f>
        <v/>
      </c>
      <c r="T229" s="26"/>
      <c r="U229" s="35" t="str">
        <f aca="false">IF($A229="","",IF($T229="Void","Void",IF(OR($T229="",$T229="Draft"),"Draft",IF($T229="Disputed","Disputed",IF($S229&lt;-0.005,"Overpaid",IF($S229&lt;=0.005,"Paid",IF($R229+$Q229&gt;0.005,IF($V229&gt;0,"Part-paid, overdue","Part-paid"),IF($V229&gt;0,"Overdue","Outstanding"))))))))</f>
        <v/>
      </c>
      <c r="V229" s="36" t="str">
        <f aca="true">IF($A229="","",IF(AND(OR($T229="Issued",$T229="Disputed"),$S229&gt;0.005,$K229&lt;&gt;"",$K229&lt;TODAY()),TODAY()-$K229,0))</f>
        <v/>
      </c>
      <c r="W229" s="35" t="str">
        <f aca="false">IF($A229="","",IF(AND(OR($T229="Issued",$T229="Disputed"),$S229&gt;0.005),IF($V229&lt;=0,"Not yet due",IF($V229&lt;=30,"1 to 30 days",IF($V229&lt;=60,"31 to 60 days",IF($V229&lt;=90,"61 to 90 days","Over 90 days")))),""))</f>
        <v/>
      </c>
      <c r="X229" s="26"/>
      <c r="Y229" s="29"/>
      <c r="Z229" s="28"/>
      <c r="AA229" s="28"/>
    </row>
    <row r="230" customFormat="false" ht="15" hidden="false" customHeight="false" outlineLevel="0" collapsed="false">
      <c r="A230" s="26"/>
      <c r="B230" s="26"/>
      <c r="C230" s="27" t="str">
        <f aca="false">IF($B230="","",IFERROR(INDEX(Clients!$B$6:$B$105,MATCH($B230,Clients!$A$6:$A$105,0)),"Client not found"))</f>
        <v/>
      </c>
      <c r="D230" s="26"/>
      <c r="E230" s="26"/>
      <c r="F230" s="26"/>
      <c r="G230" s="26"/>
      <c r="H230" s="28"/>
      <c r="I230" s="29"/>
      <c r="J230" s="30" t="str">
        <f aca="false">IF($A230="","",IFERROR(IF(N(INDEX(Clients!$E$6:$E$105,MATCH($B230,Clients!$A$6:$A$105,0)))&gt;0,INDEX(Clients!$E$6:$E$105,MATCH($B230,Clients!$A$6:$A$105,0)),Dashboard!$B$6),Dashboard!$B$6))</f>
        <v/>
      </c>
      <c r="K230" s="31" t="str">
        <f aca="false">IF(OR($A230="",$I230=""),"",$I230+$J230)</f>
        <v/>
      </c>
      <c r="L230" s="26"/>
      <c r="M230" s="32"/>
      <c r="N230" s="33"/>
      <c r="O230" s="34" t="str">
        <f aca="false">IF($A230="","",N($M230)*N($N230))</f>
        <v/>
      </c>
      <c r="P230" s="34" t="str">
        <f aca="false">IF($A230="","",N($M230)+$O230)</f>
        <v/>
      </c>
      <c r="Q230" s="34" t="str">
        <f aca="false">IF($A230="","",SUMIFS('Credit Notes'!$F$6:$F$205,'Credit Notes'!$B$6:$B$205,$A230,'Credit Notes'!$H$6:$H$205,"Issued"))</f>
        <v/>
      </c>
      <c r="R230" s="34" t="str">
        <f aca="false">IF($A230="","",SUMIFS(Payments!$I$6:$I$505,Payments!$C$6:$C$505,$A230))</f>
        <v/>
      </c>
      <c r="S230" s="34" t="str">
        <f aca="false">IF($A230="","",IF($T230="Void",0,$P230-$Q230-$R230))</f>
        <v/>
      </c>
      <c r="T230" s="26"/>
      <c r="U230" s="35" t="str">
        <f aca="false">IF($A230="","",IF($T230="Void","Void",IF(OR($T230="",$T230="Draft"),"Draft",IF($T230="Disputed","Disputed",IF($S230&lt;-0.005,"Overpaid",IF($S230&lt;=0.005,"Paid",IF($R230+$Q230&gt;0.005,IF($V230&gt;0,"Part-paid, overdue","Part-paid"),IF($V230&gt;0,"Overdue","Outstanding"))))))))</f>
        <v/>
      </c>
      <c r="V230" s="36" t="str">
        <f aca="true">IF($A230="","",IF(AND(OR($T230="Issued",$T230="Disputed"),$S230&gt;0.005,$K230&lt;&gt;"",$K230&lt;TODAY()),TODAY()-$K230,0))</f>
        <v/>
      </c>
      <c r="W230" s="35" t="str">
        <f aca="false">IF($A230="","",IF(AND(OR($T230="Issued",$T230="Disputed"),$S230&gt;0.005),IF($V230&lt;=0,"Not yet due",IF($V230&lt;=30,"1 to 30 days",IF($V230&lt;=60,"31 to 60 days",IF($V230&lt;=90,"61 to 90 days","Over 90 days")))),""))</f>
        <v/>
      </c>
      <c r="X230" s="26"/>
      <c r="Y230" s="29"/>
      <c r="Z230" s="28"/>
      <c r="AA230" s="28"/>
    </row>
    <row r="231" customFormat="false" ht="15" hidden="false" customHeight="false" outlineLevel="0" collapsed="false">
      <c r="A231" s="26"/>
      <c r="B231" s="26"/>
      <c r="C231" s="27" t="str">
        <f aca="false">IF($B231="","",IFERROR(INDEX(Clients!$B$6:$B$105,MATCH($B231,Clients!$A$6:$A$105,0)),"Client not found"))</f>
        <v/>
      </c>
      <c r="D231" s="26"/>
      <c r="E231" s="26"/>
      <c r="F231" s="26"/>
      <c r="G231" s="26"/>
      <c r="H231" s="28"/>
      <c r="I231" s="29"/>
      <c r="J231" s="30" t="str">
        <f aca="false">IF($A231="","",IFERROR(IF(N(INDEX(Clients!$E$6:$E$105,MATCH($B231,Clients!$A$6:$A$105,0)))&gt;0,INDEX(Clients!$E$6:$E$105,MATCH($B231,Clients!$A$6:$A$105,0)),Dashboard!$B$6),Dashboard!$B$6))</f>
        <v/>
      </c>
      <c r="K231" s="31" t="str">
        <f aca="false">IF(OR($A231="",$I231=""),"",$I231+$J231)</f>
        <v/>
      </c>
      <c r="L231" s="26"/>
      <c r="M231" s="32"/>
      <c r="N231" s="33"/>
      <c r="O231" s="34" t="str">
        <f aca="false">IF($A231="","",N($M231)*N($N231))</f>
        <v/>
      </c>
      <c r="P231" s="34" t="str">
        <f aca="false">IF($A231="","",N($M231)+$O231)</f>
        <v/>
      </c>
      <c r="Q231" s="34" t="str">
        <f aca="false">IF($A231="","",SUMIFS('Credit Notes'!$F$6:$F$205,'Credit Notes'!$B$6:$B$205,$A231,'Credit Notes'!$H$6:$H$205,"Issued"))</f>
        <v/>
      </c>
      <c r="R231" s="34" t="str">
        <f aca="false">IF($A231="","",SUMIFS(Payments!$I$6:$I$505,Payments!$C$6:$C$505,$A231))</f>
        <v/>
      </c>
      <c r="S231" s="34" t="str">
        <f aca="false">IF($A231="","",IF($T231="Void",0,$P231-$Q231-$R231))</f>
        <v/>
      </c>
      <c r="T231" s="26"/>
      <c r="U231" s="35" t="str">
        <f aca="false">IF($A231="","",IF($T231="Void","Void",IF(OR($T231="",$T231="Draft"),"Draft",IF($T231="Disputed","Disputed",IF($S231&lt;-0.005,"Overpaid",IF($S231&lt;=0.005,"Paid",IF($R231+$Q231&gt;0.005,IF($V231&gt;0,"Part-paid, overdue","Part-paid"),IF($V231&gt;0,"Overdue","Outstanding"))))))))</f>
        <v/>
      </c>
      <c r="V231" s="36" t="str">
        <f aca="true">IF($A231="","",IF(AND(OR($T231="Issued",$T231="Disputed"),$S231&gt;0.005,$K231&lt;&gt;"",$K231&lt;TODAY()),TODAY()-$K231,0))</f>
        <v/>
      </c>
      <c r="W231" s="35" t="str">
        <f aca="false">IF($A231="","",IF(AND(OR($T231="Issued",$T231="Disputed"),$S231&gt;0.005),IF($V231&lt;=0,"Not yet due",IF($V231&lt;=30,"1 to 30 days",IF($V231&lt;=60,"31 to 60 days",IF($V231&lt;=90,"61 to 90 days","Over 90 days")))),""))</f>
        <v/>
      </c>
      <c r="X231" s="26"/>
      <c r="Y231" s="29"/>
      <c r="Z231" s="28"/>
      <c r="AA231" s="28"/>
    </row>
    <row r="232" customFormat="false" ht="15" hidden="false" customHeight="false" outlineLevel="0" collapsed="false">
      <c r="A232" s="26"/>
      <c r="B232" s="26"/>
      <c r="C232" s="27" t="str">
        <f aca="false">IF($B232="","",IFERROR(INDEX(Clients!$B$6:$B$105,MATCH($B232,Clients!$A$6:$A$105,0)),"Client not found"))</f>
        <v/>
      </c>
      <c r="D232" s="26"/>
      <c r="E232" s="26"/>
      <c r="F232" s="26"/>
      <c r="G232" s="26"/>
      <c r="H232" s="28"/>
      <c r="I232" s="29"/>
      <c r="J232" s="30" t="str">
        <f aca="false">IF($A232="","",IFERROR(IF(N(INDEX(Clients!$E$6:$E$105,MATCH($B232,Clients!$A$6:$A$105,0)))&gt;0,INDEX(Clients!$E$6:$E$105,MATCH($B232,Clients!$A$6:$A$105,0)),Dashboard!$B$6),Dashboard!$B$6))</f>
        <v/>
      </c>
      <c r="K232" s="31" t="str">
        <f aca="false">IF(OR($A232="",$I232=""),"",$I232+$J232)</f>
        <v/>
      </c>
      <c r="L232" s="26"/>
      <c r="M232" s="32"/>
      <c r="N232" s="33"/>
      <c r="O232" s="34" t="str">
        <f aca="false">IF($A232="","",N($M232)*N($N232))</f>
        <v/>
      </c>
      <c r="P232" s="34" t="str">
        <f aca="false">IF($A232="","",N($M232)+$O232)</f>
        <v/>
      </c>
      <c r="Q232" s="34" t="str">
        <f aca="false">IF($A232="","",SUMIFS('Credit Notes'!$F$6:$F$205,'Credit Notes'!$B$6:$B$205,$A232,'Credit Notes'!$H$6:$H$205,"Issued"))</f>
        <v/>
      </c>
      <c r="R232" s="34" t="str">
        <f aca="false">IF($A232="","",SUMIFS(Payments!$I$6:$I$505,Payments!$C$6:$C$505,$A232))</f>
        <v/>
      </c>
      <c r="S232" s="34" t="str">
        <f aca="false">IF($A232="","",IF($T232="Void",0,$P232-$Q232-$R232))</f>
        <v/>
      </c>
      <c r="T232" s="26"/>
      <c r="U232" s="35" t="str">
        <f aca="false">IF($A232="","",IF($T232="Void","Void",IF(OR($T232="",$T232="Draft"),"Draft",IF($T232="Disputed","Disputed",IF($S232&lt;-0.005,"Overpaid",IF($S232&lt;=0.005,"Paid",IF($R232+$Q232&gt;0.005,IF($V232&gt;0,"Part-paid, overdue","Part-paid"),IF($V232&gt;0,"Overdue","Outstanding"))))))))</f>
        <v/>
      </c>
      <c r="V232" s="36" t="str">
        <f aca="true">IF($A232="","",IF(AND(OR($T232="Issued",$T232="Disputed"),$S232&gt;0.005,$K232&lt;&gt;"",$K232&lt;TODAY()),TODAY()-$K232,0))</f>
        <v/>
      </c>
      <c r="W232" s="35" t="str">
        <f aca="false">IF($A232="","",IF(AND(OR($T232="Issued",$T232="Disputed"),$S232&gt;0.005),IF($V232&lt;=0,"Not yet due",IF($V232&lt;=30,"1 to 30 days",IF($V232&lt;=60,"31 to 60 days",IF($V232&lt;=90,"61 to 90 days","Over 90 days")))),""))</f>
        <v/>
      </c>
      <c r="X232" s="26"/>
      <c r="Y232" s="29"/>
      <c r="Z232" s="28"/>
      <c r="AA232" s="28"/>
    </row>
    <row r="233" customFormat="false" ht="15" hidden="false" customHeight="false" outlineLevel="0" collapsed="false">
      <c r="A233" s="26"/>
      <c r="B233" s="26"/>
      <c r="C233" s="27" t="str">
        <f aca="false">IF($B233="","",IFERROR(INDEX(Clients!$B$6:$B$105,MATCH($B233,Clients!$A$6:$A$105,0)),"Client not found"))</f>
        <v/>
      </c>
      <c r="D233" s="26"/>
      <c r="E233" s="26"/>
      <c r="F233" s="26"/>
      <c r="G233" s="26"/>
      <c r="H233" s="28"/>
      <c r="I233" s="29"/>
      <c r="J233" s="30" t="str">
        <f aca="false">IF($A233="","",IFERROR(IF(N(INDEX(Clients!$E$6:$E$105,MATCH($B233,Clients!$A$6:$A$105,0)))&gt;0,INDEX(Clients!$E$6:$E$105,MATCH($B233,Clients!$A$6:$A$105,0)),Dashboard!$B$6),Dashboard!$B$6))</f>
        <v/>
      </c>
      <c r="K233" s="31" t="str">
        <f aca="false">IF(OR($A233="",$I233=""),"",$I233+$J233)</f>
        <v/>
      </c>
      <c r="L233" s="26"/>
      <c r="M233" s="32"/>
      <c r="N233" s="33"/>
      <c r="O233" s="34" t="str">
        <f aca="false">IF($A233="","",N($M233)*N($N233))</f>
        <v/>
      </c>
      <c r="P233" s="34" t="str">
        <f aca="false">IF($A233="","",N($M233)+$O233)</f>
        <v/>
      </c>
      <c r="Q233" s="34" t="str">
        <f aca="false">IF($A233="","",SUMIFS('Credit Notes'!$F$6:$F$205,'Credit Notes'!$B$6:$B$205,$A233,'Credit Notes'!$H$6:$H$205,"Issued"))</f>
        <v/>
      </c>
      <c r="R233" s="34" t="str">
        <f aca="false">IF($A233="","",SUMIFS(Payments!$I$6:$I$505,Payments!$C$6:$C$505,$A233))</f>
        <v/>
      </c>
      <c r="S233" s="34" t="str">
        <f aca="false">IF($A233="","",IF($T233="Void",0,$P233-$Q233-$R233))</f>
        <v/>
      </c>
      <c r="T233" s="26"/>
      <c r="U233" s="35" t="str">
        <f aca="false">IF($A233="","",IF($T233="Void","Void",IF(OR($T233="",$T233="Draft"),"Draft",IF($T233="Disputed","Disputed",IF($S233&lt;-0.005,"Overpaid",IF($S233&lt;=0.005,"Paid",IF($R233+$Q233&gt;0.005,IF($V233&gt;0,"Part-paid, overdue","Part-paid"),IF($V233&gt;0,"Overdue","Outstanding"))))))))</f>
        <v/>
      </c>
      <c r="V233" s="36" t="str">
        <f aca="true">IF($A233="","",IF(AND(OR($T233="Issued",$T233="Disputed"),$S233&gt;0.005,$K233&lt;&gt;"",$K233&lt;TODAY()),TODAY()-$K233,0))</f>
        <v/>
      </c>
      <c r="W233" s="35" t="str">
        <f aca="false">IF($A233="","",IF(AND(OR($T233="Issued",$T233="Disputed"),$S233&gt;0.005),IF($V233&lt;=0,"Not yet due",IF($V233&lt;=30,"1 to 30 days",IF($V233&lt;=60,"31 to 60 days",IF($V233&lt;=90,"61 to 90 days","Over 90 days")))),""))</f>
        <v/>
      </c>
      <c r="X233" s="26"/>
      <c r="Y233" s="29"/>
      <c r="Z233" s="28"/>
      <c r="AA233" s="28"/>
    </row>
    <row r="234" customFormat="false" ht="15" hidden="false" customHeight="false" outlineLevel="0" collapsed="false">
      <c r="A234" s="26"/>
      <c r="B234" s="26"/>
      <c r="C234" s="27" t="str">
        <f aca="false">IF($B234="","",IFERROR(INDEX(Clients!$B$6:$B$105,MATCH($B234,Clients!$A$6:$A$105,0)),"Client not found"))</f>
        <v/>
      </c>
      <c r="D234" s="26"/>
      <c r="E234" s="26"/>
      <c r="F234" s="26"/>
      <c r="G234" s="26"/>
      <c r="H234" s="28"/>
      <c r="I234" s="29"/>
      <c r="J234" s="30" t="str">
        <f aca="false">IF($A234="","",IFERROR(IF(N(INDEX(Clients!$E$6:$E$105,MATCH($B234,Clients!$A$6:$A$105,0)))&gt;0,INDEX(Clients!$E$6:$E$105,MATCH($B234,Clients!$A$6:$A$105,0)),Dashboard!$B$6),Dashboard!$B$6))</f>
        <v/>
      </c>
      <c r="K234" s="31" t="str">
        <f aca="false">IF(OR($A234="",$I234=""),"",$I234+$J234)</f>
        <v/>
      </c>
      <c r="L234" s="26"/>
      <c r="M234" s="32"/>
      <c r="N234" s="33"/>
      <c r="O234" s="34" t="str">
        <f aca="false">IF($A234="","",N($M234)*N($N234))</f>
        <v/>
      </c>
      <c r="P234" s="34" t="str">
        <f aca="false">IF($A234="","",N($M234)+$O234)</f>
        <v/>
      </c>
      <c r="Q234" s="34" t="str">
        <f aca="false">IF($A234="","",SUMIFS('Credit Notes'!$F$6:$F$205,'Credit Notes'!$B$6:$B$205,$A234,'Credit Notes'!$H$6:$H$205,"Issued"))</f>
        <v/>
      </c>
      <c r="R234" s="34" t="str">
        <f aca="false">IF($A234="","",SUMIFS(Payments!$I$6:$I$505,Payments!$C$6:$C$505,$A234))</f>
        <v/>
      </c>
      <c r="S234" s="34" t="str">
        <f aca="false">IF($A234="","",IF($T234="Void",0,$P234-$Q234-$R234))</f>
        <v/>
      </c>
      <c r="T234" s="26"/>
      <c r="U234" s="35" t="str">
        <f aca="false">IF($A234="","",IF($T234="Void","Void",IF(OR($T234="",$T234="Draft"),"Draft",IF($T234="Disputed","Disputed",IF($S234&lt;-0.005,"Overpaid",IF($S234&lt;=0.005,"Paid",IF($R234+$Q234&gt;0.005,IF($V234&gt;0,"Part-paid, overdue","Part-paid"),IF($V234&gt;0,"Overdue","Outstanding"))))))))</f>
        <v/>
      </c>
      <c r="V234" s="36" t="str">
        <f aca="true">IF($A234="","",IF(AND(OR($T234="Issued",$T234="Disputed"),$S234&gt;0.005,$K234&lt;&gt;"",$K234&lt;TODAY()),TODAY()-$K234,0))</f>
        <v/>
      </c>
      <c r="W234" s="35" t="str">
        <f aca="false">IF($A234="","",IF(AND(OR($T234="Issued",$T234="Disputed"),$S234&gt;0.005),IF($V234&lt;=0,"Not yet due",IF($V234&lt;=30,"1 to 30 days",IF($V234&lt;=60,"31 to 60 days",IF($V234&lt;=90,"61 to 90 days","Over 90 days")))),""))</f>
        <v/>
      </c>
      <c r="X234" s="26"/>
      <c r="Y234" s="29"/>
      <c r="Z234" s="28"/>
      <c r="AA234" s="28"/>
    </row>
    <row r="235" customFormat="false" ht="15" hidden="false" customHeight="false" outlineLevel="0" collapsed="false">
      <c r="A235" s="26"/>
      <c r="B235" s="26"/>
      <c r="C235" s="27" t="str">
        <f aca="false">IF($B235="","",IFERROR(INDEX(Clients!$B$6:$B$105,MATCH($B235,Clients!$A$6:$A$105,0)),"Client not found"))</f>
        <v/>
      </c>
      <c r="D235" s="26"/>
      <c r="E235" s="26"/>
      <c r="F235" s="26"/>
      <c r="G235" s="26"/>
      <c r="H235" s="28"/>
      <c r="I235" s="29"/>
      <c r="J235" s="30" t="str">
        <f aca="false">IF($A235="","",IFERROR(IF(N(INDEX(Clients!$E$6:$E$105,MATCH($B235,Clients!$A$6:$A$105,0)))&gt;0,INDEX(Clients!$E$6:$E$105,MATCH($B235,Clients!$A$6:$A$105,0)),Dashboard!$B$6),Dashboard!$B$6))</f>
        <v/>
      </c>
      <c r="K235" s="31" t="str">
        <f aca="false">IF(OR($A235="",$I235=""),"",$I235+$J235)</f>
        <v/>
      </c>
      <c r="L235" s="26"/>
      <c r="M235" s="32"/>
      <c r="N235" s="33"/>
      <c r="O235" s="34" t="str">
        <f aca="false">IF($A235="","",N($M235)*N($N235))</f>
        <v/>
      </c>
      <c r="P235" s="34" t="str">
        <f aca="false">IF($A235="","",N($M235)+$O235)</f>
        <v/>
      </c>
      <c r="Q235" s="34" t="str">
        <f aca="false">IF($A235="","",SUMIFS('Credit Notes'!$F$6:$F$205,'Credit Notes'!$B$6:$B$205,$A235,'Credit Notes'!$H$6:$H$205,"Issued"))</f>
        <v/>
      </c>
      <c r="R235" s="34" t="str">
        <f aca="false">IF($A235="","",SUMIFS(Payments!$I$6:$I$505,Payments!$C$6:$C$505,$A235))</f>
        <v/>
      </c>
      <c r="S235" s="34" t="str">
        <f aca="false">IF($A235="","",IF($T235="Void",0,$P235-$Q235-$R235))</f>
        <v/>
      </c>
      <c r="T235" s="26"/>
      <c r="U235" s="35" t="str">
        <f aca="false">IF($A235="","",IF($T235="Void","Void",IF(OR($T235="",$T235="Draft"),"Draft",IF($T235="Disputed","Disputed",IF($S235&lt;-0.005,"Overpaid",IF($S235&lt;=0.005,"Paid",IF($R235+$Q235&gt;0.005,IF($V235&gt;0,"Part-paid, overdue","Part-paid"),IF($V235&gt;0,"Overdue","Outstanding"))))))))</f>
        <v/>
      </c>
      <c r="V235" s="36" t="str">
        <f aca="true">IF($A235="","",IF(AND(OR($T235="Issued",$T235="Disputed"),$S235&gt;0.005,$K235&lt;&gt;"",$K235&lt;TODAY()),TODAY()-$K235,0))</f>
        <v/>
      </c>
      <c r="W235" s="35" t="str">
        <f aca="false">IF($A235="","",IF(AND(OR($T235="Issued",$T235="Disputed"),$S235&gt;0.005),IF($V235&lt;=0,"Not yet due",IF($V235&lt;=30,"1 to 30 days",IF($V235&lt;=60,"31 to 60 days",IF($V235&lt;=90,"61 to 90 days","Over 90 days")))),""))</f>
        <v/>
      </c>
      <c r="X235" s="26"/>
      <c r="Y235" s="29"/>
      <c r="Z235" s="28"/>
      <c r="AA235" s="28"/>
    </row>
    <row r="236" customFormat="false" ht="15" hidden="false" customHeight="false" outlineLevel="0" collapsed="false">
      <c r="A236" s="26"/>
      <c r="B236" s="26"/>
      <c r="C236" s="27" t="str">
        <f aca="false">IF($B236="","",IFERROR(INDEX(Clients!$B$6:$B$105,MATCH($B236,Clients!$A$6:$A$105,0)),"Client not found"))</f>
        <v/>
      </c>
      <c r="D236" s="26"/>
      <c r="E236" s="26"/>
      <c r="F236" s="26"/>
      <c r="G236" s="26"/>
      <c r="H236" s="28"/>
      <c r="I236" s="29"/>
      <c r="J236" s="30" t="str">
        <f aca="false">IF($A236="","",IFERROR(IF(N(INDEX(Clients!$E$6:$E$105,MATCH($B236,Clients!$A$6:$A$105,0)))&gt;0,INDEX(Clients!$E$6:$E$105,MATCH($B236,Clients!$A$6:$A$105,0)),Dashboard!$B$6),Dashboard!$B$6))</f>
        <v/>
      </c>
      <c r="K236" s="31" t="str">
        <f aca="false">IF(OR($A236="",$I236=""),"",$I236+$J236)</f>
        <v/>
      </c>
      <c r="L236" s="26"/>
      <c r="M236" s="32"/>
      <c r="N236" s="33"/>
      <c r="O236" s="34" t="str">
        <f aca="false">IF($A236="","",N($M236)*N($N236))</f>
        <v/>
      </c>
      <c r="P236" s="34" t="str">
        <f aca="false">IF($A236="","",N($M236)+$O236)</f>
        <v/>
      </c>
      <c r="Q236" s="34" t="str">
        <f aca="false">IF($A236="","",SUMIFS('Credit Notes'!$F$6:$F$205,'Credit Notes'!$B$6:$B$205,$A236,'Credit Notes'!$H$6:$H$205,"Issued"))</f>
        <v/>
      </c>
      <c r="R236" s="34" t="str">
        <f aca="false">IF($A236="","",SUMIFS(Payments!$I$6:$I$505,Payments!$C$6:$C$505,$A236))</f>
        <v/>
      </c>
      <c r="S236" s="34" t="str">
        <f aca="false">IF($A236="","",IF($T236="Void",0,$P236-$Q236-$R236))</f>
        <v/>
      </c>
      <c r="T236" s="26"/>
      <c r="U236" s="35" t="str">
        <f aca="false">IF($A236="","",IF($T236="Void","Void",IF(OR($T236="",$T236="Draft"),"Draft",IF($T236="Disputed","Disputed",IF($S236&lt;-0.005,"Overpaid",IF($S236&lt;=0.005,"Paid",IF($R236+$Q236&gt;0.005,IF($V236&gt;0,"Part-paid, overdue","Part-paid"),IF($V236&gt;0,"Overdue","Outstanding"))))))))</f>
        <v/>
      </c>
      <c r="V236" s="36" t="str">
        <f aca="true">IF($A236="","",IF(AND(OR($T236="Issued",$T236="Disputed"),$S236&gt;0.005,$K236&lt;&gt;"",$K236&lt;TODAY()),TODAY()-$K236,0))</f>
        <v/>
      </c>
      <c r="W236" s="35" t="str">
        <f aca="false">IF($A236="","",IF(AND(OR($T236="Issued",$T236="Disputed"),$S236&gt;0.005),IF($V236&lt;=0,"Not yet due",IF($V236&lt;=30,"1 to 30 days",IF($V236&lt;=60,"31 to 60 days",IF($V236&lt;=90,"61 to 90 days","Over 90 days")))),""))</f>
        <v/>
      </c>
      <c r="X236" s="26"/>
      <c r="Y236" s="29"/>
      <c r="Z236" s="28"/>
      <c r="AA236" s="28"/>
    </row>
    <row r="237" customFormat="false" ht="15" hidden="false" customHeight="false" outlineLevel="0" collapsed="false">
      <c r="A237" s="26"/>
      <c r="B237" s="26"/>
      <c r="C237" s="27" t="str">
        <f aca="false">IF($B237="","",IFERROR(INDEX(Clients!$B$6:$B$105,MATCH($B237,Clients!$A$6:$A$105,0)),"Client not found"))</f>
        <v/>
      </c>
      <c r="D237" s="26"/>
      <c r="E237" s="26"/>
      <c r="F237" s="26"/>
      <c r="G237" s="26"/>
      <c r="H237" s="28"/>
      <c r="I237" s="29"/>
      <c r="J237" s="30" t="str">
        <f aca="false">IF($A237="","",IFERROR(IF(N(INDEX(Clients!$E$6:$E$105,MATCH($B237,Clients!$A$6:$A$105,0)))&gt;0,INDEX(Clients!$E$6:$E$105,MATCH($B237,Clients!$A$6:$A$105,0)),Dashboard!$B$6),Dashboard!$B$6))</f>
        <v/>
      </c>
      <c r="K237" s="31" t="str">
        <f aca="false">IF(OR($A237="",$I237=""),"",$I237+$J237)</f>
        <v/>
      </c>
      <c r="L237" s="26"/>
      <c r="M237" s="32"/>
      <c r="N237" s="33"/>
      <c r="O237" s="34" t="str">
        <f aca="false">IF($A237="","",N($M237)*N($N237))</f>
        <v/>
      </c>
      <c r="P237" s="34" t="str">
        <f aca="false">IF($A237="","",N($M237)+$O237)</f>
        <v/>
      </c>
      <c r="Q237" s="34" t="str">
        <f aca="false">IF($A237="","",SUMIFS('Credit Notes'!$F$6:$F$205,'Credit Notes'!$B$6:$B$205,$A237,'Credit Notes'!$H$6:$H$205,"Issued"))</f>
        <v/>
      </c>
      <c r="R237" s="34" t="str">
        <f aca="false">IF($A237="","",SUMIFS(Payments!$I$6:$I$505,Payments!$C$6:$C$505,$A237))</f>
        <v/>
      </c>
      <c r="S237" s="34" t="str">
        <f aca="false">IF($A237="","",IF($T237="Void",0,$P237-$Q237-$R237))</f>
        <v/>
      </c>
      <c r="T237" s="26"/>
      <c r="U237" s="35" t="str">
        <f aca="false">IF($A237="","",IF($T237="Void","Void",IF(OR($T237="",$T237="Draft"),"Draft",IF($T237="Disputed","Disputed",IF($S237&lt;-0.005,"Overpaid",IF($S237&lt;=0.005,"Paid",IF($R237+$Q237&gt;0.005,IF($V237&gt;0,"Part-paid, overdue","Part-paid"),IF($V237&gt;0,"Overdue","Outstanding"))))))))</f>
        <v/>
      </c>
      <c r="V237" s="36" t="str">
        <f aca="true">IF($A237="","",IF(AND(OR($T237="Issued",$T237="Disputed"),$S237&gt;0.005,$K237&lt;&gt;"",$K237&lt;TODAY()),TODAY()-$K237,0))</f>
        <v/>
      </c>
      <c r="W237" s="35" t="str">
        <f aca="false">IF($A237="","",IF(AND(OR($T237="Issued",$T237="Disputed"),$S237&gt;0.005),IF($V237&lt;=0,"Not yet due",IF($V237&lt;=30,"1 to 30 days",IF($V237&lt;=60,"31 to 60 days",IF($V237&lt;=90,"61 to 90 days","Over 90 days")))),""))</f>
        <v/>
      </c>
      <c r="X237" s="26"/>
      <c r="Y237" s="29"/>
      <c r="Z237" s="28"/>
      <c r="AA237" s="28"/>
    </row>
    <row r="238" customFormat="false" ht="15" hidden="false" customHeight="false" outlineLevel="0" collapsed="false">
      <c r="A238" s="26"/>
      <c r="B238" s="26"/>
      <c r="C238" s="27" t="str">
        <f aca="false">IF($B238="","",IFERROR(INDEX(Clients!$B$6:$B$105,MATCH($B238,Clients!$A$6:$A$105,0)),"Client not found"))</f>
        <v/>
      </c>
      <c r="D238" s="26"/>
      <c r="E238" s="26"/>
      <c r="F238" s="26"/>
      <c r="G238" s="26"/>
      <c r="H238" s="28"/>
      <c r="I238" s="29"/>
      <c r="J238" s="30" t="str">
        <f aca="false">IF($A238="","",IFERROR(IF(N(INDEX(Clients!$E$6:$E$105,MATCH($B238,Clients!$A$6:$A$105,0)))&gt;0,INDEX(Clients!$E$6:$E$105,MATCH($B238,Clients!$A$6:$A$105,0)),Dashboard!$B$6),Dashboard!$B$6))</f>
        <v/>
      </c>
      <c r="K238" s="31" t="str">
        <f aca="false">IF(OR($A238="",$I238=""),"",$I238+$J238)</f>
        <v/>
      </c>
      <c r="L238" s="26"/>
      <c r="M238" s="32"/>
      <c r="N238" s="33"/>
      <c r="O238" s="34" t="str">
        <f aca="false">IF($A238="","",N($M238)*N($N238))</f>
        <v/>
      </c>
      <c r="P238" s="34" t="str">
        <f aca="false">IF($A238="","",N($M238)+$O238)</f>
        <v/>
      </c>
      <c r="Q238" s="34" t="str">
        <f aca="false">IF($A238="","",SUMIFS('Credit Notes'!$F$6:$F$205,'Credit Notes'!$B$6:$B$205,$A238,'Credit Notes'!$H$6:$H$205,"Issued"))</f>
        <v/>
      </c>
      <c r="R238" s="34" t="str">
        <f aca="false">IF($A238="","",SUMIFS(Payments!$I$6:$I$505,Payments!$C$6:$C$505,$A238))</f>
        <v/>
      </c>
      <c r="S238" s="34" t="str">
        <f aca="false">IF($A238="","",IF($T238="Void",0,$P238-$Q238-$R238))</f>
        <v/>
      </c>
      <c r="T238" s="26"/>
      <c r="U238" s="35" t="str">
        <f aca="false">IF($A238="","",IF($T238="Void","Void",IF(OR($T238="",$T238="Draft"),"Draft",IF($T238="Disputed","Disputed",IF($S238&lt;-0.005,"Overpaid",IF($S238&lt;=0.005,"Paid",IF($R238+$Q238&gt;0.005,IF($V238&gt;0,"Part-paid, overdue","Part-paid"),IF($V238&gt;0,"Overdue","Outstanding"))))))))</f>
        <v/>
      </c>
      <c r="V238" s="36" t="str">
        <f aca="true">IF($A238="","",IF(AND(OR($T238="Issued",$T238="Disputed"),$S238&gt;0.005,$K238&lt;&gt;"",$K238&lt;TODAY()),TODAY()-$K238,0))</f>
        <v/>
      </c>
      <c r="W238" s="35" t="str">
        <f aca="false">IF($A238="","",IF(AND(OR($T238="Issued",$T238="Disputed"),$S238&gt;0.005),IF($V238&lt;=0,"Not yet due",IF($V238&lt;=30,"1 to 30 days",IF($V238&lt;=60,"31 to 60 days",IF($V238&lt;=90,"61 to 90 days","Over 90 days")))),""))</f>
        <v/>
      </c>
      <c r="X238" s="26"/>
      <c r="Y238" s="29"/>
      <c r="Z238" s="28"/>
      <c r="AA238" s="28"/>
    </row>
    <row r="239" customFormat="false" ht="15" hidden="false" customHeight="false" outlineLevel="0" collapsed="false">
      <c r="A239" s="26"/>
      <c r="B239" s="26"/>
      <c r="C239" s="27" t="str">
        <f aca="false">IF($B239="","",IFERROR(INDEX(Clients!$B$6:$B$105,MATCH($B239,Clients!$A$6:$A$105,0)),"Client not found"))</f>
        <v/>
      </c>
      <c r="D239" s="26"/>
      <c r="E239" s="26"/>
      <c r="F239" s="26"/>
      <c r="G239" s="26"/>
      <c r="H239" s="28"/>
      <c r="I239" s="29"/>
      <c r="J239" s="30" t="str">
        <f aca="false">IF($A239="","",IFERROR(IF(N(INDEX(Clients!$E$6:$E$105,MATCH($B239,Clients!$A$6:$A$105,0)))&gt;0,INDEX(Clients!$E$6:$E$105,MATCH($B239,Clients!$A$6:$A$105,0)),Dashboard!$B$6),Dashboard!$B$6))</f>
        <v/>
      </c>
      <c r="K239" s="31" t="str">
        <f aca="false">IF(OR($A239="",$I239=""),"",$I239+$J239)</f>
        <v/>
      </c>
      <c r="L239" s="26"/>
      <c r="M239" s="32"/>
      <c r="N239" s="33"/>
      <c r="O239" s="34" t="str">
        <f aca="false">IF($A239="","",N($M239)*N($N239))</f>
        <v/>
      </c>
      <c r="P239" s="34" t="str">
        <f aca="false">IF($A239="","",N($M239)+$O239)</f>
        <v/>
      </c>
      <c r="Q239" s="34" t="str">
        <f aca="false">IF($A239="","",SUMIFS('Credit Notes'!$F$6:$F$205,'Credit Notes'!$B$6:$B$205,$A239,'Credit Notes'!$H$6:$H$205,"Issued"))</f>
        <v/>
      </c>
      <c r="R239" s="34" t="str">
        <f aca="false">IF($A239="","",SUMIFS(Payments!$I$6:$I$505,Payments!$C$6:$C$505,$A239))</f>
        <v/>
      </c>
      <c r="S239" s="34" t="str">
        <f aca="false">IF($A239="","",IF($T239="Void",0,$P239-$Q239-$R239))</f>
        <v/>
      </c>
      <c r="T239" s="26"/>
      <c r="U239" s="35" t="str">
        <f aca="false">IF($A239="","",IF($T239="Void","Void",IF(OR($T239="",$T239="Draft"),"Draft",IF($T239="Disputed","Disputed",IF($S239&lt;-0.005,"Overpaid",IF($S239&lt;=0.005,"Paid",IF($R239+$Q239&gt;0.005,IF($V239&gt;0,"Part-paid, overdue","Part-paid"),IF($V239&gt;0,"Overdue","Outstanding"))))))))</f>
        <v/>
      </c>
      <c r="V239" s="36" t="str">
        <f aca="true">IF($A239="","",IF(AND(OR($T239="Issued",$T239="Disputed"),$S239&gt;0.005,$K239&lt;&gt;"",$K239&lt;TODAY()),TODAY()-$K239,0))</f>
        <v/>
      </c>
      <c r="W239" s="35" t="str">
        <f aca="false">IF($A239="","",IF(AND(OR($T239="Issued",$T239="Disputed"),$S239&gt;0.005),IF($V239&lt;=0,"Not yet due",IF($V239&lt;=30,"1 to 30 days",IF($V239&lt;=60,"31 to 60 days",IF($V239&lt;=90,"61 to 90 days","Over 90 days")))),""))</f>
        <v/>
      </c>
      <c r="X239" s="26"/>
      <c r="Y239" s="29"/>
      <c r="Z239" s="28"/>
      <c r="AA239" s="28"/>
    </row>
    <row r="240" customFormat="false" ht="15" hidden="false" customHeight="false" outlineLevel="0" collapsed="false">
      <c r="A240" s="26"/>
      <c r="B240" s="26"/>
      <c r="C240" s="27" t="str">
        <f aca="false">IF($B240="","",IFERROR(INDEX(Clients!$B$6:$B$105,MATCH($B240,Clients!$A$6:$A$105,0)),"Client not found"))</f>
        <v/>
      </c>
      <c r="D240" s="26"/>
      <c r="E240" s="26"/>
      <c r="F240" s="26"/>
      <c r="G240" s="26"/>
      <c r="H240" s="28"/>
      <c r="I240" s="29"/>
      <c r="J240" s="30" t="str">
        <f aca="false">IF($A240="","",IFERROR(IF(N(INDEX(Clients!$E$6:$E$105,MATCH($B240,Clients!$A$6:$A$105,0)))&gt;0,INDEX(Clients!$E$6:$E$105,MATCH($B240,Clients!$A$6:$A$105,0)),Dashboard!$B$6),Dashboard!$B$6))</f>
        <v/>
      </c>
      <c r="K240" s="31" t="str">
        <f aca="false">IF(OR($A240="",$I240=""),"",$I240+$J240)</f>
        <v/>
      </c>
      <c r="L240" s="26"/>
      <c r="M240" s="32"/>
      <c r="N240" s="33"/>
      <c r="O240" s="34" t="str">
        <f aca="false">IF($A240="","",N($M240)*N($N240))</f>
        <v/>
      </c>
      <c r="P240" s="34" t="str">
        <f aca="false">IF($A240="","",N($M240)+$O240)</f>
        <v/>
      </c>
      <c r="Q240" s="34" t="str">
        <f aca="false">IF($A240="","",SUMIFS('Credit Notes'!$F$6:$F$205,'Credit Notes'!$B$6:$B$205,$A240,'Credit Notes'!$H$6:$H$205,"Issued"))</f>
        <v/>
      </c>
      <c r="R240" s="34" t="str">
        <f aca="false">IF($A240="","",SUMIFS(Payments!$I$6:$I$505,Payments!$C$6:$C$505,$A240))</f>
        <v/>
      </c>
      <c r="S240" s="34" t="str">
        <f aca="false">IF($A240="","",IF($T240="Void",0,$P240-$Q240-$R240))</f>
        <v/>
      </c>
      <c r="T240" s="26"/>
      <c r="U240" s="35" t="str">
        <f aca="false">IF($A240="","",IF($T240="Void","Void",IF(OR($T240="",$T240="Draft"),"Draft",IF($T240="Disputed","Disputed",IF($S240&lt;-0.005,"Overpaid",IF($S240&lt;=0.005,"Paid",IF($R240+$Q240&gt;0.005,IF($V240&gt;0,"Part-paid, overdue","Part-paid"),IF($V240&gt;0,"Overdue","Outstanding"))))))))</f>
        <v/>
      </c>
      <c r="V240" s="36" t="str">
        <f aca="true">IF($A240="","",IF(AND(OR($T240="Issued",$T240="Disputed"),$S240&gt;0.005,$K240&lt;&gt;"",$K240&lt;TODAY()),TODAY()-$K240,0))</f>
        <v/>
      </c>
      <c r="W240" s="35" t="str">
        <f aca="false">IF($A240="","",IF(AND(OR($T240="Issued",$T240="Disputed"),$S240&gt;0.005),IF($V240&lt;=0,"Not yet due",IF($V240&lt;=30,"1 to 30 days",IF($V240&lt;=60,"31 to 60 days",IF($V240&lt;=90,"61 to 90 days","Over 90 days")))),""))</f>
        <v/>
      </c>
      <c r="X240" s="26"/>
      <c r="Y240" s="29"/>
      <c r="Z240" s="28"/>
      <c r="AA240" s="28"/>
    </row>
    <row r="241" customFormat="false" ht="15" hidden="false" customHeight="false" outlineLevel="0" collapsed="false">
      <c r="A241" s="26"/>
      <c r="B241" s="26"/>
      <c r="C241" s="27" t="str">
        <f aca="false">IF($B241="","",IFERROR(INDEX(Clients!$B$6:$B$105,MATCH($B241,Clients!$A$6:$A$105,0)),"Client not found"))</f>
        <v/>
      </c>
      <c r="D241" s="26"/>
      <c r="E241" s="26"/>
      <c r="F241" s="26"/>
      <c r="G241" s="26"/>
      <c r="H241" s="28"/>
      <c r="I241" s="29"/>
      <c r="J241" s="30" t="str">
        <f aca="false">IF($A241="","",IFERROR(IF(N(INDEX(Clients!$E$6:$E$105,MATCH($B241,Clients!$A$6:$A$105,0)))&gt;0,INDEX(Clients!$E$6:$E$105,MATCH($B241,Clients!$A$6:$A$105,0)),Dashboard!$B$6),Dashboard!$B$6))</f>
        <v/>
      </c>
      <c r="K241" s="31" t="str">
        <f aca="false">IF(OR($A241="",$I241=""),"",$I241+$J241)</f>
        <v/>
      </c>
      <c r="L241" s="26"/>
      <c r="M241" s="32"/>
      <c r="N241" s="33"/>
      <c r="O241" s="34" t="str">
        <f aca="false">IF($A241="","",N($M241)*N($N241))</f>
        <v/>
      </c>
      <c r="P241" s="34" t="str">
        <f aca="false">IF($A241="","",N($M241)+$O241)</f>
        <v/>
      </c>
      <c r="Q241" s="34" t="str">
        <f aca="false">IF($A241="","",SUMIFS('Credit Notes'!$F$6:$F$205,'Credit Notes'!$B$6:$B$205,$A241,'Credit Notes'!$H$6:$H$205,"Issued"))</f>
        <v/>
      </c>
      <c r="R241" s="34" t="str">
        <f aca="false">IF($A241="","",SUMIFS(Payments!$I$6:$I$505,Payments!$C$6:$C$505,$A241))</f>
        <v/>
      </c>
      <c r="S241" s="34" t="str">
        <f aca="false">IF($A241="","",IF($T241="Void",0,$P241-$Q241-$R241))</f>
        <v/>
      </c>
      <c r="T241" s="26"/>
      <c r="U241" s="35" t="str">
        <f aca="false">IF($A241="","",IF($T241="Void","Void",IF(OR($T241="",$T241="Draft"),"Draft",IF($T241="Disputed","Disputed",IF($S241&lt;-0.005,"Overpaid",IF($S241&lt;=0.005,"Paid",IF($R241+$Q241&gt;0.005,IF($V241&gt;0,"Part-paid, overdue","Part-paid"),IF($V241&gt;0,"Overdue","Outstanding"))))))))</f>
        <v/>
      </c>
      <c r="V241" s="36" t="str">
        <f aca="true">IF($A241="","",IF(AND(OR($T241="Issued",$T241="Disputed"),$S241&gt;0.005,$K241&lt;&gt;"",$K241&lt;TODAY()),TODAY()-$K241,0))</f>
        <v/>
      </c>
      <c r="W241" s="35" t="str">
        <f aca="false">IF($A241="","",IF(AND(OR($T241="Issued",$T241="Disputed"),$S241&gt;0.005),IF($V241&lt;=0,"Not yet due",IF($V241&lt;=30,"1 to 30 days",IF($V241&lt;=60,"31 to 60 days",IF($V241&lt;=90,"61 to 90 days","Over 90 days")))),""))</f>
        <v/>
      </c>
      <c r="X241" s="26"/>
      <c r="Y241" s="29"/>
      <c r="Z241" s="28"/>
      <c r="AA241" s="28"/>
    </row>
    <row r="242" customFormat="false" ht="15" hidden="false" customHeight="false" outlineLevel="0" collapsed="false">
      <c r="A242" s="26"/>
      <c r="B242" s="26"/>
      <c r="C242" s="27" t="str">
        <f aca="false">IF($B242="","",IFERROR(INDEX(Clients!$B$6:$B$105,MATCH($B242,Clients!$A$6:$A$105,0)),"Client not found"))</f>
        <v/>
      </c>
      <c r="D242" s="26"/>
      <c r="E242" s="26"/>
      <c r="F242" s="26"/>
      <c r="G242" s="26"/>
      <c r="H242" s="28"/>
      <c r="I242" s="29"/>
      <c r="J242" s="30" t="str">
        <f aca="false">IF($A242="","",IFERROR(IF(N(INDEX(Clients!$E$6:$E$105,MATCH($B242,Clients!$A$6:$A$105,0)))&gt;0,INDEX(Clients!$E$6:$E$105,MATCH($B242,Clients!$A$6:$A$105,0)),Dashboard!$B$6),Dashboard!$B$6))</f>
        <v/>
      </c>
      <c r="K242" s="31" t="str">
        <f aca="false">IF(OR($A242="",$I242=""),"",$I242+$J242)</f>
        <v/>
      </c>
      <c r="L242" s="26"/>
      <c r="M242" s="32"/>
      <c r="N242" s="33"/>
      <c r="O242" s="34" t="str">
        <f aca="false">IF($A242="","",N($M242)*N($N242))</f>
        <v/>
      </c>
      <c r="P242" s="34" t="str">
        <f aca="false">IF($A242="","",N($M242)+$O242)</f>
        <v/>
      </c>
      <c r="Q242" s="34" t="str">
        <f aca="false">IF($A242="","",SUMIFS('Credit Notes'!$F$6:$F$205,'Credit Notes'!$B$6:$B$205,$A242,'Credit Notes'!$H$6:$H$205,"Issued"))</f>
        <v/>
      </c>
      <c r="R242" s="34" t="str">
        <f aca="false">IF($A242="","",SUMIFS(Payments!$I$6:$I$505,Payments!$C$6:$C$505,$A242))</f>
        <v/>
      </c>
      <c r="S242" s="34" t="str">
        <f aca="false">IF($A242="","",IF($T242="Void",0,$P242-$Q242-$R242))</f>
        <v/>
      </c>
      <c r="T242" s="26"/>
      <c r="U242" s="35" t="str">
        <f aca="false">IF($A242="","",IF($T242="Void","Void",IF(OR($T242="",$T242="Draft"),"Draft",IF($T242="Disputed","Disputed",IF($S242&lt;-0.005,"Overpaid",IF($S242&lt;=0.005,"Paid",IF($R242+$Q242&gt;0.005,IF($V242&gt;0,"Part-paid, overdue","Part-paid"),IF($V242&gt;0,"Overdue","Outstanding"))))))))</f>
        <v/>
      </c>
      <c r="V242" s="36" t="str">
        <f aca="true">IF($A242="","",IF(AND(OR($T242="Issued",$T242="Disputed"),$S242&gt;0.005,$K242&lt;&gt;"",$K242&lt;TODAY()),TODAY()-$K242,0))</f>
        <v/>
      </c>
      <c r="W242" s="35" t="str">
        <f aca="false">IF($A242="","",IF(AND(OR($T242="Issued",$T242="Disputed"),$S242&gt;0.005),IF($V242&lt;=0,"Not yet due",IF($V242&lt;=30,"1 to 30 days",IF($V242&lt;=60,"31 to 60 days",IF($V242&lt;=90,"61 to 90 days","Over 90 days")))),""))</f>
        <v/>
      </c>
      <c r="X242" s="26"/>
      <c r="Y242" s="29"/>
      <c r="Z242" s="28"/>
      <c r="AA242" s="28"/>
    </row>
    <row r="243" customFormat="false" ht="15" hidden="false" customHeight="false" outlineLevel="0" collapsed="false">
      <c r="A243" s="26"/>
      <c r="B243" s="26"/>
      <c r="C243" s="27" t="str">
        <f aca="false">IF($B243="","",IFERROR(INDEX(Clients!$B$6:$B$105,MATCH($B243,Clients!$A$6:$A$105,0)),"Client not found"))</f>
        <v/>
      </c>
      <c r="D243" s="26"/>
      <c r="E243" s="26"/>
      <c r="F243" s="26"/>
      <c r="G243" s="26"/>
      <c r="H243" s="28"/>
      <c r="I243" s="29"/>
      <c r="J243" s="30" t="str">
        <f aca="false">IF($A243="","",IFERROR(IF(N(INDEX(Clients!$E$6:$E$105,MATCH($B243,Clients!$A$6:$A$105,0)))&gt;0,INDEX(Clients!$E$6:$E$105,MATCH($B243,Clients!$A$6:$A$105,0)),Dashboard!$B$6),Dashboard!$B$6))</f>
        <v/>
      </c>
      <c r="K243" s="31" t="str">
        <f aca="false">IF(OR($A243="",$I243=""),"",$I243+$J243)</f>
        <v/>
      </c>
      <c r="L243" s="26"/>
      <c r="M243" s="32"/>
      <c r="N243" s="33"/>
      <c r="O243" s="34" t="str">
        <f aca="false">IF($A243="","",N($M243)*N($N243))</f>
        <v/>
      </c>
      <c r="P243" s="34" t="str">
        <f aca="false">IF($A243="","",N($M243)+$O243)</f>
        <v/>
      </c>
      <c r="Q243" s="34" t="str">
        <f aca="false">IF($A243="","",SUMIFS('Credit Notes'!$F$6:$F$205,'Credit Notes'!$B$6:$B$205,$A243,'Credit Notes'!$H$6:$H$205,"Issued"))</f>
        <v/>
      </c>
      <c r="R243" s="34" t="str">
        <f aca="false">IF($A243="","",SUMIFS(Payments!$I$6:$I$505,Payments!$C$6:$C$505,$A243))</f>
        <v/>
      </c>
      <c r="S243" s="34" t="str">
        <f aca="false">IF($A243="","",IF($T243="Void",0,$P243-$Q243-$R243))</f>
        <v/>
      </c>
      <c r="T243" s="26"/>
      <c r="U243" s="35" t="str">
        <f aca="false">IF($A243="","",IF($T243="Void","Void",IF(OR($T243="",$T243="Draft"),"Draft",IF($T243="Disputed","Disputed",IF($S243&lt;-0.005,"Overpaid",IF($S243&lt;=0.005,"Paid",IF($R243+$Q243&gt;0.005,IF($V243&gt;0,"Part-paid, overdue","Part-paid"),IF($V243&gt;0,"Overdue","Outstanding"))))))))</f>
        <v/>
      </c>
      <c r="V243" s="36" t="str">
        <f aca="true">IF($A243="","",IF(AND(OR($T243="Issued",$T243="Disputed"),$S243&gt;0.005,$K243&lt;&gt;"",$K243&lt;TODAY()),TODAY()-$K243,0))</f>
        <v/>
      </c>
      <c r="W243" s="35" t="str">
        <f aca="false">IF($A243="","",IF(AND(OR($T243="Issued",$T243="Disputed"),$S243&gt;0.005),IF($V243&lt;=0,"Not yet due",IF($V243&lt;=30,"1 to 30 days",IF($V243&lt;=60,"31 to 60 days",IF($V243&lt;=90,"61 to 90 days","Over 90 days")))),""))</f>
        <v/>
      </c>
      <c r="X243" s="26"/>
      <c r="Y243" s="29"/>
      <c r="Z243" s="28"/>
      <c r="AA243" s="28"/>
    </row>
    <row r="244" customFormat="false" ht="15" hidden="false" customHeight="false" outlineLevel="0" collapsed="false">
      <c r="A244" s="26"/>
      <c r="B244" s="26"/>
      <c r="C244" s="27" t="str">
        <f aca="false">IF($B244="","",IFERROR(INDEX(Clients!$B$6:$B$105,MATCH($B244,Clients!$A$6:$A$105,0)),"Client not found"))</f>
        <v/>
      </c>
      <c r="D244" s="26"/>
      <c r="E244" s="26"/>
      <c r="F244" s="26"/>
      <c r="G244" s="26"/>
      <c r="H244" s="28"/>
      <c r="I244" s="29"/>
      <c r="J244" s="30" t="str">
        <f aca="false">IF($A244="","",IFERROR(IF(N(INDEX(Clients!$E$6:$E$105,MATCH($B244,Clients!$A$6:$A$105,0)))&gt;0,INDEX(Clients!$E$6:$E$105,MATCH($B244,Clients!$A$6:$A$105,0)),Dashboard!$B$6),Dashboard!$B$6))</f>
        <v/>
      </c>
      <c r="K244" s="31" t="str">
        <f aca="false">IF(OR($A244="",$I244=""),"",$I244+$J244)</f>
        <v/>
      </c>
      <c r="L244" s="26"/>
      <c r="M244" s="32"/>
      <c r="N244" s="33"/>
      <c r="O244" s="34" t="str">
        <f aca="false">IF($A244="","",N($M244)*N($N244))</f>
        <v/>
      </c>
      <c r="P244" s="34" t="str">
        <f aca="false">IF($A244="","",N($M244)+$O244)</f>
        <v/>
      </c>
      <c r="Q244" s="34" t="str">
        <f aca="false">IF($A244="","",SUMIFS('Credit Notes'!$F$6:$F$205,'Credit Notes'!$B$6:$B$205,$A244,'Credit Notes'!$H$6:$H$205,"Issued"))</f>
        <v/>
      </c>
      <c r="R244" s="34" t="str">
        <f aca="false">IF($A244="","",SUMIFS(Payments!$I$6:$I$505,Payments!$C$6:$C$505,$A244))</f>
        <v/>
      </c>
      <c r="S244" s="34" t="str">
        <f aca="false">IF($A244="","",IF($T244="Void",0,$P244-$Q244-$R244))</f>
        <v/>
      </c>
      <c r="T244" s="26"/>
      <c r="U244" s="35" t="str">
        <f aca="false">IF($A244="","",IF($T244="Void","Void",IF(OR($T244="",$T244="Draft"),"Draft",IF($T244="Disputed","Disputed",IF($S244&lt;-0.005,"Overpaid",IF($S244&lt;=0.005,"Paid",IF($R244+$Q244&gt;0.005,IF($V244&gt;0,"Part-paid, overdue","Part-paid"),IF($V244&gt;0,"Overdue","Outstanding"))))))))</f>
        <v/>
      </c>
      <c r="V244" s="36" t="str">
        <f aca="true">IF($A244="","",IF(AND(OR($T244="Issued",$T244="Disputed"),$S244&gt;0.005,$K244&lt;&gt;"",$K244&lt;TODAY()),TODAY()-$K244,0))</f>
        <v/>
      </c>
      <c r="W244" s="35" t="str">
        <f aca="false">IF($A244="","",IF(AND(OR($T244="Issued",$T244="Disputed"),$S244&gt;0.005),IF($V244&lt;=0,"Not yet due",IF($V244&lt;=30,"1 to 30 days",IF($V244&lt;=60,"31 to 60 days",IF($V244&lt;=90,"61 to 90 days","Over 90 days")))),""))</f>
        <v/>
      </c>
      <c r="X244" s="26"/>
      <c r="Y244" s="29"/>
      <c r="Z244" s="28"/>
      <c r="AA244" s="28"/>
    </row>
    <row r="245" customFormat="false" ht="15" hidden="false" customHeight="false" outlineLevel="0" collapsed="false">
      <c r="A245" s="26"/>
      <c r="B245" s="26"/>
      <c r="C245" s="27" t="str">
        <f aca="false">IF($B245="","",IFERROR(INDEX(Clients!$B$6:$B$105,MATCH($B245,Clients!$A$6:$A$105,0)),"Client not found"))</f>
        <v/>
      </c>
      <c r="D245" s="26"/>
      <c r="E245" s="26"/>
      <c r="F245" s="26"/>
      <c r="G245" s="26"/>
      <c r="H245" s="28"/>
      <c r="I245" s="29"/>
      <c r="J245" s="30" t="str">
        <f aca="false">IF($A245="","",IFERROR(IF(N(INDEX(Clients!$E$6:$E$105,MATCH($B245,Clients!$A$6:$A$105,0)))&gt;0,INDEX(Clients!$E$6:$E$105,MATCH($B245,Clients!$A$6:$A$105,0)),Dashboard!$B$6),Dashboard!$B$6))</f>
        <v/>
      </c>
      <c r="K245" s="31" t="str">
        <f aca="false">IF(OR($A245="",$I245=""),"",$I245+$J245)</f>
        <v/>
      </c>
      <c r="L245" s="26"/>
      <c r="M245" s="32"/>
      <c r="N245" s="33"/>
      <c r="O245" s="34" t="str">
        <f aca="false">IF($A245="","",N($M245)*N($N245))</f>
        <v/>
      </c>
      <c r="P245" s="34" t="str">
        <f aca="false">IF($A245="","",N($M245)+$O245)</f>
        <v/>
      </c>
      <c r="Q245" s="34" t="str">
        <f aca="false">IF($A245="","",SUMIFS('Credit Notes'!$F$6:$F$205,'Credit Notes'!$B$6:$B$205,$A245,'Credit Notes'!$H$6:$H$205,"Issued"))</f>
        <v/>
      </c>
      <c r="R245" s="34" t="str">
        <f aca="false">IF($A245="","",SUMIFS(Payments!$I$6:$I$505,Payments!$C$6:$C$505,$A245))</f>
        <v/>
      </c>
      <c r="S245" s="34" t="str">
        <f aca="false">IF($A245="","",IF($T245="Void",0,$P245-$Q245-$R245))</f>
        <v/>
      </c>
      <c r="T245" s="26"/>
      <c r="U245" s="35" t="str">
        <f aca="false">IF($A245="","",IF($T245="Void","Void",IF(OR($T245="",$T245="Draft"),"Draft",IF($T245="Disputed","Disputed",IF($S245&lt;-0.005,"Overpaid",IF($S245&lt;=0.005,"Paid",IF($R245+$Q245&gt;0.005,IF($V245&gt;0,"Part-paid, overdue","Part-paid"),IF($V245&gt;0,"Overdue","Outstanding"))))))))</f>
        <v/>
      </c>
      <c r="V245" s="36" t="str">
        <f aca="true">IF($A245="","",IF(AND(OR($T245="Issued",$T245="Disputed"),$S245&gt;0.005,$K245&lt;&gt;"",$K245&lt;TODAY()),TODAY()-$K245,0))</f>
        <v/>
      </c>
      <c r="W245" s="35" t="str">
        <f aca="false">IF($A245="","",IF(AND(OR($T245="Issued",$T245="Disputed"),$S245&gt;0.005),IF($V245&lt;=0,"Not yet due",IF($V245&lt;=30,"1 to 30 days",IF($V245&lt;=60,"31 to 60 days",IF($V245&lt;=90,"61 to 90 days","Over 90 days")))),""))</f>
        <v/>
      </c>
      <c r="X245" s="26"/>
      <c r="Y245" s="29"/>
      <c r="Z245" s="28"/>
      <c r="AA245" s="28"/>
    </row>
    <row r="246" customFormat="false" ht="15" hidden="false" customHeight="false" outlineLevel="0" collapsed="false">
      <c r="A246" s="26"/>
      <c r="B246" s="26"/>
      <c r="C246" s="27" t="str">
        <f aca="false">IF($B246="","",IFERROR(INDEX(Clients!$B$6:$B$105,MATCH($B246,Clients!$A$6:$A$105,0)),"Client not found"))</f>
        <v/>
      </c>
      <c r="D246" s="26"/>
      <c r="E246" s="26"/>
      <c r="F246" s="26"/>
      <c r="G246" s="26"/>
      <c r="H246" s="28"/>
      <c r="I246" s="29"/>
      <c r="J246" s="30" t="str">
        <f aca="false">IF($A246="","",IFERROR(IF(N(INDEX(Clients!$E$6:$E$105,MATCH($B246,Clients!$A$6:$A$105,0)))&gt;0,INDEX(Clients!$E$6:$E$105,MATCH($B246,Clients!$A$6:$A$105,0)),Dashboard!$B$6),Dashboard!$B$6))</f>
        <v/>
      </c>
      <c r="K246" s="31" t="str">
        <f aca="false">IF(OR($A246="",$I246=""),"",$I246+$J246)</f>
        <v/>
      </c>
      <c r="L246" s="26"/>
      <c r="M246" s="32"/>
      <c r="N246" s="33"/>
      <c r="O246" s="34" t="str">
        <f aca="false">IF($A246="","",N($M246)*N($N246))</f>
        <v/>
      </c>
      <c r="P246" s="34" t="str">
        <f aca="false">IF($A246="","",N($M246)+$O246)</f>
        <v/>
      </c>
      <c r="Q246" s="34" t="str">
        <f aca="false">IF($A246="","",SUMIFS('Credit Notes'!$F$6:$F$205,'Credit Notes'!$B$6:$B$205,$A246,'Credit Notes'!$H$6:$H$205,"Issued"))</f>
        <v/>
      </c>
      <c r="R246" s="34" t="str">
        <f aca="false">IF($A246="","",SUMIFS(Payments!$I$6:$I$505,Payments!$C$6:$C$505,$A246))</f>
        <v/>
      </c>
      <c r="S246" s="34" t="str">
        <f aca="false">IF($A246="","",IF($T246="Void",0,$P246-$Q246-$R246))</f>
        <v/>
      </c>
      <c r="T246" s="26"/>
      <c r="U246" s="35" t="str">
        <f aca="false">IF($A246="","",IF($T246="Void","Void",IF(OR($T246="",$T246="Draft"),"Draft",IF($T246="Disputed","Disputed",IF($S246&lt;-0.005,"Overpaid",IF($S246&lt;=0.005,"Paid",IF($R246+$Q246&gt;0.005,IF($V246&gt;0,"Part-paid, overdue","Part-paid"),IF($V246&gt;0,"Overdue","Outstanding"))))))))</f>
        <v/>
      </c>
      <c r="V246" s="36" t="str">
        <f aca="true">IF($A246="","",IF(AND(OR($T246="Issued",$T246="Disputed"),$S246&gt;0.005,$K246&lt;&gt;"",$K246&lt;TODAY()),TODAY()-$K246,0))</f>
        <v/>
      </c>
      <c r="W246" s="35" t="str">
        <f aca="false">IF($A246="","",IF(AND(OR($T246="Issued",$T246="Disputed"),$S246&gt;0.005),IF($V246&lt;=0,"Not yet due",IF($V246&lt;=30,"1 to 30 days",IF($V246&lt;=60,"31 to 60 days",IF($V246&lt;=90,"61 to 90 days","Over 90 days")))),""))</f>
        <v/>
      </c>
      <c r="X246" s="26"/>
      <c r="Y246" s="29"/>
      <c r="Z246" s="28"/>
      <c r="AA246" s="28"/>
    </row>
    <row r="247" customFormat="false" ht="15" hidden="false" customHeight="false" outlineLevel="0" collapsed="false">
      <c r="A247" s="26"/>
      <c r="B247" s="26"/>
      <c r="C247" s="27" t="str">
        <f aca="false">IF($B247="","",IFERROR(INDEX(Clients!$B$6:$B$105,MATCH($B247,Clients!$A$6:$A$105,0)),"Client not found"))</f>
        <v/>
      </c>
      <c r="D247" s="26"/>
      <c r="E247" s="26"/>
      <c r="F247" s="26"/>
      <c r="G247" s="26"/>
      <c r="H247" s="28"/>
      <c r="I247" s="29"/>
      <c r="J247" s="30" t="str">
        <f aca="false">IF($A247="","",IFERROR(IF(N(INDEX(Clients!$E$6:$E$105,MATCH($B247,Clients!$A$6:$A$105,0)))&gt;0,INDEX(Clients!$E$6:$E$105,MATCH($B247,Clients!$A$6:$A$105,0)),Dashboard!$B$6),Dashboard!$B$6))</f>
        <v/>
      </c>
      <c r="K247" s="31" t="str">
        <f aca="false">IF(OR($A247="",$I247=""),"",$I247+$J247)</f>
        <v/>
      </c>
      <c r="L247" s="26"/>
      <c r="M247" s="32"/>
      <c r="N247" s="33"/>
      <c r="O247" s="34" t="str">
        <f aca="false">IF($A247="","",N($M247)*N($N247))</f>
        <v/>
      </c>
      <c r="P247" s="34" t="str">
        <f aca="false">IF($A247="","",N($M247)+$O247)</f>
        <v/>
      </c>
      <c r="Q247" s="34" t="str">
        <f aca="false">IF($A247="","",SUMIFS('Credit Notes'!$F$6:$F$205,'Credit Notes'!$B$6:$B$205,$A247,'Credit Notes'!$H$6:$H$205,"Issued"))</f>
        <v/>
      </c>
      <c r="R247" s="34" t="str">
        <f aca="false">IF($A247="","",SUMIFS(Payments!$I$6:$I$505,Payments!$C$6:$C$505,$A247))</f>
        <v/>
      </c>
      <c r="S247" s="34" t="str">
        <f aca="false">IF($A247="","",IF($T247="Void",0,$P247-$Q247-$R247))</f>
        <v/>
      </c>
      <c r="T247" s="26"/>
      <c r="U247" s="35" t="str">
        <f aca="false">IF($A247="","",IF($T247="Void","Void",IF(OR($T247="",$T247="Draft"),"Draft",IF($T247="Disputed","Disputed",IF($S247&lt;-0.005,"Overpaid",IF($S247&lt;=0.005,"Paid",IF($R247+$Q247&gt;0.005,IF($V247&gt;0,"Part-paid, overdue","Part-paid"),IF($V247&gt;0,"Overdue","Outstanding"))))))))</f>
        <v/>
      </c>
      <c r="V247" s="36" t="str">
        <f aca="true">IF($A247="","",IF(AND(OR($T247="Issued",$T247="Disputed"),$S247&gt;0.005,$K247&lt;&gt;"",$K247&lt;TODAY()),TODAY()-$K247,0))</f>
        <v/>
      </c>
      <c r="W247" s="35" t="str">
        <f aca="false">IF($A247="","",IF(AND(OR($T247="Issued",$T247="Disputed"),$S247&gt;0.005),IF($V247&lt;=0,"Not yet due",IF($V247&lt;=30,"1 to 30 days",IF($V247&lt;=60,"31 to 60 days",IF($V247&lt;=90,"61 to 90 days","Over 90 days")))),""))</f>
        <v/>
      </c>
      <c r="X247" s="26"/>
      <c r="Y247" s="29"/>
      <c r="Z247" s="28"/>
      <c r="AA247" s="28"/>
    </row>
    <row r="248" customFormat="false" ht="15" hidden="false" customHeight="false" outlineLevel="0" collapsed="false">
      <c r="A248" s="26"/>
      <c r="B248" s="26"/>
      <c r="C248" s="27" t="str">
        <f aca="false">IF($B248="","",IFERROR(INDEX(Clients!$B$6:$B$105,MATCH($B248,Clients!$A$6:$A$105,0)),"Client not found"))</f>
        <v/>
      </c>
      <c r="D248" s="26"/>
      <c r="E248" s="26"/>
      <c r="F248" s="26"/>
      <c r="G248" s="26"/>
      <c r="H248" s="28"/>
      <c r="I248" s="29"/>
      <c r="J248" s="30" t="str">
        <f aca="false">IF($A248="","",IFERROR(IF(N(INDEX(Clients!$E$6:$E$105,MATCH($B248,Clients!$A$6:$A$105,0)))&gt;0,INDEX(Clients!$E$6:$E$105,MATCH($B248,Clients!$A$6:$A$105,0)),Dashboard!$B$6),Dashboard!$B$6))</f>
        <v/>
      </c>
      <c r="K248" s="31" t="str">
        <f aca="false">IF(OR($A248="",$I248=""),"",$I248+$J248)</f>
        <v/>
      </c>
      <c r="L248" s="26"/>
      <c r="M248" s="32"/>
      <c r="N248" s="33"/>
      <c r="O248" s="34" t="str">
        <f aca="false">IF($A248="","",N($M248)*N($N248))</f>
        <v/>
      </c>
      <c r="P248" s="34" t="str">
        <f aca="false">IF($A248="","",N($M248)+$O248)</f>
        <v/>
      </c>
      <c r="Q248" s="34" t="str">
        <f aca="false">IF($A248="","",SUMIFS('Credit Notes'!$F$6:$F$205,'Credit Notes'!$B$6:$B$205,$A248,'Credit Notes'!$H$6:$H$205,"Issued"))</f>
        <v/>
      </c>
      <c r="R248" s="34" t="str">
        <f aca="false">IF($A248="","",SUMIFS(Payments!$I$6:$I$505,Payments!$C$6:$C$505,$A248))</f>
        <v/>
      </c>
      <c r="S248" s="34" t="str">
        <f aca="false">IF($A248="","",IF($T248="Void",0,$P248-$Q248-$R248))</f>
        <v/>
      </c>
      <c r="T248" s="26"/>
      <c r="U248" s="35" t="str">
        <f aca="false">IF($A248="","",IF($T248="Void","Void",IF(OR($T248="",$T248="Draft"),"Draft",IF($T248="Disputed","Disputed",IF($S248&lt;-0.005,"Overpaid",IF($S248&lt;=0.005,"Paid",IF($R248+$Q248&gt;0.005,IF($V248&gt;0,"Part-paid, overdue","Part-paid"),IF($V248&gt;0,"Overdue","Outstanding"))))))))</f>
        <v/>
      </c>
      <c r="V248" s="36" t="str">
        <f aca="true">IF($A248="","",IF(AND(OR($T248="Issued",$T248="Disputed"),$S248&gt;0.005,$K248&lt;&gt;"",$K248&lt;TODAY()),TODAY()-$K248,0))</f>
        <v/>
      </c>
      <c r="W248" s="35" t="str">
        <f aca="false">IF($A248="","",IF(AND(OR($T248="Issued",$T248="Disputed"),$S248&gt;0.005),IF($V248&lt;=0,"Not yet due",IF($V248&lt;=30,"1 to 30 days",IF($V248&lt;=60,"31 to 60 days",IF($V248&lt;=90,"61 to 90 days","Over 90 days")))),""))</f>
        <v/>
      </c>
      <c r="X248" s="26"/>
      <c r="Y248" s="29"/>
      <c r="Z248" s="28"/>
      <c r="AA248" s="28"/>
    </row>
    <row r="249" customFormat="false" ht="15" hidden="false" customHeight="false" outlineLevel="0" collapsed="false">
      <c r="A249" s="26"/>
      <c r="B249" s="26"/>
      <c r="C249" s="27" t="str">
        <f aca="false">IF($B249="","",IFERROR(INDEX(Clients!$B$6:$B$105,MATCH($B249,Clients!$A$6:$A$105,0)),"Client not found"))</f>
        <v/>
      </c>
      <c r="D249" s="26"/>
      <c r="E249" s="26"/>
      <c r="F249" s="26"/>
      <c r="G249" s="26"/>
      <c r="H249" s="28"/>
      <c r="I249" s="29"/>
      <c r="J249" s="30" t="str">
        <f aca="false">IF($A249="","",IFERROR(IF(N(INDEX(Clients!$E$6:$E$105,MATCH($B249,Clients!$A$6:$A$105,0)))&gt;0,INDEX(Clients!$E$6:$E$105,MATCH($B249,Clients!$A$6:$A$105,0)),Dashboard!$B$6),Dashboard!$B$6))</f>
        <v/>
      </c>
      <c r="K249" s="31" t="str">
        <f aca="false">IF(OR($A249="",$I249=""),"",$I249+$J249)</f>
        <v/>
      </c>
      <c r="L249" s="26"/>
      <c r="M249" s="32"/>
      <c r="N249" s="33"/>
      <c r="O249" s="34" t="str">
        <f aca="false">IF($A249="","",N($M249)*N($N249))</f>
        <v/>
      </c>
      <c r="P249" s="34" t="str">
        <f aca="false">IF($A249="","",N($M249)+$O249)</f>
        <v/>
      </c>
      <c r="Q249" s="34" t="str">
        <f aca="false">IF($A249="","",SUMIFS('Credit Notes'!$F$6:$F$205,'Credit Notes'!$B$6:$B$205,$A249,'Credit Notes'!$H$6:$H$205,"Issued"))</f>
        <v/>
      </c>
      <c r="R249" s="34" t="str">
        <f aca="false">IF($A249="","",SUMIFS(Payments!$I$6:$I$505,Payments!$C$6:$C$505,$A249))</f>
        <v/>
      </c>
      <c r="S249" s="34" t="str">
        <f aca="false">IF($A249="","",IF($T249="Void",0,$P249-$Q249-$R249))</f>
        <v/>
      </c>
      <c r="T249" s="26"/>
      <c r="U249" s="35" t="str">
        <f aca="false">IF($A249="","",IF($T249="Void","Void",IF(OR($T249="",$T249="Draft"),"Draft",IF($T249="Disputed","Disputed",IF($S249&lt;-0.005,"Overpaid",IF($S249&lt;=0.005,"Paid",IF($R249+$Q249&gt;0.005,IF($V249&gt;0,"Part-paid, overdue","Part-paid"),IF($V249&gt;0,"Overdue","Outstanding"))))))))</f>
        <v/>
      </c>
      <c r="V249" s="36" t="str">
        <f aca="true">IF($A249="","",IF(AND(OR($T249="Issued",$T249="Disputed"),$S249&gt;0.005,$K249&lt;&gt;"",$K249&lt;TODAY()),TODAY()-$K249,0))</f>
        <v/>
      </c>
      <c r="W249" s="35" t="str">
        <f aca="false">IF($A249="","",IF(AND(OR($T249="Issued",$T249="Disputed"),$S249&gt;0.005),IF($V249&lt;=0,"Not yet due",IF($V249&lt;=30,"1 to 30 days",IF($V249&lt;=60,"31 to 60 days",IF($V249&lt;=90,"61 to 90 days","Over 90 days")))),""))</f>
        <v/>
      </c>
      <c r="X249" s="26"/>
      <c r="Y249" s="29"/>
      <c r="Z249" s="28"/>
      <c r="AA249" s="28"/>
    </row>
    <row r="250" customFormat="false" ht="15" hidden="false" customHeight="false" outlineLevel="0" collapsed="false">
      <c r="A250" s="26"/>
      <c r="B250" s="26"/>
      <c r="C250" s="27" t="str">
        <f aca="false">IF($B250="","",IFERROR(INDEX(Clients!$B$6:$B$105,MATCH($B250,Clients!$A$6:$A$105,0)),"Client not found"))</f>
        <v/>
      </c>
      <c r="D250" s="26"/>
      <c r="E250" s="26"/>
      <c r="F250" s="26"/>
      <c r="G250" s="26"/>
      <c r="H250" s="28"/>
      <c r="I250" s="29"/>
      <c r="J250" s="30" t="str">
        <f aca="false">IF($A250="","",IFERROR(IF(N(INDEX(Clients!$E$6:$E$105,MATCH($B250,Clients!$A$6:$A$105,0)))&gt;0,INDEX(Clients!$E$6:$E$105,MATCH($B250,Clients!$A$6:$A$105,0)),Dashboard!$B$6),Dashboard!$B$6))</f>
        <v/>
      </c>
      <c r="K250" s="31" t="str">
        <f aca="false">IF(OR($A250="",$I250=""),"",$I250+$J250)</f>
        <v/>
      </c>
      <c r="L250" s="26"/>
      <c r="M250" s="32"/>
      <c r="N250" s="33"/>
      <c r="O250" s="34" t="str">
        <f aca="false">IF($A250="","",N($M250)*N($N250))</f>
        <v/>
      </c>
      <c r="P250" s="34" t="str">
        <f aca="false">IF($A250="","",N($M250)+$O250)</f>
        <v/>
      </c>
      <c r="Q250" s="34" t="str">
        <f aca="false">IF($A250="","",SUMIFS('Credit Notes'!$F$6:$F$205,'Credit Notes'!$B$6:$B$205,$A250,'Credit Notes'!$H$6:$H$205,"Issued"))</f>
        <v/>
      </c>
      <c r="R250" s="34" t="str">
        <f aca="false">IF($A250="","",SUMIFS(Payments!$I$6:$I$505,Payments!$C$6:$C$505,$A250))</f>
        <v/>
      </c>
      <c r="S250" s="34" t="str">
        <f aca="false">IF($A250="","",IF($T250="Void",0,$P250-$Q250-$R250))</f>
        <v/>
      </c>
      <c r="T250" s="26"/>
      <c r="U250" s="35" t="str">
        <f aca="false">IF($A250="","",IF($T250="Void","Void",IF(OR($T250="",$T250="Draft"),"Draft",IF($T250="Disputed","Disputed",IF($S250&lt;-0.005,"Overpaid",IF($S250&lt;=0.005,"Paid",IF($R250+$Q250&gt;0.005,IF($V250&gt;0,"Part-paid, overdue","Part-paid"),IF($V250&gt;0,"Overdue","Outstanding"))))))))</f>
        <v/>
      </c>
      <c r="V250" s="36" t="str">
        <f aca="true">IF($A250="","",IF(AND(OR($T250="Issued",$T250="Disputed"),$S250&gt;0.005,$K250&lt;&gt;"",$K250&lt;TODAY()),TODAY()-$K250,0))</f>
        <v/>
      </c>
      <c r="W250" s="35" t="str">
        <f aca="false">IF($A250="","",IF(AND(OR($T250="Issued",$T250="Disputed"),$S250&gt;0.005),IF($V250&lt;=0,"Not yet due",IF($V250&lt;=30,"1 to 30 days",IF($V250&lt;=60,"31 to 60 days",IF($V250&lt;=90,"61 to 90 days","Over 90 days")))),""))</f>
        <v/>
      </c>
      <c r="X250" s="26"/>
      <c r="Y250" s="29"/>
      <c r="Z250" s="28"/>
      <c r="AA250" s="28"/>
    </row>
    <row r="251" customFormat="false" ht="15" hidden="false" customHeight="false" outlineLevel="0" collapsed="false">
      <c r="A251" s="26"/>
      <c r="B251" s="26"/>
      <c r="C251" s="27" t="str">
        <f aca="false">IF($B251="","",IFERROR(INDEX(Clients!$B$6:$B$105,MATCH($B251,Clients!$A$6:$A$105,0)),"Client not found"))</f>
        <v/>
      </c>
      <c r="D251" s="26"/>
      <c r="E251" s="26"/>
      <c r="F251" s="26"/>
      <c r="G251" s="26"/>
      <c r="H251" s="28"/>
      <c r="I251" s="29"/>
      <c r="J251" s="30" t="str">
        <f aca="false">IF($A251="","",IFERROR(IF(N(INDEX(Clients!$E$6:$E$105,MATCH($B251,Clients!$A$6:$A$105,0)))&gt;0,INDEX(Clients!$E$6:$E$105,MATCH($B251,Clients!$A$6:$A$105,0)),Dashboard!$B$6),Dashboard!$B$6))</f>
        <v/>
      </c>
      <c r="K251" s="31" t="str">
        <f aca="false">IF(OR($A251="",$I251=""),"",$I251+$J251)</f>
        <v/>
      </c>
      <c r="L251" s="26"/>
      <c r="M251" s="32"/>
      <c r="N251" s="33"/>
      <c r="O251" s="34" t="str">
        <f aca="false">IF($A251="","",N($M251)*N($N251))</f>
        <v/>
      </c>
      <c r="P251" s="34" t="str">
        <f aca="false">IF($A251="","",N($M251)+$O251)</f>
        <v/>
      </c>
      <c r="Q251" s="34" t="str">
        <f aca="false">IF($A251="","",SUMIFS('Credit Notes'!$F$6:$F$205,'Credit Notes'!$B$6:$B$205,$A251,'Credit Notes'!$H$6:$H$205,"Issued"))</f>
        <v/>
      </c>
      <c r="R251" s="34" t="str">
        <f aca="false">IF($A251="","",SUMIFS(Payments!$I$6:$I$505,Payments!$C$6:$C$505,$A251))</f>
        <v/>
      </c>
      <c r="S251" s="34" t="str">
        <f aca="false">IF($A251="","",IF($T251="Void",0,$P251-$Q251-$R251))</f>
        <v/>
      </c>
      <c r="T251" s="26"/>
      <c r="U251" s="35" t="str">
        <f aca="false">IF($A251="","",IF($T251="Void","Void",IF(OR($T251="",$T251="Draft"),"Draft",IF($T251="Disputed","Disputed",IF($S251&lt;-0.005,"Overpaid",IF($S251&lt;=0.005,"Paid",IF($R251+$Q251&gt;0.005,IF($V251&gt;0,"Part-paid, overdue","Part-paid"),IF($V251&gt;0,"Overdue","Outstanding"))))))))</f>
        <v/>
      </c>
      <c r="V251" s="36" t="str">
        <f aca="true">IF($A251="","",IF(AND(OR($T251="Issued",$T251="Disputed"),$S251&gt;0.005,$K251&lt;&gt;"",$K251&lt;TODAY()),TODAY()-$K251,0))</f>
        <v/>
      </c>
      <c r="W251" s="35" t="str">
        <f aca="false">IF($A251="","",IF(AND(OR($T251="Issued",$T251="Disputed"),$S251&gt;0.005),IF($V251&lt;=0,"Not yet due",IF($V251&lt;=30,"1 to 30 days",IF($V251&lt;=60,"31 to 60 days",IF($V251&lt;=90,"61 to 90 days","Over 90 days")))),""))</f>
        <v/>
      </c>
      <c r="X251" s="26"/>
      <c r="Y251" s="29"/>
      <c r="Z251" s="28"/>
      <c r="AA251" s="28"/>
    </row>
    <row r="252" customFormat="false" ht="15" hidden="false" customHeight="false" outlineLevel="0" collapsed="false">
      <c r="A252" s="26"/>
      <c r="B252" s="26"/>
      <c r="C252" s="27" t="str">
        <f aca="false">IF($B252="","",IFERROR(INDEX(Clients!$B$6:$B$105,MATCH($B252,Clients!$A$6:$A$105,0)),"Client not found"))</f>
        <v/>
      </c>
      <c r="D252" s="26"/>
      <c r="E252" s="26"/>
      <c r="F252" s="26"/>
      <c r="G252" s="26"/>
      <c r="H252" s="28"/>
      <c r="I252" s="29"/>
      <c r="J252" s="30" t="str">
        <f aca="false">IF($A252="","",IFERROR(IF(N(INDEX(Clients!$E$6:$E$105,MATCH($B252,Clients!$A$6:$A$105,0)))&gt;0,INDEX(Clients!$E$6:$E$105,MATCH($B252,Clients!$A$6:$A$105,0)),Dashboard!$B$6),Dashboard!$B$6))</f>
        <v/>
      </c>
      <c r="K252" s="31" t="str">
        <f aca="false">IF(OR($A252="",$I252=""),"",$I252+$J252)</f>
        <v/>
      </c>
      <c r="L252" s="26"/>
      <c r="M252" s="32"/>
      <c r="N252" s="33"/>
      <c r="O252" s="34" t="str">
        <f aca="false">IF($A252="","",N($M252)*N($N252))</f>
        <v/>
      </c>
      <c r="P252" s="34" t="str">
        <f aca="false">IF($A252="","",N($M252)+$O252)</f>
        <v/>
      </c>
      <c r="Q252" s="34" t="str">
        <f aca="false">IF($A252="","",SUMIFS('Credit Notes'!$F$6:$F$205,'Credit Notes'!$B$6:$B$205,$A252,'Credit Notes'!$H$6:$H$205,"Issued"))</f>
        <v/>
      </c>
      <c r="R252" s="34" t="str">
        <f aca="false">IF($A252="","",SUMIFS(Payments!$I$6:$I$505,Payments!$C$6:$C$505,$A252))</f>
        <v/>
      </c>
      <c r="S252" s="34" t="str">
        <f aca="false">IF($A252="","",IF($T252="Void",0,$P252-$Q252-$R252))</f>
        <v/>
      </c>
      <c r="T252" s="26"/>
      <c r="U252" s="35" t="str">
        <f aca="false">IF($A252="","",IF($T252="Void","Void",IF(OR($T252="",$T252="Draft"),"Draft",IF($T252="Disputed","Disputed",IF($S252&lt;-0.005,"Overpaid",IF($S252&lt;=0.005,"Paid",IF($R252+$Q252&gt;0.005,IF($V252&gt;0,"Part-paid, overdue","Part-paid"),IF($V252&gt;0,"Overdue","Outstanding"))))))))</f>
        <v/>
      </c>
      <c r="V252" s="36" t="str">
        <f aca="true">IF($A252="","",IF(AND(OR($T252="Issued",$T252="Disputed"),$S252&gt;0.005,$K252&lt;&gt;"",$K252&lt;TODAY()),TODAY()-$K252,0))</f>
        <v/>
      </c>
      <c r="W252" s="35" t="str">
        <f aca="false">IF($A252="","",IF(AND(OR($T252="Issued",$T252="Disputed"),$S252&gt;0.005),IF($V252&lt;=0,"Not yet due",IF($V252&lt;=30,"1 to 30 days",IF($V252&lt;=60,"31 to 60 days",IF($V252&lt;=90,"61 to 90 days","Over 90 days")))),""))</f>
        <v/>
      </c>
      <c r="X252" s="26"/>
      <c r="Y252" s="29"/>
      <c r="Z252" s="28"/>
      <c r="AA252" s="28"/>
    </row>
    <row r="253" customFormat="false" ht="15" hidden="false" customHeight="false" outlineLevel="0" collapsed="false">
      <c r="A253" s="26"/>
      <c r="B253" s="26"/>
      <c r="C253" s="27" t="str">
        <f aca="false">IF($B253="","",IFERROR(INDEX(Clients!$B$6:$B$105,MATCH($B253,Clients!$A$6:$A$105,0)),"Client not found"))</f>
        <v/>
      </c>
      <c r="D253" s="26"/>
      <c r="E253" s="26"/>
      <c r="F253" s="26"/>
      <c r="G253" s="26"/>
      <c r="H253" s="28"/>
      <c r="I253" s="29"/>
      <c r="J253" s="30" t="str">
        <f aca="false">IF($A253="","",IFERROR(IF(N(INDEX(Clients!$E$6:$E$105,MATCH($B253,Clients!$A$6:$A$105,0)))&gt;0,INDEX(Clients!$E$6:$E$105,MATCH($B253,Clients!$A$6:$A$105,0)),Dashboard!$B$6),Dashboard!$B$6))</f>
        <v/>
      </c>
      <c r="K253" s="31" t="str">
        <f aca="false">IF(OR($A253="",$I253=""),"",$I253+$J253)</f>
        <v/>
      </c>
      <c r="L253" s="26"/>
      <c r="M253" s="32"/>
      <c r="N253" s="33"/>
      <c r="O253" s="34" t="str">
        <f aca="false">IF($A253="","",N($M253)*N($N253))</f>
        <v/>
      </c>
      <c r="P253" s="34" t="str">
        <f aca="false">IF($A253="","",N($M253)+$O253)</f>
        <v/>
      </c>
      <c r="Q253" s="34" t="str">
        <f aca="false">IF($A253="","",SUMIFS('Credit Notes'!$F$6:$F$205,'Credit Notes'!$B$6:$B$205,$A253,'Credit Notes'!$H$6:$H$205,"Issued"))</f>
        <v/>
      </c>
      <c r="R253" s="34" t="str">
        <f aca="false">IF($A253="","",SUMIFS(Payments!$I$6:$I$505,Payments!$C$6:$C$505,$A253))</f>
        <v/>
      </c>
      <c r="S253" s="34" t="str">
        <f aca="false">IF($A253="","",IF($T253="Void",0,$P253-$Q253-$R253))</f>
        <v/>
      </c>
      <c r="T253" s="26"/>
      <c r="U253" s="35" t="str">
        <f aca="false">IF($A253="","",IF($T253="Void","Void",IF(OR($T253="",$T253="Draft"),"Draft",IF($T253="Disputed","Disputed",IF($S253&lt;-0.005,"Overpaid",IF($S253&lt;=0.005,"Paid",IF($R253+$Q253&gt;0.005,IF($V253&gt;0,"Part-paid, overdue","Part-paid"),IF($V253&gt;0,"Overdue","Outstanding"))))))))</f>
        <v/>
      </c>
      <c r="V253" s="36" t="str">
        <f aca="true">IF($A253="","",IF(AND(OR($T253="Issued",$T253="Disputed"),$S253&gt;0.005,$K253&lt;&gt;"",$K253&lt;TODAY()),TODAY()-$K253,0))</f>
        <v/>
      </c>
      <c r="W253" s="35" t="str">
        <f aca="false">IF($A253="","",IF(AND(OR($T253="Issued",$T253="Disputed"),$S253&gt;0.005),IF($V253&lt;=0,"Not yet due",IF($V253&lt;=30,"1 to 30 days",IF($V253&lt;=60,"31 to 60 days",IF($V253&lt;=90,"61 to 90 days","Over 90 days")))),""))</f>
        <v/>
      </c>
      <c r="X253" s="26"/>
      <c r="Y253" s="29"/>
      <c r="Z253" s="28"/>
      <c r="AA253" s="28"/>
    </row>
    <row r="254" customFormat="false" ht="15" hidden="false" customHeight="false" outlineLevel="0" collapsed="false">
      <c r="A254" s="26"/>
      <c r="B254" s="26"/>
      <c r="C254" s="27" t="str">
        <f aca="false">IF($B254="","",IFERROR(INDEX(Clients!$B$6:$B$105,MATCH($B254,Clients!$A$6:$A$105,0)),"Client not found"))</f>
        <v/>
      </c>
      <c r="D254" s="26"/>
      <c r="E254" s="26"/>
      <c r="F254" s="26"/>
      <c r="G254" s="26"/>
      <c r="H254" s="28"/>
      <c r="I254" s="29"/>
      <c r="J254" s="30" t="str">
        <f aca="false">IF($A254="","",IFERROR(IF(N(INDEX(Clients!$E$6:$E$105,MATCH($B254,Clients!$A$6:$A$105,0)))&gt;0,INDEX(Clients!$E$6:$E$105,MATCH($B254,Clients!$A$6:$A$105,0)),Dashboard!$B$6),Dashboard!$B$6))</f>
        <v/>
      </c>
      <c r="K254" s="31" t="str">
        <f aca="false">IF(OR($A254="",$I254=""),"",$I254+$J254)</f>
        <v/>
      </c>
      <c r="L254" s="26"/>
      <c r="M254" s="32"/>
      <c r="N254" s="33"/>
      <c r="O254" s="34" t="str">
        <f aca="false">IF($A254="","",N($M254)*N($N254))</f>
        <v/>
      </c>
      <c r="P254" s="34" t="str">
        <f aca="false">IF($A254="","",N($M254)+$O254)</f>
        <v/>
      </c>
      <c r="Q254" s="34" t="str">
        <f aca="false">IF($A254="","",SUMIFS('Credit Notes'!$F$6:$F$205,'Credit Notes'!$B$6:$B$205,$A254,'Credit Notes'!$H$6:$H$205,"Issued"))</f>
        <v/>
      </c>
      <c r="R254" s="34" t="str">
        <f aca="false">IF($A254="","",SUMIFS(Payments!$I$6:$I$505,Payments!$C$6:$C$505,$A254))</f>
        <v/>
      </c>
      <c r="S254" s="34" t="str">
        <f aca="false">IF($A254="","",IF($T254="Void",0,$P254-$Q254-$R254))</f>
        <v/>
      </c>
      <c r="T254" s="26"/>
      <c r="U254" s="35" t="str">
        <f aca="false">IF($A254="","",IF($T254="Void","Void",IF(OR($T254="",$T254="Draft"),"Draft",IF($T254="Disputed","Disputed",IF($S254&lt;-0.005,"Overpaid",IF($S254&lt;=0.005,"Paid",IF($R254+$Q254&gt;0.005,IF($V254&gt;0,"Part-paid, overdue","Part-paid"),IF($V254&gt;0,"Overdue","Outstanding"))))))))</f>
        <v/>
      </c>
      <c r="V254" s="36" t="str">
        <f aca="true">IF($A254="","",IF(AND(OR($T254="Issued",$T254="Disputed"),$S254&gt;0.005,$K254&lt;&gt;"",$K254&lt;TODAY()),TODAY()-$K254,0))</f>
        <v/>
      </c>
      <c r="W254" s="35" t="str">
        <f aca="false">IF($A254="","",IF(AND(OR($T254="Issued",$T254="Disputed"),$S254&gt;0.005),IF($V254&lt;=0,"Not yet due",IF($V254&lt;=30,"1 to 30 days",IF($V254&lt;=60,"31 to 60 days",IF($V254&lt;=90,"61 to 90 days","Over 90 days")))),""))</f>
        <v/>
      </c>
      <c r="X254" s="26"/>
      <c r="Y254" s="29"/>
      <c r="Z254" s="28"/>
      <c r="AA254" s="28"/>
    </row>
    <row r="255" customFormat="false" ht="15" hidden="false" customHeight="false" outlineLevel="0" collapsed="false">
      <c r="A255" s="26"/>
      <c r="B255" s="26"/>
      <c r="C255" s="27" t="str">
        <f aca="false">IF($B255="","",IFERROR(INDEX(Clients!$B$6:$B$105,MATCH($B255,Clients!$A$6:$A$105,0)),"Client not found"))</f>
        <v/>
      </c>
      <c r="D255" s="26"/>
      <c r="E255" s="26"/>
      <c r="F255" s="26"/>
      <c r="G255" s="26"/>
      <c r="H255" s="28"/>
      <c r="I255" s="29"/>
      <c r="J255" s="30" t="str">
        <f aca="false">IF($A255="","",IFERROR(IF(N(INDEX(Clients!$E$6:$E$105,MATCH($B255,Clients!$A$6:$A$105,0)))&gt;0,INDEX(Clients!$E$6:$E$105,MATCH($B255,Clients!$A$6:$A$105,0)),Dashboard!$B$6),Dashboard!$B$6))</f>
        <v/>
      </c>
      <c r="K255" s="31" t="str">
        <f aca="false">IF(OR($A255="",$I255=""),"",$I255+$J255)</f>
        <v/>
      </c>
      <c r="L255" s="26"/>
      <c r="M255" s="32"/>
      <c r="N255" s="33"/>
      <c r="O255" s="34" t="str">
        <f aca="false">IF($A255="","",N($M255)*N($N255))</f>
        <v/>
      </c>
      <c r="P255" s="34" t="str">
        <f aca="false">IF($A255="","",N($M255)+$O255)</f>
        <v/>
      </c>
      <c r="Q255" s="34" t="str">
        <f aca="false">IF($A255="","",SUMIFS('Credit Notes'!$F$6:$F$205,'Credit Notes'!$B$6:$B$205,$A255,'Credit Notes'!$H$6:$H$205,"Issued"))</f>
        <v/>
      </c>
      <c r="R255" s="34" t="str">
        <f aca="false">IF($A255="","",SUMIFS(Payments!$I$6:$I$505,Payments!$C$6:$C$505,$A255))</f>
        <v/>
      </c>
      <c r="S255" s="34" t="str">
        <f aca="false">IF($A255="","",IF($T255="Void",0,$P255-$Q255-$R255))</f>
        <v/>
      </c>
      <c r="T255" s="26"/>
      <c r="U255" s="35" t="str">
        <f aca="false">IF($A255="","",IF($T255="Void","Void",IF(OR($T255="",$T255="Draft"),"Draft",IF($T255="Disputed","Disputed",IF($S255&lt;-0.005,"Overpaid",IF($S255&lt;=0.005,"Paid",IF($R255+$Q255&gt;0.005,IF($V255&gt;0,"Part-paid, overdue","Part-paid"),IF($V255&gt;0,"Overdue","Outstanding"))))))))</f>
        <v/>
      </c>
      <c r="V255" s="36" t="str">
        <f aca="true">IF($A255="","",IF(AND(OR($T255="Issued",$T255="Disputed"),$S255&gt;0.005,$K255&lt;&gt;"",$K255&lt;TODAY()),TODAY()-$K255,0))</f>
        <v/>
      </c>
      <c r="W255" s="35" t="str">
        <f aca="false">IF($A255="","",IF(AND(OR($T255="Issued",$T255="Disputed"),$S255&gt;0.005),IF($V255&lt;=0,"Not yet due",IF($V255&lt;=30,"1 to 30 days",IF($V255&lt;=60,"31 to 60 days",IF($V255&lt;=90,"61 to 90 days","Over 90 days")))),""))</f>
        <v/>
      </c>
      <c r="X255" s="26"/>
      <c r="Y255" s="29"/>
      <c r="Z255" s="28"/>
      <c r="AA255" s="28"/>
    </row>
    <row r="256" customFormat="false" ht="15" hidden="false" customHeight="false" outlineLevel="0" collapsed="false">
      <c r="A256" s="26"/>
      <c r="B256" s="26"/>
      <c r="C256" s="27" t="str">
        <f aca="false">IF($B256="","",IFERROR(INDEX(Clients!$B$6:$B$105,MATCH($B256,Clients!$A$6:$A$105,0)),"Client not found"))</f>
        <v/>
      </c>
      <c r="D256" s="26"/>
      <c r="E256" s="26"/>
      <c r="F256" s="26"/>
      <c r="G256" s="26"/>
      <c r="H256" s="28"/>
      <c r="I256" s="29"/>
      <c r="J256" s="30" t="str">
        <f aca="false">IF($A256="","",IFERROR(IF(N(INDEX(Clients!$E$6:$E$105,MATCH($B256,Clients!$A$6:$A$105,0)))&gt;0,INDEX(Clients!$E$6:$E$105,MATCH($B256,Clients!$A$6:$A$105,0)),Dashboard!$B$6),Dashboard!$B$6))</f>
        <v/>
      </c>
      <c r="K256" s="31" t="str">
        <f aca="false">IF(OR($A256="",$I256=""),"",$I256+$J256)</f>
        <v/>
      </c>
      <c r="L256" s="26"/>
      <c r="M256" s="32"/>
      <c r="N256" s="33"/>
      <c r="O256" s="34" t="str">
        <f aca="false">IF($A256="","",N($M256)*N($N256))</f>
        <v/>
      </c>
      <c r="P256" s="34" t="str">
        <f aca="false">IF($A256="","",N($M256)+$O256)</f>
        <v/>
      </c>
      <c r="Q256" s="34" t="str">
        <f aca="false">IF($A256="","",SUMIFS('Credit Notes'!$F$6:$F$205,'Credit Notes'!$B$6:$B$205,$A256,'Credit Notes'!$H$6:$H$205,"Issued"))</f>
        <v/>
      </c>
      <c r="R256" s="34" t="str">
        <f aca="false">IF($A256="","",SUMIFS(Payments!$I$6:$I$505,Payments!$C$6:$C$505,$A256))</f>
        <v/>
      </c>
      <c r="S256" s="34" t="str">
        <f aca="false">IF($A256="","",IF($T256="Void",0,$P256-$Q256-$R256))</f>
        <v/>
      </c>
      <c r="T256" s="26"/>
      <c r="U256" s="35" t="str">
        <f aca="false">IF($A256="","",IF($T256="Void","Void",IF(OR($T256="",$T256="Draft"),"Draft",IF($T256="Disputed","Disputed",IF($S256&lt;-0.005,"Overpaid",IF($S256&lt;=0.005,"Paid",IF($R256+$Q256&gt;0.005,IF($V256&gt;0,"Part-paid, overdue","Part-paid"),IF($V256&gt;0,"Overdue","Outstanding"))))))))</f>
        <v/>
      </c>
      <c r="V256" s="36" t="str">
        <f aca="true">IF($A256="","",IF(AND(OR($T256="Issued",$T256="Disputed"),$S256&gt;0.005,$K256&lt;&gt;"",$K256&lt;TODAY()),TODAY()-$K256,0))</f>
        <v/>
      </c>
      <c r="W256" s="35" t="str">
        <f aca="false">IF($A256="","",IF(AND(OR($T256="Issued",$T256="Disputed"),$S256&gt;0.005),IF($V256&lt;=0,"Not yet due",IF($V256&lt;=30,"1 to 30 days",IF($V256&lt;=60,"31 to 60 days",IF($V256&lt;=90,"61 to 90 days","Over 90 days")))),""))</f>
        <v/>
      </c>
      <c r="X256" s="26"/>
      <c r="Y256" s="29"/>
      <c r="Z256" s="28"/>
      <c r="AA256" s="28"/>
    </row>
    <row r="257" customFormat="false" ht="15" hidden="false" customHeight="false" outlineLevel="0" collapsed="false">
      <c r="A257" s="26"/>
      <c r="B257" s="26"/>
      <c r="C257" s="27" t="str">
        <f aca="false">IF($B257="","",IFERROR(INDEX(Clients!$B$6:$B$105,MATCH($B257,Clients!$A$6:$A$105,0)),"Client not found"))</f>
        <v/>
      </c>
      <c r="D257" s="26"/>
      <c r="E257" s="26"/>
      <c r="F257" s="26"/>
      <c r="G257" s="26"/>
      <c r="H257" s="28"/>
      <c r="I257" s="29"/>
      <c r="J257" s="30" t="str">
        <f aca="false">IF($A257="","",IFERROR(IF(N(INDEX(Clients!$E$6:$E$105,MATCH($B257,Clients!$A$6:$A$105,0)))&gt;0,INDEX(Clients!$E$6:$E$105,MATCH($B257,Clients!$A$6:$A$105,0)),Dashboard!$B$6),Dashboard!$B$6))</f>
        <v/>
      </c>
      <c r="K257" s="31" t="str">
        <f aca="false">IF(OR($A257="",$I257=""),"",$I257+$J257)</f>
        <v/>
      </c>
      <c r="L257" s="26"/>
      <c r="M257" s="32"/>
      <c r="N257" s="33"/>
      <c r="O257" s="34" t="str">
        <f aca="false">IF($A257="","",N($M257)*N($N257))</f>
        <v/>
      </c>
      <c r="P257" s="34" t="str">
        <f aca="false">IF($A257="","",N($M257)+$O257)</f>
        <v/>
      </c>
      <c r="Q257" s="34" t="str">
        <f aca="false">IF($A257="","",SUMIFS('Credit Notes'!$F$6:$F$205,'Credit Notes'!$B$6:$B$205,$A257,'Credit Notes'!$H$6:$H$205,"Issued"))</f>
        <v/>
      </c>
      <c r="R257" s="34" t="str">
        <f aca="false">IF($A257="","",SUMIFS(Payments!$I$6:$I$505,Payments!$C$6:$C$505,$A257))</f>
        <v/>
      </c>
      <c r="S257" s="34" t="str">
        <f aca="false">IF($A257="","",IF($T257="Void",0,$P257-$Q257-$R257))</f>
        <v/>
      </c>
      <c r="T257" s="26"/>
      <c r="U257" s="35" t="str">
        <f aca="false">IF($A257="","",IF($T257="Void","Void",IF(OR($T257="",$T257="Draft"),"Draft",IF($T257="Disputed","Disputed",IF($S257&lt;-0.005,"Overpaid",IF($S257&lt;=0.005,"Paid",IF($R257+$Q257&gt;0.005,IF($V257&gt;0,"Part-paid, overdue","Part-paid"),IF($V257&gt;0,"Overdue","Outstanding"))))))))</f>
        <v/>
      </c>
      <c r="V257" s="36" t="str">
        <f aca="true">IF($A257="","",IF(AND(OR($T257="Issued",$T257="Disputed"),$S257&gt;0.005,$K257&lt;&gt;"",$K257&lt;TODAY()),TODAY()-$K257,0))</f>
        <v/>
      </c>
      <c r="W257" s="35" t="str">
        <f aca="false">IF($A257="","",IF(AND(OR($T257="Issued",$T257="Disputed"),$S257&gt;0.005),IF($V257&lt;=0,"Not yet due",IF($V257&lt;=30,"1 to 30 days",IF($V257&lt;=60,"31 to 60 days",IF($V257&lt;=90,"61 to 90 days","Over 90 days")))),""))</f>
        <v/>
      </c>
      <c r="X257" s="26"/>
      <c r="Y257" s="29"/>
      <c r="Z257" s="28"/>
      <c r="AA257" s="28"/>
    </row>
    <row r="258" customFormat="false" ht="15" hidden="false" customHeight="false" outlineLevel="0" collapsed="false">
      <c r="A258" s="26"/>
      <c r="B258" s="26"/>
      <c r="C258" s="27" t="str">
        <f aca="false">IF($B258="","",IFERROR(INDEX(Clients!$B$6:$B$105,MATCH($B258,Clients!$A$6:$A$105,0)),"Client not found"))</f>
        <v/>
      </c>
      <c r="D258" s="26"/>
      <c r="E258" s="26"/>
      <c r="F258" s="26"/>
      <c r="G258" s="26"/>
      <c r="H258" s="28"/>
      <c r="I258" s="29"/>
      <c r="J258" s="30" t="str">
        <f aca="false">IF($A258="","",IFERROR(IF(N(INDEX(Clients!$E$6:$E$105,MATCH($B258,Clients!$A$6:$A$105,0)))&gt;0,INDEX(Clients!$E$6:$E$105,MATCH($B258,Clients!$A$6:$A$105,0)),Dashboard!$B$6),Dashboard!$B$6))</f>
        <v/>
      </c>
      <c r="K258" s="31" t="str">
        <f aca="false">IF(OR($A258="",$I258=""),"",$I258+$J258)</f>
        <v/>
      </c>
      <c r="L258" s="26"/>
      <c r="M258" s="32"/>
      <c r="N258" s="33"/>
      <c r="O258" s="34" t="str">
        <f aca="false">IF($A258="","",N($M258)*N($N258))</f>
        <v/>
      </c>
      <c r="P258" s="34" t="str">
        <f aca="false">IF($A258="","",N($M258)+$O258)</f>
        <v/>
      </c>
      <c r="Q258" s="34" t="str">
        <f aca="false">IF($A258="","",SUMIFS('Credit Notes'!$F$6:$F$205,'Credit Notes'!$B$6:$B$205,$A258,'Credit Notes'!$H$6:$H$205,"Issued"))</f>
        <v/>
      </c>
      <c r="R258" s="34" t="str">
        <f aca="false">IF($A258="","",SUMIFS(Payments!$I$6:$I$505,Payments!$C$6:$C$505,$A258))</f>
        <v/>
      </c>
      <c r="S258" s="34" t="str">
        <f aca="false">IF($A258="","",IF($T258="Void",0,$P258-$Q258-$R258))</f>
        <v/>
      </c>
      <c r="T258" s="26"/>
      <c r="U258" s="35" t="str">
        <f aca="false">IF($A258="","",IF($T258="Void","Void",IF(OR($T258="",$T258="Draft"),"Draft",IF($T258="Disputed","Disputed",IF($S258&lt;-0.005,"Overpaid",IF($S258&lt;=0.005,"Paid",IF($R258+$Q258&gt;0.005,IF($V258&gt;0,"Part-paid, overdue","Part-paid"),IF($V258&gt;0,"Overdue","Outstanding"))))))))</f>
        <v/>
      </c>
      <c r="V258" s="36" t="str">
        <f aca="true">IF($A258="","",IF(AND(OR($T258="Issued",$T258="Disputed"),$S258&gt;0.005,$K258&lt;&gt;"",$K258&lt;TODAY()),TODAY()-$K258,0))</f>
        <v/>
      </c>
      <c r="W258" s="35" t="str">
        <f aca="false">IF($A258="","",IF(AND(OR($T258="Issued",$T258="Disputed"),$S258&gt;0.005),IF($V258&lt;=0,"Not yet due",IF($V258&lt;=30,"1 to 30 days",IF($V258&lt;=60,"31 to 60 days",IF($V258&lt;=90,"61 to 90 days","Over 90 days")))),""))</f>
        <v/>
      </c>
      <c r="X258" s="26"/>
      <c r="Y258" s="29"/>
      <c r="Z258" s="28"/>
      <c r="AA258" s="28"/>
    </row>
    <row r="259" customFormat="false" ht="15" hidden="false" customHeight="false" outlineLevel="0" collapsed="false">
      <c r="A259" s="26"/>
      <c r="B259" s="26"/>
      <c r="C259" s="27" t="str">
        <f aca="false">IF($B259="","",IFERROR(INDEX(Clients!$B$6:$B$105,MATCH($B259,Clients!$A$6:$A$105,0)),"Client not found"))</f>
        <v/>
      </c>
      <c r="D259" s="26"/>
      <c r="E259" s="26"/>
      <c r="F259" s="26"/>
      <c r="G259" s="26"/>
      <c r="H259" s="28"/>
      <c r="I259" s="29"/>
      <c r="J259" s="30" t="str">
        <f aca="false">IF($A259="","",IFERROR(IF(N(INDEX(Clients!$E$6:$E$105,MATCH($B259,Clients!$A$6:$A$105,0)))&gt;0,INDEX(Clients!$E$6:$E$105,MATCH($B259,Clients!$A$6:$A$105,0)),Dashboard!$B$6),Dashboard!$B$6))</f>
        <v/>
      </c>
      <c r="K259" s="31" t="str">
        <f aca="false">IF(OR($A259="",$I259=""),"",$I259+$J259)</f>
        <v/>
      </c>
      <c r="L259" s="26"/>
      <c r="M259" s="32"/>
      <c r="N259" s="33"/>
      <c r="O259" s="34" t="str">
        <f aca="false">IF($A259="","",N($M259)*N($N259))</f>
        <v/>
      </c>
      <c r="P259" s="34" t="str">
        <f aca="false">IF($A259="","",N($M259)+$O259)</f>
        <v/>
      </c>
      <c r="Q259" s="34" t="str">
        <f aca="false">IF($A259="","",SUMIFS('Credit Notes'!$F$6:$F$205,'Credit Notes'!$B$6:$B$205,$A259,'Credit Notes'!$H$6:$H$205,"Issued"))</f>
        <v/>
      </c>
      <c r="R259" s="34" t="str">
        <f aca="false">IF($A259="","",SUMIFS(Payments!$I$6:$I$505,Payments!$C$6:$C$505,$A259))</f>
        <v/>
      </c>
      <c r="S259" s="34" t="str">
        <f aca="false">IF($A259="","",IF($T259="Void",0,$P259-$Q259-$R259))</f>
        <v/>
      </c>
      <c r="T259" s="26"/>
      <c r="U259" s="35" t="str">
        <f aca="false">IF($A259="","",IF($T259="Void","Void",IF(OR($T259="",$T259="Draft"),"Draft",IF($T259="Disputed","Disputed",IF($S259&lt;-0.005,"Overpaid",IF($S259&lt;=0.005,"Paid",IF($R259+$Q259&gt;0.005,IF($V259&gt;0,"Part-paid, overdue","Part-paid"),IF($V259&gt;0,"Overdue","Outstanding"))))))))</f>
        <v/>
      </c>
      <c r="V259" s="36" t="str">
        <f aca="true">IF($A259="","",IF(AND(OR($T259="Issued",$T259="Disputed"),$S259&gt;0.005,$K259&lt;&gt;"",$K259&lt;TODAY()),TODAY()-$K259,0))</f>
        <v/>
      </c>
      <c r="W259" s="35" t="str">
        <f aca="false">IF($A259="","",IF(AND(OR($T259="Issued",$T259="Disputed"),$S259&gt;0.005),IF($V259&lt;=0,"Not yet due",IF($V259&lt;=30,"1 to 30 days",IF($V259&lt;=60,"31 to 60 days",IF($V259&lt;=90,"61 to 90 days","Over 90 days")))),""))</f>
        <v/>
      </c>
      <c r="X259" s="26"/>
      <c r="Y259" s="29"/>
      <c r="Z259" s="28"/>
      <c r="AA259" s="28"/>
    </row>
    <row r="260" customFormat="false" ht="15" hidden="false" customHeight="false" outlineLevel="0" collapsed="false">
      <c r="A260" s="26"/>
      <c r="B260" s="26"/>
      <c r="C260" s="27" t="str">
        <f aca="false">IF($B260="","",IFERROR(INDEX(Clients!$B$6:$B$105,MATCH($B260,Clients!$A$6:$A$105,0)),"Client not found"))</f>
        <v/>
      </c>
      <c r="D260" s="26"/>
      <c r="E260" s="26"/>
      <c r="F260" s="26"/>
      <c r="G260" s="26"/>
      <c r="H260" s="28"/>
      <c r="I260" s="29"/>
      <c r="J260" s="30" t="str">
        <f aca="false">IF($A260="","",IFERROR(IF(N(INDEX(Clients!$E$6:$E$105,MATCH($B260,Clients!$A$6:$A$105,0)))&gt;0,INDEX(Clients!$E$6:$E$105,MATCH($B260,Clients!$A$6:$A$105,0)),Dashboard!$B$6),Dashboard!$B$6))</f>
        <v/>
      </c>
      <c r="K260" s="31" t="str">
        <f aca="false">IF(OR($A260="",$I260=""),"",$I260+$J260)</f>
        <v/>
      </c>
      <c r="L260" s="26"/>
      <c r="M260" s="32"/>
      <c r="N260" s="33"/>
      <c r="O260" s="34" t="str">
        <f aca="false">IF($A260="","",N($M260)*N($N260))</f>
        <v/>
      </c>
      <c r="P260" s="34" t="str">
        <f aca="false">IF($A260="","",N($M260)+$O260)</f>
        <v/>
      </c>
      <c r="Q260" s="34" t="str">
        <f aca="false">IF($A260="","",SUMIFS('Credit Notes'!$F$6:$F$205,'Credit Notes'!$B$6:$B$205,$A260,'Credit Notes'!$H$6:$H$205,"Issued"))</f>
        <v/>
      </c>
      <c r="R260" s="34" t="str">
        <f aca="false">IF($A260="","",SUMIFS(Payments!$I$6:$I$505,Payments!$C$6:$C$505,$A260))</f>
        <v/>
      </c>
      <c r="S260" s="34" t="str">
        <f aca="false">IF($A260="","",IF($T260="Void",0,$P260-$Q260-$R260))</f>
        <v/>
      </c>
      <c r="T260" s="26"/>
      <c r="U260" s="35" t="str">
        <f aca="false">IF($A260="","",IF($T260="Void","Void",IF(OR($T260="",$T260="Draft"),"Draft",IF($T260="Disputed","Disputed",IF($S260&lt;-0.005,"Overpaid",IF($S260&lt;=0.005,"Paid",IF($R260+$Q260&gt;0.005,IF($V260&gt;0,"Part-paid, overdue","Part-paid"),IF($V260&gt;0,"Overdue","Outstanding"))))))))</f>
        <v/>
      </c>
      <c r="V260" s="36" t="str">
        <f aca="true">IF($A260="","",IF(AND(OR($T260="Issued",$T260="Disputed"),$S260&gt;0.005,$K260&lt;&gt;"",$K260&lt;TODAY()),TODAY()-$K260,0))</f>
        <v/>
      </c>
      <c r="W260" s="35" t="str">
        <f aca="false">IF($A260="","",IF(AND(OR($T260="Issued",$T260="Disputed"),$S260&gt;0.005),IF($V260&lt;=0,"Not yet due",IF($V260&lt;=30,"1 to 30 days",IF($V260&lt;=60,"31 to 60 days",IF($V260&lt;=90,"61 to 90 days","Over 90 days")))),""))</f>
        <v/>
      </c>
      <c r="X260" s="26"/>
      <c r="Y260" s="29"/>
      <c r="Z260" s="28"/>
      <c r="AA260" s="28"/>
    </row>
    <row r="261" customFormat="false" ht="15" hidden="false" customHeight="false" outlineLevel="0" collapsed="false">
      <c r="A261" s="26"/>
      <c r="B261" s="26"/>
      <c r="C261" s="27" t="str">
        <f aca="false">IF($B261="","",IFERROR(INDEX(Clients!$B$6:$B$105,MATCH($B261,Clients!$A$6:$A$105,0)),"Client not found"))</f>
        <v/>
      </c>
      <c r="D261" s="26"/>
      <c r="E261" s="26"/>
      <c r="F261" s="26"/>
      <c r="G261" s="26"/>
      <c r="H261" s="28"/>
      <c r="I261" s="29"/>
      <c r="J261" s="30" t="str">
        <f aca="false">IF($A261="","",IFERROR(IF(N(INDEX(Clients!$E$6:$E$105,MATCH($B261,Clients!$A$6:$A$105,0)))&gt;0,INDEX(Clients!$E$6:$E$105,MATCH($B261,Clients!$A$6:$A$105,0)),Dashboard!$B$6),Dashboard!$B$6))</f>
        <v/>
      </c>
      <c r="K261" s="31" t="str">
        <f aca="false">IF(OR($A261="",$I261=""),"",$I261+$J261)</f>
        <v/>
      </c>
      <c r="L261" s="26"/>
      <c r="M261" s="32"/>
      <c r="N261" s="33"/>
      <c r="O261" s="34" t="str">
        <f aca="false">IF($A261="","",N($M261)*N($N261))</f>
        <v/>
      </c>
      <c r="P261" s="34" t="str">
        <f aca="false">IF($A261="","",N($M261)+$O261)</f>
        <v/>
      </c>
      <c r="Q261" s="34" t="str">
        <f aca="false">IF($A261="","",SUMIFS('Credit Notes'!$F$6:$F$205,'Credit Notes'!$B$6:$B$205,$A261,'Credit Notes'!$H$6:$H$205,"Issued"))</f>
        <v/>
      </c>
      <c r="R261" s="34" t="str">
        <f aca="false">IF($A261="","",SUMIFS(Payments!$I$6:$I$505,Payments!$C$6:$C$505,$A261))</f>
        <v/>
      </c>
      <c r="S261" s="34" t="str">
        <f aca="false">IF($A261="","",IF($T261="Void",0,$P261-$Q261-$R261))</f>
        <v/>
      </c>
      <c r="T261" s="26"/>
      <c r="U261" s="35" t="str">
        <f aca="false">IF($A261="","",IF($T261="Void","Void",IF(OR($T261="",$T261="Draft"),"Draft",IF($T261="Disputed","Disputed",IF($S261&lt;-0.005,"Overpaid",IF($S261&lt;=0.005,"Paid",IF($R261+$Q261&gt;0.005,IF($V261&gt;0,"Part-paid, overdue","Part-paid"),IF($V261&gt;0,"Overdue","Outstanding"))))))))</f>
        <v/>
      </c>
      <c r="V261" s="36" t="str">
        <f aca="true">IF($A261="","",IF(AND(OR($T261="Issued",$T261="Disputed"),$S261&gt;0.005,$K261&lt;&gt;"",$K261&lt;TODAY()),TODAY()-$K261,0))</f>
        <v/>
      </c>
      <c r="W261" s="35" t="str">
        <f aca="false">IF($A261="","",IF(AND(OR($T261="Issued",$T261="Disputed"),$S261&gt;0.005),IF($V261&lt;=0,"Not yet due",IF($V261&lt;=30,"1 to 30 days",IF($V261&lt;=60,"31 to 60 days",IF($V261&lt;=90,"61 to 90 days","Over 90 days")))),""))</f>
        <v/>
      </c>
      <c r="X261" s="26"/>
      <c r="Y261" s="29"/>
      <c r="Z261" s="28"/>
      <c r="AA261" s="28"/>
    </row>
    <row r="262" customFormat="false" ht="15" hidden="false" customHeight="false" outlineLevel="0" collapsed="false">
      <c r="A262" s="26"/>
      <c r="B262" s="26"/>
      <c r="C262" s="27" t="str">
        <f aca="false">IF($B262="","",IFERROR(INDEX(Clients!$B$6:$B$105,MATCH($B262,Clients!$A$6:$A$105,0)),"Client not found"))</f>
        <v/>
      </c>
      <c r="D262" s="26"/>
      <c r="E262" s="26"/>
      <c r="F262" s="26"/>
      <c r="G262" s="26"/>
      <c r="H262" s="28"/>
      <c r="I262" s="29"/>
      <c r="J262" s="30" t="str">
        <f aca="false">IF($A262="","",IFERROR(IF(N(INDEX(Clients!$E$6:$E$105,MATCH($B262,Clients!$A$6:$A$105,0)))&gt;0,INDEX(Clients!$E$6:$E$105,MATCH($B262,Clients!$A$6:$A$105,0)),Dashboard!$B$6),Dashboard!$B$6))</f>
        <v/>
      </c>
      <c r="K262" s="31" t="str">
        <f aca="false">IF(OR($A262="",$I262=""),"",$I262+$J262)</f>
        <v/>
      </c>
      <c r="L262" s="26"/>
      <c r="M262" s="32"/>
      <c r="N262" s="33"/>
      <c r="O262" s="34" t="str">
        <f aca="false">IF($A262="","",N($M262)*N($N262))</f>
        <v/>
      </c>
      <c r="P262" s="34" t="str">
        <f aca="false">IF($A262="","",N($M262)+$O262)</f>
        <v/>
      </c>
      <c r="Q262" s="34" t="str">
        <f aca="false">IF($A262="","",SUMIFS('Credit Notes'!$F$6:$F$205,'Credit Notes'!$B$6:$B$205,$A262,'Credit Notes'!$H$6:$H$205,"Issued"))</f>
        <v/>
      </c>
      <c r="R262" s="34" t="str">
        <f aca="false">IF($A262="","",SUMIFS(Payments!$I$6:$I$505,Payments!$C$6:$C$505,$A262))</f>
        <v/>
      </c>
      <c r="S262" s="34" t="str">
        <f aca="false">IF($A262="","",IF($T262="Void",0,$P262-$Q262-$R262))</f>
        <v/>
      </c>
      <c r="T262" s="26"/>
      <c r="U262" s="35" t="str">
        <f aca="false">IF($A262="","",IF($T262="Void","Void",IF(OR($T262="",$T262="Draft"),"Draft",IF($T262="Disputed","Disputed",IF($S262&lt;-0.005,"Overpaid",IF($S262&lt;=0.005,"Paid",IF($R262+$Q262&gt;0.005,IF($V262&gt;0,"Part-paid, overdue","Part-paid"),IF($V262&gt;0,"Overdue","Outstanding"))))))))</f>
        <v/>
      </c>
      <c r="V262" s="36" t="str">
        <f aca="true">IF($A262="","",IF(AND(OR($T262="Issued",$T262="Disputed"),$S262&gt;0.005,$K262&lt;&gt;"",$K262&lt;TODAY()),TODAY()-$K262,0))</f>
        <v/>
      </c>
      <c r="W262" s="35" t="str">
        <f aca="false">IF($A262="","",IF(AND(OR($T262="Issued",$T262="Disputed"),$S262&gt;0.005),IF($V262&lt;=0,"Not yet due",IF($V262&lt;=30,"1 to 30 days",IF($V262&lt;=60,"31 to 60 days",IF($V262&lt;=90,"61 to 90 days","Over 90 days")))),""))</f>
        <v/>
      </c>
      <c r="X262" s="26"/>
      <c r="Y262" s="29"/>
      <c r="Z262" s="28"/>
      <c r="AA262" s="28"/>
    </row>
    <row r="263" customFormat="false" ht="15" hidden="false" customHeight="false" outlineLevel="0" collapsed="false">
      <c r="A263" s="26"/>
      <c r="B263" s="26"/>
      <c r="C263" s="27" t="str">
        <f aca="false">IF($B263="","",IFERROR(INDEX(Clients!$B$6:$B$105,MATCH($B263,Clients!$A$6:$A$105,0)),"Client not found"))</f>
        <v/>
      </c>
      <c r="D263" s="26"/>
      <c r="E263" s="26"/>
      <c r="F263" s="26"/>
      <c r="G263" s="26"/>
      <c r="H263" s="28"/>
      <c r="I263" s="29"/>
      <c r="J263" s="30" t="str">
        <f aca="false">IF($A263="","",IFERROR(IF(N(INDEX(Clients!$E$6:$E$105,MATCH($B263,Clients!$A$6:$A$105,0)))&gt;0,INDEX(Clients!$E$6:$E$105,MATCH($B263,Clients!$A$6:$A$105,0)),Dashboard!$B$6),Dashboard!$B$6))</f>
        <v/>
      </c>
      <c r="K263" s="31" t="str">
        <f aca="false">IF(OR($A263="",$I263=""),"",$I263+$J263)</f>
        <v/>
      </c>
      <c r="L263" s="26"/>
      <c r="M263" s="32"/>
      <c r="N263" s="33"/>
      <c r="O263" s="34" t="str">
        <f aca="false">IF($A263="","",N($M263)*N($N263))</f>
        <v/>
      </c>
      <c r="P263" s="34" t="str">
        <f aca="false">IF($A263="","",N($M263)+$O263)</f>
        <v/>
      </c>
      <c r="Q263" s="34" t="str">
        <f aca="false">IF($A263="","",SUMIFS('Credit Notes'!$F$6:$F$205,'Credit Notes'!$B$6:$B$205,$A263,'Credit Notes'!$H$6:$H$205,"Issued"))</f>
        <v/>
      </c>
      <c r="R263" s="34" t="str">
        <f aca="false">IF($A263="","",SUMIFS(Payments!$I$6:$I$505,Payments!$C$6:$C$505,$A263))</f>
        <v/>
      </c>
      <c r="S263" s="34" t="str">
        <f aca="false">IF($A263="","",IF($T263="Void",0,$P263-$Q263-$R263))</f>
        <v/>
      </c>
      <c r="T263" s="26"/>
      <c r="U263" s="35" t="str">
        <f aca="false">IF($A263="","",IF($T263="Void","Void",IF(OR($T263="",$T263="Draft"),"Draft",IF($T263="Disputed","Disputed",IF($S263&lt;-0.005,"Overpaid",IF($S263&lt;=0.005,"Paid",IF($R263+$Q263&gt;0.005,IF($V263&gt;0,"Part-paid, overdue","Part-paid"),IF($V263&gt;0,"Overdue","Outstanding"))))))))</f>
        <v/>
      </c>
      <c r="V263" s="36" t="str">
        <f aca="true">IF($A263="","",IF(AND(OR($T263="Issued",$T263="Disputed"),$S263&gt;0.005,$K263&lt;&gt;"",$K263&lt;TODAY()),TODAY()-$K263,0))</f>
        <v/>
      </c>
      <c r="W263" s="35" t="str">
        <f aca="false">IF($A263="","",IF(AND(OR($T263="Issued",$T263="Disputed"),$S263&gt;0.005),IF($V263&lt;=0,"Not yet due",IF($V263&lt;=30,"1 to 30 days",IF($V263&lt;=60,"31 to 60 days",IF($V263&lt;=90,"61 to 90 days","Over 90 days")))),""))</f>
        <v/>
      </c>
      <c r="X263" s="26"/>
      <c r="Y263" s="29"/>
      <c r="Z263" s="28"/>
      <c r="AA263" s="28"/>
    </row>
    <row r="264" customFormat="false" ht="15" hidden="false" customHeight="false" outlineLevel="0" collapsed="false">
      <c r="A264" s="26"/>
      <c r="B264" s="26"/>
      <c r="C264" s="27" t="str">
        <f aca="false">IF($B264="","",IFERROR(INDEX(Clients!$B$6:$B$105,MATCH($B264,Clients!$A$6:$A$105,0)),"Client not found"))</f>
        <v/>
      </c>
      <c r="D264" s="26"/>
      <c r="E264" s="26"/>
      <c r="F264" s="26"/>
      <c r="G264" s="26"/>
      <c r="H264" s="28"/>
      <c r="I264" s="29"/>
      <c r="J264" s="30" t="str">
        <f aca="false">IF($A264="","",IFERROR(IF(N(INDEX(Clients!$E$6:$E$105,MATCH($B264,Clients!$A$6:$A$105,0)))&gt;0,INDEX(Clients!$E$6:$E$105,MATCH($B264,Clients!$A$6:$A$105,0)),Dashboard!$B$6),Dashboard!$B$6))</f>
        <v/>
      </c>
      <c r="K264" s="31" t="str">
        <f aca="false">IF(OR($A264="",$I264=""),"",$I264+$J264)</f>
        <v/>
      </c>
      <c r="L264" s="26"/>
      <c r="M264" s="32"/>
      <c r="N264" s="33"/>
      <c r="O264" s="34" t="str">
        <f aca="false">IF($A264="","",N($M264)*N($N264))</f>
        <v/>
      </c>
      <c r="P264" s="34" t="str">
        <f aca="false">IF($A264="","",N($M264)+$O264)</f>
        <v/>
      </c>
      <c r="Q264" s="34" t="str">
        <f aca="false">IF($A264="","",SUMIFS('Credit Notes'!$F$6:$F$205,'Credit Notes'!$B$6:$B$205,$A264,'Credit Notes'!$H$6:$H$205,"Issued"))</f>
        <v/>
      </c>
      <c r="R264" s="34" t="str">
        <f aca="false">IF($A264="","",SUMIFS(Payments!$I$6:$I$505,Payments!$C$6:$C$505,$A264))</f>
        <v/>
      </c>
      <c r="S264" s="34" t="str">
        <f aca="false">IF($A264="","",IF($T264="Void",0,$P264-$Q264-$R264))</f>
        <v/>
      </c>
      <c r="T264" s="26"/>
      <c r="U264" s="35" t="str">
        <f aca="false">IF($A264="","",IF($T264="Void","Void",IF(OR($T264="",$T264="Draft"),"Draft",IF($T264="Disputed","Disputed",IF($S264&lt;-0.005,"Overpaid",IF($S264&lt;=0.005,"Paid",IF($R264+$Q264&gt;0.005,IF($V264&gt;0,"Part-paid, overdue","Part-paid"),IF($V264&gt;0,"Overdue","Outstanding"))))))))</f>
        <v/>
      </c>
      <c r="V264" s="36" t="str">
        <f aca="true">IF($A264="","",IF(AND(OR($T264="Issued",$T264="Disputed"),$S264&gt;0.005,$K264&lt;&gt;"",$K264&lt;TODAY()),TODAY()-$K264,0))</f>
        <v/>
      </c>
      <c r="W264" s="35" t="str">
        <f aca="false">IF($A264="","",IF(AND(OR($T264="Issued",$T264="Disputed"),$S264&gt;0.005),IF($V264&lt;=0,"Not yet due",IF($V264&lt;=30,"1 to 30 days",IF($V264&lt;=60,"31 to 60 days",IF($V264&lt;=90,"61 to 90 days","Over 90 days")))),""))</f>
        <v/>
      </c>
      <c r="X264" s="26"/>
      <c r="Y264" s="29"/>
      <c r="Z264" s="28"/>
      <c r="AA264" s="28"/>
    </row>
    <row r="265" customFormat="false" ht="15" hidden="false" customHeight="false" outlineLevel="0" collapsed="false">
      <c r="A265" s="26"/>
      <c r="B265" s="26"/>
      <c r="C265" s="27" t="str">
        <f aca="false">IF($B265="","",IFERROR(INDEX(Clients!$B$6:$B$105,MATCH($B265,Clients!$A$6:$A$105,0)),"Client not found"))</f>
        <v/>
      </c>
      <c r="D265" s="26"/>
      <c r="E265" s="26"/>
      <c r="F265" s="26"/>
      <c r="G265" s="26"/>
      <c r="H265" s="28"/>
      <c r="I265" s="29"/>
      <c r="J265" s="30" t="str">
        <f aca="false">IF($A265="","",IFERROR(IF(N(INDEX(Clients!$E$6:$E$105,MATCH($B265,Clients!$A$6:$A$105,0)))&gt;0,INDEX(Clients!$E$6:$E$105,MATCH($B265,Clients!$A$6:$A$105,0)),Dashboard!$B$6),Dashboard!$B$6))</f>
        <v/>
      </c>
      <c r="K265" s="31" t="str">
        <f aca="false">IF(OR($A265="",$I265=""),"",$I265+$J265)</f>
        <v/>
      </c>
      <c r="L265" s="26"/>
      <c r="M265" s="32"/>
      <c r="N265" s="33"/>
      <c r="O265" s="34" t="str">
        <f aca="false">IF($A265="","",N($M265)*N($N265))</f>
        <v/>
      </c>
      <c r="P265" s="34" t="str">
        <f aca="false">IF($A265="","",N($M265)+$O265)</f>
        <v/>
      </c>
      <c r="Q265" s="34" t="str">
        <f aca="false">IF($A265="","",SUMIFS('Credit Notes'!$F$6:$F$205,'Credit Notes'!$B$6:$B$205,$A265,'Credit Notes'!$H$6:$H$205,"Issued"))</f>
        <v/>
      </c>
      <c r="R265" s="34" t="str">
        <f aca="false">IF($A265="","",SUMIFS(Payments!$I$6:$I$505,Payments!$C$6:$C$505,$A265))</f>
        <v/>
      </c>
      <c r="S265" s="34" t="str">
        <f aca="false">IF($A265="","",IF($T265="Void",0,$P265-$Q265-$R265))</f>
        <v/>
      </c>
      <c r="T265" s="26"/>
      <c r="U265" s="35" t="str">
        <f aca="false">IF($A265="","",IF($T265="Void","Void",IF(OR($T265="",$T265="Draft"),"Draft",IF($T265="Disputed","Disputed",IF($S265&lt;-0.005,"Overpaid",IF($S265&lt;=0.005,"Paid",IF($R265+$Q265&gt;0.005,IF($V265&gt;0,"Part-paid, overdue","Part-paid"),IF($V265&gt;0,"Overdue","Outstanding"))))))))</f>
        <v/>
      </c>
      <c r="V265" s="36" t="str">
        <f aca="true">IF($A265="","",IF(AND(OR($T265="Issued",$T265="Disputed"),$S265&gt;0.005,$K265&lt;&gt;"",$K265&lt;TODAY()),TODAY()-$K265,0))</f>
        <v/>
      </c>
      <c r="W265" s="35" t="str">
        <f aca="false">IF($A265="","",IF(AND(OR($T265="Issued",$T265="Disputed"),$S265&gt;0.005),IF($V265&lt;=0,"Not yet due",IF($V265&lt;=30,"1 to 30 days",IF($V265&lt;=60,"31 to 60 days",IF($V265&lt;=90,"61 to 90 days","Over 90 days")))),""))</f>
        <v/>
      </c>
      <c r="X265" s="26"/>
      <c r="Y265" s="29"/>
      <c r="Z265" s="28"/>
      <c r="AA265" s="28"/>
    </row>
    <row r="266" customFormat="false" ht="15" hidden="false" customHeight="false" outlineLevel="0" collapsed="false">
      <c r="A266" s="26"/>
      <c r="B266" s="26"/>
      <c r="C266" s="27" t="str">
        <f aca="false">IF($B266="","",IFERROR(INDEX(Clients!$B$6:$B$105,MATCH($B266,Clients!$A$6:$A$105,0)),"Client not found"))</f>
        <v/>
      </c>
      <c r="D266" s="26"/>
      <c r="E266" s="26"/>
      <c r="F266" s="26"/>
      <c r="G266" s="26"/>
      <c r="H266" s="28"/>
      <c r="I266" s="29"/>
      <c r="J266" s="30" t="str">
        <f aca="false">IF($A266="","",IFERROR(IF(N(INDEX(Clients!$E$6:$E$105,MATCH($B266,Clients!$A$6:$A$105,0)))&gt;0,INDEX(Clients!$E$6:$E$105,MATCH($B266,Clients!$A$6:$A$105,0)),Dashboard!$B$6),Dashboard!$B$6))</f>
        <v/>
      </c>
      <c r="K266" s="31" t="str">
        <f aca="false">IF(OR($A266="",$I266=""),"",$I266+$J266)</f>
        <v/>
      </c>
      <c r="L266" s="26"/>
      <c r="M266" s="32"/>
      <c r="N266" s="33"/>
      <c r="O266" s="34" t="str">
        <f aca="false">IF($A266="","",N($M266)*N($N266))</f>
        <v/>
      </c>
      <c r="P266" s="34" t="str">
        <f aca="false">IF($A266="","",N($M266)+$O266)</f>
        <v/>
      </c>
      <c r="Q266" s="34" t="str">
        <f aca="false">IF($A266="","",SUMIFS('Credit Notes'!$F$6:$F$205,'Credit Notes'!$B$6:$B$205,$A266,'Credit Notes'!$H$6:$H$205,"Issued"))</f>
        <v/>
      </c>
      <c r="R266" s="34" t="str">
        <f aca="false">IF($A266="","",SUMIFS(Payments!$I$6:$I$505,Payments!$C$6:$C$505,$A266))</f>
        <v/>
      </c>
      <c r="S266" s="34" t="str">
        <f aca="false">IF($A266="","",IF($T266="Void",0,$P266-$Q266-$R266))</f>
        <v/>
      </c>
      <c r="T266" s="26"/>
      <c r="U266" s="35" t="str">
        <f aca="false">IF($A266="","",IF($T266="Void","Void",IF(OR($T266="",$T266="Draft"),"Draft",IF($T266="Disputed","Disputed",IF($S266&lt;-0.005,"Overpaid",IF($S266&lt;=0.005,"Paid",IF($R266+$Q266&gt;0.005,IF($V266&gt;0,"Part-paid, overdue","Part-paid"),IF($V266&gt;0,"Overdue","Outstanding"))))))))</f>
        <v/>
      </c>
      <c r="V266" s="36" t="str">
        <f aca="true">IF($A266="","",IF(AND(OR($T266="Issued",$T266="Disputed"),$S266&gt;0.005,$K266&lt;&gt;"",$K266&lt;TODAY()),TODAY()-$K266,0))</f>
        <v/>
      </c>
      <c r="W266" s="35" t="str">
        <f aca="false">IF($A266="","",IF(AND(OR($T266="Issued",$T266="Disputed"),$S266&gt;0.005),IF($V266&lt;=0,"Not yet due",IF($V266&lt;=30,"1 to 30 days",IF($V266&lt;=60,"31 to 60 days",IF($V266&lt;=90,"61 to 90 days","Over 90 days")))),""))</f>
        <v/>
      </c>
      <c r="X266" s="26"/>
      <c r="Y266" s="29"/>
      <c r="Z266" s="28"/>
      <c r="AA266" s="28"/>
    </row>
    <row r="267" customFormat="false" ht="15" hidden="false" customHeight="false" outlineLevel="0" collapsed="false">
      <c r="A267" s="26"/>
      <c r="B267" s="26"/>
      <c r="C267" s="27" t="str">
        <f aca="false">IF($B267="","",IFERROR(INDEX(Clients!$B$6:$B$105,MATCH($B267,Clients!$A$6:$A$105,0)),"Client not found"))</f>
        <v/>
      </c>
      <c r="D267" s="26"/>
      <c r="E267" s="26"/>
      <c r="F267" s="26"/>
      <c r="G267" s="26"/>
      <c r="H267" s="28"/>
      <c r="I267" s="29"/>
      <c r="J267" s="30" t="str">
        <f aca="false">IF($A267="","",IFERROR(IF(N(INDEX(Clients!$E$6:$E$105,MATCH($B267,Clients!$A$6:$A$105,0)))&gt;0,INDEX(Clients!$E$6:$E$105,MATCH($B267,Clients!$A$6:$A$105,0)),Dashboard!$B$6),Dashboard!$B$6))</f>
        <v/>
      </c>
      <c r="K267" s="31" t="str">
        <f aca="false">IF(OR($A267="",$I267=""),"",$I267+$J267)</f>
        <v/>
      </c>
      <c r="L267" s="26"/>
      <c r="M267" s="32"/>
      <c r="N267" s="33"/>
      <c r="O267" s="34" t="str">
        <f aca="false">IF($A267="","",N($M267)*N($N267))</f>
        <v/>
      </c>
      <c r="P267" s="34" t="str">
        <f aca="false">IF($A267="","",N($M267)+$O267)</f>
        <v/>
      </c>
      <c r="Q267" s="34" t="str">
        <f aca="false">IF($A267="","",SUMIFS('Credit Notes'!$F$6:$F$205,'Credit Notes'!$B$6:$B$205,$A267,'Credit Notes'!$H$6:$H$205,"Issued"))</f>
        <v/>
      </c>
      <c r="R267" s="34" t="str">
        <f aca="false">IF($A267="","",SUMIFS(Payments!$I$6:$I$505,Payments!$C$6:$C$505,$A267))</f>
        <v/>
      </c>
      <c r="S267" s="34" t="str">
        <f aca="false">IF($A267="","",IF($T267="Void",0,$P267-$Q267-$R267))</f>
        <v/>
      </c>
      <c r="T267" s="26"/>
      <c r="U267" s="35" t="str">
        <f aca="false">IF($A267="","",IF($T267="Void","Void",IF(OR($T267="",$T267="Draft"),"Draft",IF($T267="Disputed","Disputed",IF($S267&lt;-0.005,"Overpaid",IF($S267&lt;=0.005,"Paid",IF($R267+$Q267&gt;0.005,IF($V267&gt;0,"Part-paid, overdue","Part-paid"),IF($V267&gt;0,"Overdue","Outstanding"))))))))</f>
        <v/>
      </c>
      <c r="V267" s="36" t="str">
        <f aca="true">IF($A267="","",IF(AND(OR($T267="Issued",$T267="Disputed"),$S267&gt;0.005,$K267&lt;&gt;"",$K267&lt;TODAY()),TODAY()-$K267,0))</f>
        <v/>
      </c>
      <c r="W267" s="35" t="str">
        <f aca="false">IF($A267="","",IF(AND(OR($T267="Issued",$T267="Disputed"),$S267&gt;0.005),IF($V267&lt;=0,"Not yet due",IF($V267&lt;=30,"1 to 30 days",IF($V267&lt;=60,"31 to 60 days",IF($V267&lt;=90,"61 to 90 days","Over 90 days")))),""))</f>
        <v/>
      </c>
      <c r="X267" s="26"/>
      <c r="Y267" s="29"/>
      <c r="Z267" s="28"/>
      <c r="AA267" s="28"/>
    </row>
    <row r="268" customFormat="false" ht="15" hidden="false" customHeight="false" outlineLevel="0" collapsed="false">
      <c r="A268" s="26"/>
      <c r="B268" s="26"/>
      <c r="C268" s="27" t="str">
        <f aca="false">IF($B268="","",IFERROR(INDEX(Clients!$B$6:$B$105,MATCH($B268,Clients!$A$6:$A$105,0)),"Client not found"))</f>
        <v/>
      </c>
      <c r="D268" s="26"/>
      <c r="E268" s="26"/>
      <c r="F268" s="26"/>
      <c r="G268" s="26"/>
      <c r="H268" s="28"/>
      <c r="I268" s="29"/>
      <c r="J268" s="30" t="str">
        <f aca="false">IF($A268="","",IFERROR(IF(N(INDEX(Clients!$E$6:$E$105,MATCH($B268,Clients!$A$6:$A$105,0)))&gt;0,INDEX(Clients!$E$6:$E$105,MATCH($B268,Clients!$A$6:$A$105,0)),Dashboard!$B$6),Dashboard!$B$6))</f>
        <v/>
      </c>
      <c r="K268" s="31" t="str">
        <f aca="false">IF(OR($A268="",$I268=""),"",$I268+$J268)</f>
        <v/>
      </c>
      <c r="L268" s="26"/>
      <c r="M268" s="32"/>
      <c r="N268" s="33"/>
      <c r="O268" s="34" t="str">
        <f aca="false">IF($A268="","",N($M268)*N($N268))</f>
        <v/>
      </c>
      <c r="P268" s="34" t="str">
        <f aca="false">IF($A268="","",N($M268)+$O268)</f>
        <v/>
      </c>
      <c r="Q268" s="34" t="str">
        <f aca="false">IF($A268="","",SUMIFS('Credit Notes'!$F$6:$F$205,'Credit Notes'!$B$6:$B$205,$A268,'Credit Notes'!$H$6:$H$205,"Issued"))</f>
        <v/>
      </c>
      <c r="R268" s="34" t="str">
        <f aca="false">IF($A268="","",SUMIFS(Payments!$I$6:$I$505,Payments!$C$6:$C$505,$A268))</f>
        <v/>
      </c>
      <c r="S268" s="34" t="str">
        <f aca="false">IF($A268="","",IF($T268="Void",0,$P268-$Q268-$R268))</f>
        <v/>
      </c>
      <c r="T268" s="26"/>
      <c r="U268" s="35" t="str">
        <f aca="false">IF($A268="","",IF($T268="Void","Void",IF(OR($T268="",$T268="Draft"),"Draft",IF($T268="Disputed","Disputed",IF($S268&lt;-0.005,"Overpaid",IF($S268&lt;=0.005,"Paid",IF($R268+$Q268&gt;0.005,IF($V268&gt;0,"Part-paid, overdue","Part-paid"),IF($V268&gt;0,"Overdue","Outstanding"))))))))</f>
        <v/>
      </c>
      <c r="V268" s="36" t="str">
        <f aca="true">IF($A268="","",IF(AND(OR($T268="Issued",$T268="Disputed"),$S268&gt;0.005,$K268&lt;&gt;"",$K268&lt;TODAY()),TODAY()-$K268,0))</f>
        <v/>
      </c>
      <c r="W268" s="35" t="str">
        <f aca="false">IF($A268="","",IF(AND(OR($T268="Issued",$T268="Disputed"),$S268&gt;0.005),IF($V268&lt;=0,"Not yet due",IF($V268&lt;=30,"1 to 30 days",IF($V268&lt;=60,"31 to 60 days",IF($V268&lt;=90,"61 to 90 days","Over 90 days")))),""))</f>
        <v/>
      </c>
      <c r="X268" s="26"/>
      <c r="Y268" s="29"/>
      <c r="Z268" s="28"/>
      <c r="AA268" s="28"/>
    </row>
    <row r="269" customFormat="false" ht="15" hidden="false" customHeight="false" outlineLevel="0" collapsed="false">
      <c r="A269" s="26"/>
      <c r="B269" s="26"/>
      <c r="C269" s="27" t="str">
        <f aca="false">IF($B269="","",IFERROR(INDEX(Clients!$B$6:$B$105,MATCH($B269,Clients!$A$6:$A$105,0)),"Client not found"))</f>
        <v/>
      </c>
      <c r="D269" s="26"/>
      <c r="E269" s="26"/>
      <c r="F269" s="26"/>
      <c r="G269" s="26"/>
      <c r="H269" s="28"/>
      <c r="I269" s="29"/>
      <c r="J269" s="30" t="str">
        <f aca="false">IF($A269="","",IFERROR(IF(N(INDEX(Clients!$E$6:$E$105,MATCH($B269,Clients!$A$6:$A$105,0)))&gt;0,INDEX(Clients!$E$6:$E$105,MATCH($B269,Clients!$A$6:$A$105,0)),Dashboard!$B$6),Dashboard!$B$6))</f>
        <v/>
      </c>
      <c r="K269" s="31" t="str">
        <f aca="false">IF(OR($A269="",$I269=""),"",$I269+$J269)</f>
        <v/>
      </c>
      <c r="L269" s="26"/>
      <c r="M269" s="32"/>
      <c r="N269" s="33"/>
      <c r="O269" s="34" t="str">
        <f aca="false">IF($A269="","",N($M269)*N($N269))</f>
        <v/>
      </c>
      <c r="P269" s="34" t="str">
        <f aca="false">IF($A269="","",N($M269)+$O269)</f>
        <v/>
      </c>
      <c r="Q269" s="34" t="str">
        <f aca="false">IF($A269="","",SUMIFS('Credit Notes'!$F$6:$F$205,'Credit Notes'!$B$6:$B$205,$A269,'Credit Notes'!$H$6:$H$205,"Issued"))</f>
        <v/>
      </c>
      <c r="R269" s="34" t="str">
        <f aca="false">IF($A269="","",SUMIFS(Payments!$I$6:$I$505,Payments!$C$6:$C$505,$A269))</f>
        <v/>
      </c>
      <c r="S269" s="34" t="str">
        <f aca="false">IF($A269="","",IF($T269="Void",0,$P269-$Q269-$R269))</f>
        <v/>
      </c>
      <c r="T269" s="26"/>
      <c r="U269" s="35" t="str">
        <f aca="false">IF($A269="","",IF($T269="Void","Void",IF(OR($T269="",$T269="Draft"),"Draft",IF($T269="Disputed","Disputed",IF($S269&lt;-0.005,"Overpaid",IF($S269&lt;=0.005,"Paid",IF($R269+$Q269&gt;0.005,IF($V269&gt;0,"Part-paid, overdue","Part-paid"),IF($V269&gt;0,"Overdue","Outstanding"))))))))</f>
        <v/>
      </c>
      <c r="V269" s="36" t="str">
        <f aca="true">IF($A269="","",IF(AND(OR($T269="Issued",$T269="Disputed"),$S269&gt;0.005,$K269&lt;&gt;"",$K269&lt;TODAY()),TODAY()-$K269,0))</f>
        <v/>
      </c>
      <c r="W269" s="35" t="str">
        <f aca="false">IF($A269="","",IF(AND(OR($T269="Issued",$T269="Disputed"),$S269&gt;0.005),IF($V269&lt;=0,"Not yet due",IF($V269&lt;=30,"1 to 30 days",IF($V269&lt;=60,"31 to 60 days",IF($V269&lt;=90,"61 to 90 days","Over 90 days")))),""))</f>
        <v/>
      </c>
      <c r="X269" s="26"/>
      <c r="Y269" s="29"/>
      <c r="Z269" s="28"/>
      <c r="AA269" s="28"/>
    </row>
    <row r="270" customFormat="false" ht="15" hidden="false" customHeight="false" outlineLevel="0" collapsed="false">
      <c r="A270" s="26"/>
      <c r="B270" s="26"/>
      <c r="C270" s="27" t="str">
        <f aca="false">IF($B270="","",IFERROR(INDEX(Clients!$B$6:$B$105,MATCH($B270,Clients!$A$6:$A$105,0)),"Client not found"))</f>
        <v/>
      </c>
      <c r="D270" s="26"/>
      <c r="E270" s="26"/>
      <c r="F270" s="26"/>
      <c r="G270" s="26"/>
      <c r="H270" s="28"/>
      <c r="I270" s="29"/>
      <c r="J270" s="30" t="str">
        <f aca="false">IF($A270="","",IFERROR(IF(N(INDEX(Clients!$E$6:$E$105,MATCH($B270,Clients!$A$6:$A$105,0)))&gt;0,INDEX(Clients!$E$6:$E$105,MATCH($B270,Clients!$A$6:$A$105,0)),Dashboard!$B$6),Dashboard!$B$6))</f>
        <v/>
      </c>
      <c r="K270" s="31" t="str">
        <f aca="false">IF(OR($A270="",$I270=""),"",$I270+$J270)</f>
        <v/>
      </c>
      <c r="L270" s="26"/>
      <c r="M270" s="32"/>
      <c r="N270" s="33"/>
      <c r="O270" s="34" t="str">
        <f aca="false">IF($A270="","",N($M270)*N($N270))</f>
        <v/>
      </c>
      <c r="P270" s="34" t="str">
        <f aca="false">IF($A270="","",N($M270)+$O270)</f>
        <v/>
      </c>
      <c r="Q270" s="34" t="str">
        <f aca="false">IF($A270="","",SUMIFS('Credit Notes'!$F$6:$F$205,'Credit Notes'!$B$6:$B$205,$A270,'Credit Notes'!$H$6:$H$205,"Issued"))</f>
        <v/>
      </c>
      <c r="R270" s="34" t="str">
        <f aca="false">IF($A270="","",SUMIFS(Payments!$I$6:$I$505,Payments!$C$6:$C$505,$A270))</f>
        <v/>
      </c>
      <c r="S270" s="34" t="str">
        <f aca="false">IF($A270="","",IF($T270="Void",0,$P270-$Q270-$R270))</f>
        <v/>
      </c>
      <c r="T270" s="26"/>
      <c r="U270" s="35" t="str">
        <f aca="false">IF($A270="","",IF($T270="Void","Void",IF(OR($T270="",$T270="Draft"),"Draft",IF($T270="Disputed","Disputed",IF($S270&lt;-0.005,"Overpaid",IF($S270&lt;=0.005,"Paid",IF($R270+$Q270&gt;0.005,IF($V270&gt;0,"Part-paid, overdue","Part-paid"),IF($V270&gt;0,"Overdue","Outstanding"))))))))</f>
        <v/>
      </c>
      <c r="V270" s="36" t="str">
        <f aca="true">IF($A270="","",IF(AND(OR($T270="Issued",$T270="Disputed"),$S270&gt;0.005,$K270&lt;&gt;"",$K270&lt;TODAY()),TODAY()-$K270,0))</f>
        <v/>
      </c>
      <c r="W270" s="35" t="str">
        <f aca="false">IF($A270="","",IF(AND(OR($T270="Issued",$T270="Disputed"),$S270&gt;0.005),IF($V270&lt;=0,"Not yet due",IF($V270&lt;=30,"1 to 30 days",IF($V270&lt;=60,"31 to 60 days",IF($V270&lt;=90,"61 to 90 days","Over 90 days")))),""))</f>
        <v/>
      </c>
      <c r="X270" s="26"/>
      <c r="Y270" s="29"/>
      <c r="Z270" s="28"/>
      <c r="AA270" s="28"/>
    </row>
    <row r="271" customFormat="false" ht="15" hidden="false" customHeight="false" outlineLevel="0" collapsed="false">
      <c r="A271" s="26"/>
      <c r="B271" s="26"/>
      <c r="C271" s="27" t="str">
        <f aca="false">IF($B271="","",IFERROR(INDEX(Clients!$B$6:$B$105,MATCH($B271,Clients!$A$6:$A$105,0)),"Client not found"))</f>
        <v/>
      </c>
      <c r="D271" s="26"/>
      <c r="E271" s="26"/>
      <c r="F271" s="26"/>
      <c r="G271" s="26"/>
      <c r="H271" s="28"/>
      <c r="I271" s="29"/>
      <c r="J271" s="30" t="str">
        <f aca="false">IF($A271="","",IFERROR(IF(N(INDEX(Clients!$E$6:$E$105,MATCH($B271,Clients!$A$6:$A$105,0)))&gt;0,INDEX(Clients!$E$6:$E$105,MATCH($B271,Clients!$A$6:$A$105,0)),Dashboard!$B$6),Dashboard!$B$6))</f>
        <v/>
      </c>
      <c r="K271" s="31" t="str">
        <f aca="false">IF(OR($A271="",$I271=""),"",$I271+$J271)</f>
        <v/>
      </c>
      <c r="L271" s="26"/>
      <c r="M271" s="32"/>
      <c r="N271" s="33"/>
      <c r="O271" s="34" t="str">
        <f aca="false">IF($A271="","",N($M271)*N($N271))</f>
        <v/>
      </c>
      <c r="P271" s="34" t="str">
        <f aca="false">IF($A271="","",N($M271)+$O271)</f>
        <v/>
      </c>
      <c r="Q271" s="34" t="str">
        <f aca="false">IF($A271="","",SUMIFS('Credit Notes'!$F$6:$F$205,'Credit Notes'!$B$6:$B$205,$A271,'Credit Notes'!$H$6:$H$205,"Issued"))</f>
        <v/>
      </c>
      <c r="R271" s="34" t="str">
        <f aca="false">IF($A271="","",SUMIFS(Payments!$I$6:$I$505,Payments!$C$6:$C$505,$A271))</f>
        <v/>
      </c>
      <c r="S271" s="34" t="str">
        <f aca="false">IF($A271="","",IF($T271="Void",0,$P271-$Q271-$R271))</f>
        <v/>
      </c>
      <c r="T271" s="26"/>
      <c r="U271" s="35" t="str">
        <f aca="false">IF($A271="","",IF($T271="Void","Void",IF(OR($T271="",$T271="Draft"),"Draft",IF($T271="Disputed","Disputed",IF($S271&lt;-0.005,"Overpaid",IF($S271&lt;=0.005,"Paid",IF($R271+$Q271&gt;0.005,IF($V271&gt;0,"Part-paid, overdue","Part-paid"),IF($V271&gt;0,"Overdue","Outstanding"))))))))</f>
        <v/>
      </c>
      <c r="V271" s="36" t="str">
        <f aca="true">IF($A271="","",IF(AND(OR($T271="Issued",$T271="Disputed"),$S271&gt;0.005,$K271&lt;&gt;"",$K271&lt;TODAY()),TODAY()-$K271,0))</f>
        <v/>
      </c>
      <c r="W271" s="35" t="str">
        <f aca="false">IF($A271="","",IF(AND(OR($T271="Issued",$T271="Disputed"),$S271&gt;0.005),IF($V271&lt;=0,"Not yet due",IF($V271&lt;=30,"1 to 30 days",IF($V271&lt;=60,"31 to 60 days",IF($V271&lt;=90,"61 to 90 days","Over 90 days")))),""))</f>
        <v/>
      </c>
      <c r="X271" s="26"/>
      <c r="Y271" s="29"/>
      <c r="Z271" s="28"/>
      <c r="AA271" s="28"/>
    </row>
    <row r="272" customFormat="false" ht="15" hidden="false" customHeight="false" outlineLevel="0" collapsed="false">
      <c r="A272" s="26"/>
      <c r="B272" s="26"/>
      <c r="C272" s="27" t="str">
        <f aca="false">IF($B272="","",IFERROR(INDEX(Clients!$B$6:$B$105,MATCH($B272,Clients!$A$6:$A$105,0)),"Client not found"))</f>
        <v/>
      </c>
      <c r="D272" s="26"/>
      <c r="E272" s="26"/>
      <c r="F272" s="26"/>
      <c r="G272" s="26"/>
      <c r="H272" s="28"/>
      <c r="I272" s="29"/>
      <c r="J272" s="30" t="str">
        <f aca="false">IF($A272="","",IFERROR(IF(N(INDEX(Clients!$E$6:$E$105,MATCH($B272,Clients!$A$6:$A$105,0)))&gt;0,INDEX(Clients!$E$6:$E$105,MATCH($B272,Clients!$A$6:$A$105,0)),Dashboard!$B$6),Dashboard!$B$6))</f>
        <v/>
      </c>
      <c r="K272" s="31" t="str">
        <f aca="false">IF(OR($A272="",$I272=""),"",$I272+$J272)</f>
        <v/>
      </c>
      <c r="L272" s="26"/>
      <c r="M272" s="32"/>
      <c r="N272" s="33"/>
      <c r="O272" s="34" t="str">
        <f aca="false">IF($A272="","",N($M272)*N($N272))</f>
        <v/>
      </c>
      <c r="P272" s="34" t="str">
        <f aca="false">IF($A272="","",N($M272)+$O272)</f>
        <v/>
      </c>
      <c r="Q272" s="34" t="str">
        <f aca="false">IF($A272="","",SUMIFS('Credit Notes'!$F$6:$F$205,'Credit Notes'!$B$6:$B$205,$A272,'Credit Notes'!$H$6:$H$205,"Issued"))</f>
        <v/>
      </c>
      <c r="R272" s="34" t="str">
        <f aca="false">IF($A272="","",SUMIFS(Payments!$I$6:$I$505,Payments!$C$6:$C$505,$A272))</f>
        <v/>
      </c>
      <c r="S272" s="34" t="str">
        <f aca="false">IF($A272="","",IF($T272="Void",0,$P272-$Q272-$R272))</f>
        <v/>
      </c>
      <c r="T272" s="26"/>
      <c r="U272" s="35" t="str">
        <f aca="false">IF($A272="","",IF($T272="Void","Void",IF(OR($T272="",$T272="Draft"),"Draft",IF($T272="Disputed","Disputed",IF($S272&lt;-0.005,"Overpaid",IF($S272&lt;=0.005,"Paid",IF($R272+$Q272&gt;0.005,IF($V272&gt;0,"Part-paid, overdue","Part-paid"),IF($V272&gt;0,"Overdue","Outstanding"))))))))</f>
        <v/>
      </c>
      <c r="V272" s="36" t="str">
        <f aca="true">IF($A272="","",IF(AND(OR($T272="Issued",$T272="Disputed"),$S272&gt;0.005,$K272&lt;&gt;"",$K272&lt;TODAY()),TODAY()-$K272,0))</f>
        <v/>
      </c>
      <c r="W272" s="35" t="str">
        <f aca="false">IF($A272="","",IF(AND(OR($T272="Issued",$T272="Disputed"),$S272&gt;0.005),IF($V272&lt;=0,"Not yet due",IF($V272&lt;=30,"1 to 30 days",IF($V272&lt;=60,"31 to 60 days",IF($V272&lt;=90,"61 to 90 days","Over 90 days")))),""))</f>
        <v/>
      </c>
      <c r="X272" s="26"/>
      <c r="Y272" s="29"/>
      <c r="Z272" s="28"/>
      <c r="AA272" s="28"/>
    </row>
    <row r="273" customFormat="false" ht="15" hidden="false" customHeight="false" outlineLevel="0" collapsed="false">
      <c r="A273" s="26"/>
      <c r="B273" s="26"/>
      <c r="C273" s="27" t="str">
        <f aca="false">IF($B273="","",IFERROR(INDEX(Clients!$B$6:$B$105,MATCH($B273,Clients!$A$6:$A$105,0)),"Client not found"))</f>
        <v/>
      </c>
      <c r="D273" s="26"/>
      <c r="E273" s="26"/>
      <c r="F273" s="26"/>
      <c r="G273" s="26"/>
      <c r="H273" s="28"/>
      <c r="I273" s="29"/>
      <c r="J273" s="30" t="str">
        <f aca="false">IF($A273="","",IFERROR(IF(N(INDEX(Clients!$E$6:$E$105,MATCH($B273,Clients!$A$6:$A$105,0)))&gt;0,INDEX(Clients!$E$6:$E$105,MATCH($B273,Clients!$A$6:$A$105,0)),Dashboard!$B$6),Dashboard!$B$6))</f>
        <v/>
      </c>
      <c r="K273" s="31" t="str">
        <f aca="false">IF(OR($A273="",$I273=""),"",$I273+$J273)</f>
        <v/>
      </c>
      <c r="L273" s="26"/>
      <c r="M273" s="32"/>
      <c r="N273" s="33"/>
      <c r="O273" s="34" t="str">
        <f aca="false">IF($A273="","",N($M273)*N($N273))</f>
        <v/>
      </c>
      <c r="P273" s="34" t="str">
        <f aca="false">IF($A273="","",N($M273)+$O273)</f>
        <v/>
      </c>
      <c r="Q273" s="34" t="str">
        <f aca="false">IF($A273="","",SUMIFS('Credit Notes'!$F$6:$F$205,'Credit Notes'!$B$6:$B$205,$A273,'Credit Notes'!$H$6:$H$205,"Issued"))</f>
        <v/>
      </c>
      <c r="R273" s="34" t="str">
        <f aca="false">IF($A273="","",SUMIFS(Payments!$I$6:$I$505,Payments!$C$6:$C$505,$A273))</f>
        <v/>
      </c>
      <c r="S273" s="34" t="str">
        <f aca="false">IF($A273="","",IF($T273="Void",0,$P273-$Q273-$R273))</f>
        <v/>
      </c>
      <c r="T273" s="26"/>
      <c r="U273" s="35" t="str">
        <f aca="false">IF($A273="","",IF($T273="Void","Void",IF(OR($T273="",$T273="Draft"),"Draft",IF($T273="Disputed","Disputed",IF($S273&lt;-0.005,"Overpaid",IF($S273&lt;=0.005,"Paid",IF($R273+$Q273&gt;0.005,IF($V273&gt;0,"Part-paid, overdue","Part-paid"),IF($V273&gt;0,"Overdue","Outstanding"))))))))</f>
        <v/>
      </c>
      <c r="V273" s="36" t="str">
        <f aca="true">IF($A273="","",IF(AND(OR($T273="Issued",$T273="Disputed"),$S273&gt;0.005,$K273&lt;&gt;"",$K273&lt;TODAY()),TODAY()-$K273,0))</f>
        <v/>
      </c>
      <c r="W273" s="35" t="str">
        <f aca="false">IF($A273="","",IF(AND(OR($T273="Issued",$T273="Disputed"),$S273&gt;0.005),IF($V273&lt;=0,"Not yet due",IF($V273&lt;=30,"1 to 30 days",IF($V273&lt;=60,"31 to 60 days",IF($V273&lt;=90,"61 to 90 days","Over 90 days")))),""))</f>
        <v/>
      </c>
      <c r="X273" s="26"/>
      <c r="Y273" s="29"/>
      <c r="Z273" s="28"/>
      <c r="AA273" s="28"/>
    </row>
    <row r="274" customFormat="false" ht="15" hidden="false" customHeight="false" outlineLevel="0" collapsed="false">
      <c r="A274" s="26"/>
      <c r="B274" s="26"/>
      <c r="C274" s="27" t="str">
        <f aca="false">IF($B274="","",IFERROR(INDEX(Clients!$B$6:$B$105,MATCH($B274,Clients!$A$6:$A$105,0)),"Client not found"))</f>
        <v/>
      </c>
      <c r="D274" s="26"/>
      <c r="E274" s="26"/>
      <c r="F274" s="26"/>
      <c r="G274" s="26"/>
      <c r="H274" s="28"/>
      <c r="I274" s="29"/>
      <c r="J274" s="30" t="str">
        <f aca="false">IF($A274="","",IFERROR(IF(N(INDEX(Clients!$E$6:$E$105,MATCH($B274,Clients!$A$6:$A$105,0)))&gt;0,INDEX(Clients!$E$6:$E$105,MATCH($B274,Clients!$A$6:$A$105,0)),Dashboard!$B$6),Dashboard!$B$6))</f>
        <v/>
      </c>
      <c r="K274" s="31" t="str">
        <f aca="false">IF(OR($A274="",$I274=""),"",$I274+$J274)</f>
        <v/>
      </c>
      <c r="L274" s="26"/>
      <c r="M274" s="32"/>
      <c r="N274" s="33"/>
      <c r="O274" s="34" t="str">
        <f aca="false">IF($A274="","",N($M274)*N($N274))</f>
        <v/>
      </c>
      <c r="P274" s="34" t="str">
        <f aca="false">IF($A274="","",N($M274)+$O274)</f>
        <v/>
      </c>
      <c r="Q274" s="34" t="str">
        <f aca="false">IF($A274="","",SUMIFS('Credit Notes'!$F$6:$F$205,'Credit Notes'!$B$6:$B$205,$A274,'Credit Notes'!$H$6:$H$205,"Issued"))</f>
        <v/>
      </c>
      <c r="R274" s="34" t="str">
        <f aca="false">IF($A274="","",SUMIFS(Payments!$I$6:$I$505,Payments!$C$6:$C$505,$A274))</f>
        <v/>
      </c>
      <c r="S274" s="34" t="str">
        <f aca="false">IF($A274="","",IF($T274="Void",0,$P274-$Q274-$R274))</f>
        <v/>
      </c>
      <c r="T274" s="26"/>
      <c r="U274" s="35" t="str">
        <f aca="false">IF($A274="","",IF($T274="Void","Void",IF(OR($T274="",$T274="Draft"),"Draft",IF($T274="Disputed","Disputed",IF($S274&lt;-0.005,"Overpaid",IF($S274&lt;=0.005,"Paid",IF($R274+$Q274&gt;0.005,IF($V274&gt;0,"Part-paid, overdue","Part-paid"),IF($V274&gt;0,"Overdue","Outstanding"))))))))</f>
        <v/>
      </c>
      <c r="V274" s="36" t="str">
        <f aca="true">IF($A274="","",IF(AND(OR($T274="Issued",$T274="Disputed"),$S274&gt;0.005,$K274&lt;&gt;"",$K274&lt;TODAY()),TODAY()-$K274,0))</f>
        <v/>
      </c>
      <c r="W274" s="35" t="str">
        <f aca="false">IF($A274="","",IF(AND(OR($T274="Issued",$T274="Disputed"),$S274&gt;0.005),IF($V274&lt;=0,"Not yet due",IF($V274&lt;=30,"1 to 30 days",IF($V274&lt;=60,"31 to 60 days",IF($V274&lt;=90,"61 to 90 days","Over 90 days")))),""))</f>
        <v/>
      </c>
      <c r="X274" s="26"/>
      <c r="Y274" s="29"/>
      <c r="Z274" s="28"/>
      <c r="AA274" s="28"/>
    </row>
    <row r="275" customFormat="false" ht="15" hidden="false" customHeight="false" outlineLevel="0" collapsed="false">
      <c r="A275" s="26"/>
      <c r="B275" s="26"/>
      <c r="C275" s="27" t="str">
        <f aca="false">IF($B275="","",IFERROR(INDEX(Clients!$B$6:$B$105,MATCH($B275,Clients!$A$6:$A$105,0)),"Client not found"))</f>
        <v/>
      </c>
      <c r="D275" s="26"/>
      <c r="E275" s="26"/>
      <c r="F275" s="26"/>
      <c r="G275" s="26"/>
      <c r="H275" s="28"/>
      <c r="I275" s="29"/>
      <c r="J275" s="30" t="str">
        <f aca="false">IF($A275="","",IFERROR(IF(N(INDEX(Clients!$E$6:$E$105,MATCH($B275,Clients!$A$6:$A$105,0)))&gt;0,INDEX(Clients!$E$6:$E$105,MATCH($B275,Clients!$A$6:$A$105,0)),Dashboard!$B$6),Dashboard!$B$6))</f>
        <v/>
      </c>
      <c r="K275" s="31" t="str">
        <f aca="false">IF(OR($A275="",$I275=""),"",$I275+$J275)</f>
        <v/>
      </c>
      <c r="L275" s="26"/>
      <c r="M275" s="32"/>
      <c r="N275" s="33"/>
      <c r="O275" s="34" t="str">
        <f aca="false">IF($A275="","",N($M275)*N($N275))</f>
        <v/>
      </c>
      <c r="P275" s="34" t="str">
        <f aca="false">IF($A275="","",N($M275)+$O275)</f>
        <v/>
      </c>
      <c r="Q275" s="34" t="str">
        <f aca="false">IF($A275="","",SUMIFS('Credit Notes'!$F$6:$F$205,'Credit Notes'!$B$6:$B$205,$A275,'Credit Notes'!$H$6:$H$205,"Issued"))</f>
        <v/>
      </c>
      <c r="R275" s="34" t="str">
        <f aca="false">IF($A275="","",SUMIFS(Payments!$I$6:$I$505,Payments!$C$6:$C$505,$A275))</f>
        <v/>
      </c>
      <c r="S275" s="34" t="str">
        <f aca="false">IF($A275="","",IF($T275="Void",0,$P275-$Q275-$R275))</f>
        <v/>
      </c>
      <c r="T275" s="26"/>
      <c r="U275" s="35" t="str">
        <f aca="false">IF($A275="","",IF($T275="Void","Void",IF(OR($T275="",$T275="Draft"),"Draft",IF($T275="Disputed","Disputed",IF($S275&lt;-0.005,"Overpaid",IF($S275&lt;=0.005,"Paid",IF($R275+$Q275&gt;0.005,IF($V275&gt;0,"Part-paid, overdue","Part-paid"),IF($V275&gt;0,"Overdue","Outstanding"))))))))</f>
        <v/>
      </c>
      <c r="V275" s="36" t="str">
        <f aca="true">IF($A275="","",IF(AND(OR($T275="Issued",$T275="Disputed"),$S275&gt;0.005,$K275&lt;&gt;"",$K275&lt;TODAY()),TODAY()-$K275,0))</f>
        <v/>
      </c>
      <c r="W275" s="35" t="str">
        <f aca="false">IF($A275="","",IF(AND(OR($T275="Issued",$T275="Disputed"),$S275&gt;0.005),IF($V275&lt;=0,"Not yet due",IF($V275&lt;=30,"1 to 30 days",IF($V275&lt;=60,"31 to 60 days",IF($V275&lt;=90,"61 to 90 days","Over 90 days")))),""))</f>
        <v/>
      </c>
      <c r="X275" s="26"/>
      <c r="Y275" s="29"/>
      <c r="Z275" s="28"/>
      <c r="AA275" s="28"/>
    </row>
    <row r="276" customFormat="false" ht="15" hidden="false" customHeight="false" outlineLevel="0" collapsed="false">
      <c r="A276" s="26"/>
      <c r="B276" s="26"/>
      <c r="C276" s="27" t="str">
        <f aca="false">IF($B276="","",IFERROR(INDEX(Clients!$B$6:$B$105,MATCH($B276,Clients!$A$6:$A$105,0)),"Client not found"))</f>
        <v/>
      </c>
      <c r="D276" s="26"/>
      <c r="E276" s="26"/>
      <c r="F276" s="26"/>
      <c r="G276" s="26"/>
      <c r="H276" s="28"/>
      <c r="I276" s="29"/>
      <c r="J276" s="30" t="str">
        <f aca="false">IF($A276="","",IFERROR(IF(N(INDEX(Clients!$E$6:$E$105,MATCH($B276,Clients!$A$6:$A$105,0)))&gt;0,INDEX(Clients!$E$6:$E$105,MATCH($B276,Clients!$A$6:$A$105,0)),Dashboard!$B$6),Dashboard!$B$6))</f>
        <v/>
      </c>
      <c r="K276" s="31" t="str">
        <f aca="false">IF(OR($A276="",$I276=""),"",$I276+$J276)</f>
        <v/>
      </c>
      <c r="L276" s="26"/>
      <c r="M276" s="32"/>
      <c r="N276" s="33"/>
      <c r="O276" s="34" t="str">
        <f aca="false">IF($A276="","",N($M276)*N($N276))</f>
        <v/>
      </c>
      <c r="P276" s="34" t="str">
        <f aca="false">IF($A276="","",N($M276)+$O276)</f>
        <v/>
      </c>
      <c r="Q276" s="34" t="str">
        <f aca="false">IF($A276="","",SUMIFS('Credit Notes'!$F$6:$F$205,'Credit Notes'!$B$6:$B$205,$A276,'Credit Notes'!$H$6:$H$205,"Issued"))</f>
        <v/>
      </c>
      <c r="R276" s="34" t="str">
        <f aca="false">IF($A276="","",SUMIFS(Payments!$I$6:$I$505,Payments!$C$6:$C$505,$A276))</f>
        <v/>
      </c>
      <c r="S276" s="34" t="str">
        <f aca="false">IF($A276="","",IF($T276="Void",0,$P276-$Q276-$R276))</f>
        <v/>
      </c>
      <c r="T276" s="26"/>
      <c r="U276" s="35" t="str">
        <f aca="false">IF($A276="","",IF($T276="Void","Void",IF(OR($T276="",$T276="Draft"),"Draft",IF($T276="Disputed","Disputed",IF($S276&lt;-0.005,"Overpaid",IF($S276&lt;=0.005,"Paid",IF($R276+$Q276&gt;0.005,IF($V276&gt;0,"Part-paid, overdue","Part-paid"),IF($V276&gt;0,"Overdue","Outstanding"))))))))</f>
        <v/>
      </c>
      <c r="V276" s="36" t="str">
        <f aca="true">IF($A276="","",IF(AND(OR($T276="Issued",$T276="Disputed"),$S276&gt;0.005,$K276&lt;&gt;"",$K276&lt;TODAY()),TODAY()-$K276,0))</f>
        <v/>
      </c>
      <c r="W276" s="35" t="str">
        <f aca="false">IF($A276="","",IF(AND(OR($T276="Issued",$T276="Disputed"),$S276&gt;0.005),IF($V276&lt;=0,"Not yet due",IF($V276&lt;=30,"1 to 30 days",IF($V276&lt;=60,"31 to 60 days",IF($V276&lt;=90,"61 to 90 days","Over 90 days")))),""))</f>
        <v/>
      </c>
      <c r="X276" s="26"/>
      <c r="Y276" s="29"/>
      <c r="Z276" s="28"/>
      <c r="AA276" s="28"/>
    </row>
    <row r="277" customFormat="false" ht="15" hidden="false" customHeight="false" outlineLevel="0" collapsed="false">
      <c r="A277" s="26"/>
      <c r="B277" s="26"/>
      <c r="C277" s="27" t="str">
        <f aca="false">IF($B277="","",IFERROR(INDEX(Clients!$B$6:$B$105,MATCH($B277,Clients!$A$6:$A$105,0)),"Client not found"))</f>
        <v/>
      </c>
      <c r="D277" s="26"/>
      <c r="E277" s="26"/>
      <c r="F277" s="26"/>
      <c r="G277" s="26"/>
      <c r="H277" s="28"/>
      <c r="I277" s="29"/>
      <c r="J277" s="30" t="str">
        <f aca="false">IF($A277="","",IFERROR(IF(N(INDEX(Clients!$E$6:$E$105,MATCH($B277,Clients!$A$6:$A$105,0)))&gt;0,INDEX(Clients!$E$6:$E$105,MATCH($B277,Clients!$A$6:$A$105,0)),Dashboard!$B$6),Dashboard!$B$6))</f>
        <v/>
      </c>
      <c r="K277" s="31" t="str">
        <f aca="false">IF(OR($A277="",$I277=""),"",$I277+$J277)</f>
        <v/>
      </c>
      <c r="L277" s="26"/>
      <c r="M277" s="32"/>
      <c r="N277" s="33"/>
      <c r="O277" s="34" t="str">
        <f aca="false">IF($A277="","",N($M277)*N($N277))</f>
        <v/>
      </c>
      <c r="P277" s="34" t="str">
        <f aca="false">IF($A277="","",N($M277)+$O277)</f>
        <v/>
      </c>
      <c r="Q277" s="34" t="str">
        <f aca="false">IF($A277="","",SUMIFS('Credit Notes'!$F$6:$F$205,'Credit Notes'!$B$6:$B$205,$A277,'Credit Notes'!$H$6:$H$205,"Issued"))</f>
        <v/>
      </c>
      <c r="R277" s="34" t="str">
        <f aca="false">IF($A277="","",SUMIFS(Payments!$I$6:$I$505,Payments!$C$6:$C$505,$A277))</f>
        <v/>
      </c>
      <c r="S277" s="34" t="str">
        <f aca="false">IF($A277="","",IF($T277="Void",0,$P277-$Q277-$R277))</f>
        <v/>
      </c>
      <c r="T277" s="26"/>
      <c r="U277" s="35" t="str">
        <f aca="false">IF($A277="","",IF($T277="Void","Void",IF(OR($T277="",$T277="Draft"),"Draft",IF($T277="Disputed","Disputed",IF($S277&lt;-0.005,"Overpaid",IF($S277&lt;=0.005,"Paid",IF($R277+$Q277&gt;0.005,IF($V277&gt;0,"Part-paid, overdue","Part-paid"),IF($V277&gt;0,"Overdue","Outstanding"))))))))</f>
        <v/>
      </c>
      <c r="V277" s="36" t="str">
        <f aca="true">IF($A277="","",IF(AND(OR($T277="Issued",$T277="Disputed"),$S277&gt;0.005,$K277&lt;&gt;"",$K277&lt;TODAY()),TODAY()-$K277,0))</f>
        <v/>
      </c>
      <c r="W277" s="35" t="str">
        <f aca="false">IF($A277="","",IF(AND(OR($T277="Issued",$T277="Disputed"),$S277&gt;0.005),IF($V277&lt;=0,"Not yet due",IF($V277&lt;=30,"1 to 30 days",IF($V277&lt;=60,"31 to 60 days",IF($V277&lt;=90,"61 to 90 days","Over 90 days")))),""))</f>
        <v/>
      </c>
      <c r="X277" s="26"/>
      <c r="Y277" s="29"/>
      <c r="Z277" s="28"/>
      <c r="AA277" s="28"/>
    </row>
    <row r="278" customFormat="false" ht="15" hidden="false" customHeight="false" outlineLevel="0" collapsed="false">
      <c r="A278" s="26"/>
      <c r="B278" s="26"/>
      <c r="C278" s="27" t="str">
        <f aca="false">IF($B278="","",IFERROR(INDEX(Clients!$B$6:$B$105,MATCH($B278,Clients!$A$6:$A$105,0)),"Client not found"))</f>
        <v/>
      </c>
      <c r="D278" s="26"/>
      <c r="E278" s="26"/>
      <c r="F278" s="26"/>
      <c r="G278" s="26"/>
      <c r="H278" s="28"/>
      <c r="I278" s="29"/>
      <c r="J278" s="30" t="str">
        <f aca="false">IF($A278="","",IFERROR(IF(N(INDEX(Clients!$E$6:$E$105,MATCH($B278,Clients!$A$6:$A$105,0)))&gt;0,INDEX(Clients!$E$6:$E$105,MATCH($B278,Clients!$A$6:$A$105,0)),Dashboard!$B$6),Dashboard!$B$6))</f>
        <v/>
      </c>
      <c r="K278" s="31" t="str">
        <f aca="false">IF(OR($A278="",$I278=""),"",$I278+$J278)</f>
        <v/>
      </c>
      <c r="L278" s="26"/>
      <c r="M278" s="32"/>
      <c r="N278" s="33"/>
      <c r="O278" s="34" t="str">
        <f aca="false">IF($A278="","",N($M278)*N($N278))</f>
        <v/>
      </c>
      <c r="P278" s="34" t="str">
        <f aca="false">IF($A278="","",N($M278)+$O278)</f>
        <v/>
      </c>
      <c r="Q278" s="34" t="str">
        <f aca="false">IF($A278="","",SUMIFS('Credit Notes'!$F$6:$F$205,'Credit Notes'!$B$6:$B$205,$A278,'Credit Notes'!$H$6:$H$205,"Issued"))</f>
        <v/>
      </c>
      <c r="R278" s="34" t="str">
        <f aca="false">IF($A278="","",SUMIFS(Payments!$I$6:$I$505,Payments!$C$6:$C$505,$A278))</f>
        <v/>
      </c>
      <c r="S278" s="34" t="str">
        <f aca="false">IF($A278="","",IF($T278="Void",0,$P278-$Q278-$R278))</f>
        <v/>
      </c>
      <c r="T278" s="26"/>
      <c r="U278" s="35" t="str">
        <f aca="false">IF($A278="","",IF($T278="Void","Void",IF(OR($T278="",$T278="Draft"),"Draft",IF($T278="Disputed","Disputed",IF($S278&lt;-0.005,"Overpaid",IF($S278&lt;=0.005,"Paid",IF($R278+$Q278&gt;0.005,IF($V278&gt;0,"Part-paid, overdue","Part-paid"),IF($V278&gt;0,"Overdue","Outstanding"))))))))</f>
        <v/>
      </c>
      <c r="V278" s="36" t="str">
        <f aca="true">IF($A278="","",IF(AND(OR($T278="Issued",$T278="Disputed"),$S278&gt;0.005,$K278&lt;&gt;"",$K278&lt;TODAY()),TODAY()-$K278,0))</f>
        <v/>
      </c>
      <c r="W278" s="35" t="str">
        <f aca="false">IF($A278="","",IF(AND(OR($T278="Issued",$T278="Disputed"),$S278&gt;0.005),IF($V278&lt;=0,"Not yet due",IF($V278&lt;=30,"1 to 30 days",IF($V278&lt;=60,"31 to 60 days",IF($V278&lt;=90,"61 to 90 days","Over 90 days")))),""))</f>
        <v/>
      </c>
      <c r="X278" s="26"/>
      <c r="Y278" s="29"/>
      <c r="Z278" s="28"/>
      <c r="AA278" s="28"/>
    </row>
    <row r="279" customFormat="false" ht="15" hidden="false" customHeight="false" outlineLevel="0" collapsed="false">
      <c r="A279" s="26"/>
      <c r="B279" s="26"/>
      <c r="C279" s="27" t="str">
        <f aca="false">IF($B279="","",IFERROR(INDEX(Clients!$B$6:$B$105,MATCH($B279,Clients!$A$6:$A$105,0)),"Client not found"))</f>
        <v/>
      </c>
      <c r="D279" s="26"/>
      <c r="E279" s="26"/>
      <c r="F279" s="26"/>
      <c r="G279" s="26"/>
      <c r="H279" s="28"/>
      <c r="I279" s="29"/>
      <c r="J279" s="30" t="str">
        <f aca="false">IF($A279="","",IFERROR(IF(N(INDEX(Clients!$E$6:$E$105,MATCH($B279,Clients!$A$6:$A$105,0)))&gt;0,INDEX(Clients!$E$6:$E$105,MATCH($B279,Clients!$A$6:$A$105,0)),Dashboard!$B$6),Dashboard!$B$6))</f>
        <v/>
      </c>
      <c r="K279" s="31" t="str">
        <f aca="false">IF(OR($A279="",$I279=""),"",$I279+$J279)</f>
        <v/>
      </c>
      <c r="L279" s="26"/>
      <c r="M279" s="32"/>
      <c r="N279" s="33"/>
      <c r="O279" s="34" t="str">
        <f aca="false">IF($A279="","",N($M279)*N($N279))</f>
        <v/>
      </c>
      <c r="P279" s="34" t="str">
        <f aca="false">IF($A279="","",N($M279)+$O279)</f>
        <v/>
      </c>
      <c r="Q279" s="34" t="str">
        <f aca="false">IF($A279="","",SUMIFS('Credit Notes'!$F$6:$F$205,'Credit Notes'!$B$6:$B$205,$A279,'Credit Notes'!$H$6:$H$205,"Issued"))</f>
        <v/>
      </c>
      <c r="R279" s="34" t="str">
        <f aca="false">IF($A279="","",SUMIFS(Payments!$I$6:$I$505,Payments!$C$6:$C$505,$A279))</f>
        <v/>
      </c>
      <c r="S279" s="34" t="str">
        <f aca="false">IF($A279="","",IF($T279="Void",0,$P279-$Q279-$R279))</f>
        <v/>
      </c>
      <c r="T279" s="26"/>
      <c r="U279" s="35" t="str">
        <f aca="false">IF($A279="","",IF($T279="Void","Void",IF(OR($T279="",$T279="Draft"),"Draft",IF($T279="Disputed","Disputed",IF($S279&lt;-0.005,"Overpaid",IF($S279&lt;=0.005,"Paid",IF($R279+$Q279&gt;0.005,IF($V279&gt;0,"Part-paid, overdue","Part-paid"),IF($V279&gt;0,"Overdue","Outstanding"))))))))</f>
        <v/>
      </c>
      <c r="V279" s="36" t="str">
        <f aca="true">IF($A279="","",IF(AND(OR($T279="Issued",$T279="Disputed"),$S279&gt;0.005,$K279&lt;&gt;"",$K279&lt;TODAY()),TODAY()-$K279,0))</f>
        <v/>
      </c>
      <c r="W279" s="35" t="str">
        <f aca="false">IF($A279="","",IF(AND(OR($T279="Issued",$T279="Disputed"),$S279&gt;0.005),IF($V279&lt;=0,"Not yet due",IF($V279&lt;=30,"1 to 30 days",IF($V279&lt;=60,"31 to 60 days",IF($V279&lt;=90,"61 to 90 days","Over 90 days")))),""))</f>
        <v/>
      </c>
      <c r="X279" s="26"/>
      <c r="Y279" s="29"/>
      <c r="Z279" s="28"/>
      <c r="AA279" s="28"/>
    </row>
    <row r="280" customFormat="false" ht="15" hidden="false" customHeight="false" outlineLevel="0" collapsed="false">
      <c r="A280" s="26"/>
      <c r="B280" s="26"/>
      <c r="C280" s="27" t="str">
        <f aca="false">IF($B280="","",IFERROR(INDEX(Clients!$B$6:$B$105,MATCH($B280,Clients!$A$6:$A$105,0)),"Client not found"))</f>
        <v/>
      </c>
      <c r="D280" s="26"/>
      <c r="E280" s="26"/>
      <c r="F280" s="26"/>
      <c r="G280" s="26"/>
      <c r="H280" s="28"/>
      <c r="I280" s="29"/>
      <c r="J280" s="30" t="str">
        <f aca="false">IF($A280="","",IFERROR(IF(N(INDEX(Clients!$E$6:$E$105,MATCH($B280,Clients!$A$6:$A$105,0)))&gt;0,INDEX(Clients!$E$6:$E$105,MATCH($B280,Clients!$A$6:$A$105,0)),Dashboard!$B$6),Dashboard!$B$6))</f>
        <v/>
      </c>
      <c r="K280" s="31" t="str">
        <f aca="false">IF(OR($A280="",$I280=""),"",$I280+$J280)</f>
        <v/>
      </c>
      <c r="L280" s="26"/>
      <c r="M280" s="32"/>
      <c r="N280" s="33"/>
      <c r="O280" s="34" t="str">
        <f aca="false">IF($A280="","",N($M280)*N($N280))</f>
        <v/>
      </c>
      <c r="P280" s="34" t="str">
        <f aca="false">IF($A280="","",N($M280)+$O280)</f>
        <v/>
      </c>
      <c r="Q280" s="34" t="str">
        <f aca="false">IF($A280="","",SUMIFS('Credit Notes'!$F$6:$F$205,'Credit Notes'!$B$6:$B$205,$A280,'Credit Notes'!$H$6:$H$205,"Issued"))</f>
        <v/>
      </c>
      <c r="R280" s="34" t="str">
        <f aca="false">IF($A280="","",SUMIFS(Payments!$I$6:$I$505,Payments!$C$6:$C$505,$A280))</f>
        <v/>
      </c>
      <c r="S280" s="34" t="str">
        <f aca="false">IF($A280="","",IF($T280="Void",0,$P280-$Q280-$R280))</f>
        <v/>
      </c>
      <c r="T280" s="26"/>
      <c r="U280" s="35" t="str">
        <f aca="false">IF($A280="","",IF($T280="Void","Void",IF(OR($T280="",$T280="Draft"),"Draft",IF($T280="Disputed","Disputed",IF($S280&lt;-0.005,"Overpaid",IF($S280&lt;=0.005,"Paid",IF($R280+$Q280&gt;0.005,IF($V280&gt;0,"Part-paid, overdue","Part-paid"),IF($V280&gt;0,"Overdue","Outstanding"))))))))</f>
        <v/>
      </c>
      <c r="V280" s="36" t="str">
        <f aca="true">IF($A280="","",IF(AND(OR($T280="Issued",$T280="Disputed"),$S280&gt;0.005,$K280&lt;&gt;"",$K280&lt;TODAY()),TODAY()-$K280,0))</f>
        <v/>
      </c>
      <c r="W280" s="35" t="str">
        <f aca="false">IF($A280="","",IF(AND(OR($T280="Issued",$T280="Disputed"),$S280&gt;0.005),IF($V280&lt;=0,"Not yet due",IF($V280&lt;=30,"1 to 30 days",IF($V280&lt;=60,"31 to 60 days",IF($V280&lt;=90,"61 to 90 days","Over 90 days")))),""))</f>
        <v/>
      </c>
      <c r="X280" s="26"/>
      <c r="Y280" s="29"/>
      <c r="Z280" s="28"/>
      <c r="AA280" s="28"/>
    </row>
    <row r="281" customFormat="false" ht="15" hidden="false" customHeight="false" outlineLevel="0" collapsed="false">
      <c r="A281" s="26"/>
      <c r="B281" s="26"/>
      <c r="C281" s="27" t="str">
        <f aca="false">IF($B281="","",IFERROR(INDEX(Clients!$B$6:$B$105,MATCH($B281,Clients!$A$6:$A$105,0)),"Client not found"))</f>
        <v/>
      </c>
      <c r="D281" s="26"/>
      <c r="E281" s="26"/>
      <c r="F281" s="26"/>
      <c r="G281" s="26"/>
      <c r="H281" s="28"/>
      <c r="I281" s="29"/>
      <c r="J281" s="30" t="str">
        <f aca="false">IF($A281="","",IFERROR(IF(N(INDEX(Clients!$E$6:$E$105,MATCH($B281,Clients!$A$6:$A$105,0)))&gt;0,INDEX(Clients!$E$6:$E$105,MATCH($B281,Clients!$A$6:$A$105,0)),Dashboard!$B$6),Dashboard!$B$6))</f>
        <v/>
      </c>
      <c r="K281" s="31" t="str">
        <f aca="false">IF(OR($A281="",$I281=""),"",$I281+$J281)</f>
        <v/>
      </c>
      <c r="L281" s="26"/>
      <c r="M281" s="32"/>
      <c r="N281" s="33"/>
      <c r="O281" s="34" t="str">
        <f aca="false">IF($A281="","",N($M281)*N($N281))</f>
        <v/>
      </c>
      <c r="P281" s="34" t="str">
        <f aca="false">IF($A281="","",N($M281)+$O281)</f>
        <v/>
      </c>
      <c r="Q281" s="34" t="str">
        <f aca="false">IF($A281="","",SUMIFS('Credit Notes'!$F$6:$F$205,'Credit Notes'!$B$6:$B$205,$A281,'Credit Notes'!$H$6:$H$205,"Issued"))</f>
        <v/>
      </c>
      <c r="R281" s="34" t="str">
        <f aca="false">IF($A281="","",SUMIFS(Payments!$I$6:$I$505,Payments!$C$6:$C$505,$A281))</f>
        <v/>
      </c>
      <c r="S281" s="34" t="str">
        <f aca="false">IF($A281="","",IF($T281="Void",0,$P281-$Q281-$R281))</f>
        <v/>
      </c>
      <c r="T281" s="26"/>
      <c r="U281" s="35" t="str">
        <f aca="false">IF($A281="","",IF($T281="Void","Void",IF(OR($T281="",$T281="Draft"),"Draft",IF($T281="Disputed","Disputed",IF($S281&lt;-0.005,"Overpaid",IF($S281&lt;=0.005,"Paid",IF($R281+$Q281&gt;0.005,IF($V281&gt;0,"Part-paid, overdue","Part-paid"),IF($V281&gt;0,"Overdue","Outstanding"))))))))</f>
        <v/>
      </c>
      <c r="V281" s="36" t="str">
        <f aca="true">IF($A281="","",IF(AND(OR($T281="Issued",$T281="Disputed"),$S281&gt;0.005,$K281&lt;&gt;"",$K281&lt;TODAY()),TODAY()-$K281,0))</f>
        <v/>
      </c>
      <c r="W281" s="35" t="str">
        <f aca="false">IF($A281="","",IF(AND(OR($T281="Issued",$T281="Disputed"),$S281&gt;0.005),IF($V281&lt;=0,"Not yet due",IF($V281&lt;=30,"1 to 30 days",IF($V281&lt;=60,"31 to 60 days",IF($V281&lt;=90,"61 to 90 days","Over 90 days")))),""))</f>
        <v/>
      </c>
      <c r="X281" s="26"/>
      <c r="Y281" s="29"/>
      <c r="Z281" s="28"/>
      <c r="AA281" s="28"/>
    </row>
    <row r="282" customFormat="false" ht="15" hidden="false" customHeight="false" outlineLevel="0" collapsed="false">
      <c r="A282" s="26"/>
      <c r="B282" s="26"/>
      <c r="C282" s="27" t="str">
        <f aca="false">IF($B282="","",IFERROR(INDEX(Clients!$B$6:$B$105,MATCH($B282,Clients!$A$6:$A$105,0)),"Client not found"))</f>
        <v/>
      </c>
      <c r="D282" s="26"/>
      <c r="E282" s="26"/>
      <c r="F282" s="26"/>
      <c r="G282" s="26"/>
      <c r="H282" s="28"/>
      <c r="I282" s="29"/>
      <c r="J282" s="30" t="str">
        <f aca="false">IF($A282="","",IFERROR(IF(N(INDEX(Clients!$E$6:$E$105,MATCH($B282,Clients!$A$6:$A$105,0)))&gt;0,INDEX(Clients!$E$6:$E$105,MATCH($B282,Clients!$A$6:$A$105,0)),Dashboard!$B$6),Dashboard!$B$6))</f>
        <v/>
      </c>
      <c r="K282" s="31" t="str">
        <f aca="false">IF(OR($A282="",$I282=""),"",$I282+$J282)</f>
        <v/>
      </c>
      <c r="L282" s="26"/>
      <c r="M282" s="32"/>
      <c r="N282" s="33"/>
      <c r="O282" s="34" t="str">
        <f aca="false">IF($A282="","",N($M282)*N($N282))</f>
        <v/>
      </c>
      <c r="P282" s="34" t="str">
        <f aca="false">IF($A282="","",N($M282)+$O282)</f>
        <v/>
      </c>
      <c r="Q282" s="34" t="str">
        <f aca="false">IF($A282="","",SUMIFS('Credit Notes'!$F$6:$F$205,'Credit Notes'!$B$6:$B$205,$A282,'Credit Notes'!$H$6:$H$205,"Issued"))</f>
        <v/>
      </c>
      <c r="R282" s="34" t="str">
        <f aca="false">IF($A282="","",SUMIFS(Payments!$I$6:$I$505,Payments!$C$6:$C$505,$A282))</f>
        <v/>
      </c>
      <c r="S282" s="34" t="str">
        <f aca="false">IF($A282="","",IF($T282="Void",0,$P282-$Q282-$R282))</f>
        <v/>
      </c>
      <c r="T282" s="26"/>
      <c r="U282" s="35" t="str">
        <f aca="false">IF($A282="","",IF($T282="Void","Void",IF(OR($T282="",$T282="Draft"),"Draft",IF($T282="Disputed","Disputed",IF($S282&lt;-0.005,"Overpaid",IF($S282&lt;=0.005,"Paid",IF($R282+$Q282&gt;0.005,IF($V282&gt;0,"Part-paid, overdue","Part-paid"),IF($V282&gt;0,"Overdue","Outstanding"))))))))</f>
        <v/>
      </c>
      <c r="V282" s="36" t="str">
        <f aca="true">IF($A282="","",IF(AND(OR($T282="Issued",$T282="Disputed"),$S282&gt;0.005,$K282&lt;&gt;"",$K282&lt;TODAY()),TODAY()-$K282,0))</f>
        <v/>
      </c>
      <c r="W282" s="35" t="str">
        <f aca="false">IF($A282="","",IF(AND(OR($T282="Issued",$T282="Disputed"),$S282&gt;0.005),IF($V282&lt;=0,"Not yet due",IF($V282&lt;=30,"1 to 30 days",IF($V282&lt;=60,"31 to 60 days",IF($V282&lt;=90,"61 to 90 days","Over 90 days")))),""))</f>
        <v/>
      </c>
      <c r="X282" s="26"/>
      <c r="Y282" s="29"/>
      <c r="Z282" s="28"/>
      <c r="AA282" s="28"/>
    </row>
    <row r="283" customFormat="false" ht="15" hidden="false" customHeight="false" outlineLevel="0" collapsed="false">
      <c r="A283" s="26"/>
      <c r="B283" s="26"/>
      <c r="C283" s="27" t="str">
        <f aca="false">IF($B283="","",IFERROR(INDEX(Clients!$B$6:$B$105,MATCH($B283,Clients!$A$6:$A$105,0)),"Client not found"))</f>
        <v/>
      </c>
      <c r="D283" s="26"/>
      <c r="E283" s="26"/>
      <c r="F283" s="26"/>
      <c r="G283" s="26"/>
      <c r="H283" s="28"/>
      <c r="I283" s="29"/>
      <c r="J283" s="30" t="str">
        <f aca="false">IF($A283="","",IFERROR(IF(N(INDEX(Clients!$E$6:$E$105,MATCH($B283,Clients!$A$6:$A$105,0)))&gt;0,INDEX(Clients!$E$6:$E$105,MATCH($B283,Clients!$A$6:$A$105,0)),Dashboard!$B$6),Dashboard!$B$6))</f>
        <v/>
      </c>
      <c r="K283" s="31" t="str">
        <f aca="false">IF(OR($A283="",$I283=""),"",$I283+$J283)</f>
        <v/>
      </c>
      <c r="L283" s="26"/>
      <c r="M283" s="32"/>
      <c r="N283" s="33"/>
      <c r="O283" s="34" t="str">
        <f aca="false">IF($A283="","",N($M283)*N($N283))</f>
        <v/>
      </c>
      <c r="P283" s="34" t="str">
        <f aca="false">IF($A283="","",N($M283)+$O283)</f>
        <v/>
      </c>
      <c r="Q283" s="34" t="str">
        <f aca="false">IF($A283="","",SUMIFS('Credit Notes'!$F$6:$F$205,'Credit Notes'!$B$6:$B$205,$A283,'Credit Notes'!$H$6:$H$205,"Issued"))</f>
        <v/>
      </c>
      <c r="R283" s="34" t="str">
        <f aca="false">IF($A283="","",SUMIFS(Payments!$I$6:$I$505,Payments!$C$6:$C$505,$A283))</f>
        <v/>
      </c>
      <c r="S283" s="34" t="str">
        <f aca="false">IF($A283="","",IF($T283="Void",0,$P283-$Q283-$R283))</f>
        <v/>
      </c>
      <c r="T283" s="26"/>
      <c r="U283" s="35" t="str">
        <f aca="false">IF($A283="","",IF($T283="Void","Void",IF(OR($T283="",$T283="Draft"),"Draft",IF($T283="Disputed","Disputed",IF($S283&lt;-0.005,"Overpaid",IF($S283&lt;=0.005,"Paid",IF($R283+$Q283&gt;0.005,IF($V283&gt;0,"Part-paid, overdue","Part-paid"),IF($V283&gt;0,"Overdue","Outstanding"))))))))</f>
        <v/>
      </c>
      <c r="V283" s="36" t="str">
        <f aca="true">IF($A283="","",IF(AND(OR($T283="Issued",$T283="Disputed"),$S283&gt;0.005,$K283&lt;&gt;"",$K283&lt;TODAY()),TODAY()-$K283,0))</f>
        <v/>
      </c>
      <c r="W283" s="35" t="str">
        <f aca="false">IF($A283="","",IF(AND(OR($T283="Issued",$T283="Disputed"),$S283&gt;0.005),IF($V283&lt;=0,"Not yet due",IF($V283&lt;=30,"1 to 30 days",IF($V283&lt;=60,"31 to 60 days",IF($V283&lt;=90,"61 to 90 days","Over 90 days")))),""))</f>
        <v/>
      </c>
      <c r="X283" s="26"/>
      <c r="Y283" s="29"/>
      <c r="Z283" s="28"/>
      <c r="AA283" s="28"/>
    </row>
    <row r="284" customFormat="false" ht="15" hidden="false" customHeight="false" outlineLevel="0" collapsed="false">
      <c r="A284" s="26"/>
      <c r="B284" s="26"/>
      <c r="C284" s="27" t="str">
        <f aca="false">IF($B284="","",IFERROR(INDEX(Clients!$B$6:$B$105,MATCH($B284,Clients!$A$6:$A$105,0)),"Client not found"))</f>
        <v/>
      </c>
      <c r="D284" s="26"/>
      <c r="E284" s="26"/>
      <c r="F284" s="26"/>
      <c r="G284" s="26"/>
      <c r="H284" s="28"/>
      <c r="I284" s="29"/>
      <c r="J284" s="30" t="str">
        <f aca="false">IF($A284="","",IFERROR(IF(N(INDEX(Clients!$E$6:$E$105,MATCH($B284,Clients!$A$6:$A$105,0)))&gt;0,INDEX(Clients!$E$6:$E$105,MATCH($B284,Clients!$A$6:$A$105,0)),Dashboard!$B$6),Dashboard!$B$6))</f>
        <v/>
      </c>
      <c r="K284" s="31" t="str">
        <f aca="false">IF(OR($A284="",$I284=""),"",$I284+$J284)</f>
        <v/>
      </c>
      <c r="L284" s="26"/>
      <c r="M284" s="32"/>
      <c r="N284" s="33"/>
      <c r="O284" s="34" t="str">
        <f aca="false">IF($A284="","",N($M284)*N($N284))</f>
        <v/>
      </c>
      <c r="P284" s="34" t="str">
        <f aca="false">IF($A284="","",N($M284)+$O284)</f>
        <v/>
      </c>
      <c r="Q284" s="34" t="str">
        <f aca="false">IF($A284="","",SUMIFS('Credit Notes'!$F$6:$F$205,'Credit Notes'!$B$6:$B$205,$A284,'Credit Notes'!$H$6:$H$205,"Issued"))</f>
        <v/>
      </c>
      <c r="R284" s="34" t="str">
        <f aca="false">IF($A284="","",SUMIFS(Payments!$I$6:$I$505,Payments!$C$6:$C$505,$A284))</f>
        <v/>
      </c>
      <c r="S284" s="34" t="str">
        <f aca="false">IF($A284="","",IF($T284="Void",0,$P284-$Q284-$R284))</f>
        <v/>
      </c>
      <c r="T284" s="26"/>
      <c r="U284" s="35" t="str">
        <f aca="false">IF($A284="","",IF($T284="Void","Void",IF(OR($T284="",$T284="Draft"),"Draft",IF($T284="Disputed","Disputed",IF($S284&lt;-0.005,"Overpaid",IF($S284&lt;=0.005,"Paid",IF($R284+$Q284&gt;0.005,IF($V284&gt;0,"Part-paid, overdue","Part-paid"),IF($V284&gt;0,"Overdue","Outstanding"))))))))</f>
        <v/>
      </c>
      <c r="V284" s="36" t="str">
        <f aca="true">IF($A284="","",IF(AND(OR($T284="Issued",$T284="Disputed"),$S284&gt;0.005,$K284&lt;&gt;"",$K284&lt;TODAY()),TODAY()-$K284,0))</f>
        <v/>
      </c>
      <c r="W284" s="35" t="str">
        <f aca="false">IF($A284="","",IF(AND(OR($T284="Issued",$T284="Disputed"),$S284&gt;0.005),IF($V284&lt;=0,"Not yet due",IF($V284&lt;=30,"1 to 30 days",IF($V284&lt;=60,"31 to 60 days",IF($V284&lt;=90,"61 to 90 days","Over 90 days")))),""))</f>
        <v/>
      </c>
      <c r="X284" s="26"/>
      <c r="Y284" s="29"/>
      <c r="Z284" s="28"/>
      <c r="AA284" s="28"/>
    </row>
    <row r="285" customFormat="false" ht="15" hidden="false" customHeight="false" outlineLevel="0" collapsed="false">
      <c r="A285" s="26"/>
      <c r="B285" s="26"/>
      <c r="C285" s="27" t="str">
        <f aca="false">IF($B285="","",IFERROR(INDEX(Clients!$B$6:$B$105,MATCH($B285,Clients!$A$6:$A$105,0)),"Client not found"))</f>
        <v/>
      </c>
      <c r="D285" s="26"/>
      <c r="E285" s="26"/>
      <c r="F285" s="26"/>
      <c r="G285" s="26"/>
      <c r="H285" s="28"/>
      <c r="I285" s="29"/>
      <c r="J285" s="30" t="str">
        <f aca="false">IF($A285="","",IFERROR(IF(N(INDEX(Clients!$E$6:$E$105,MATCH($B285,Clients!$A$6:$A$105,0)))&gt;0,INDEX(Clients!$E$6:$E$105,MATCH($B285,Clients!$A$6:$A$105,0)),Dashboard!$B$6),Dashboard!$B$6))</f>
        <v/>
      </c>
      <c r="K285" s="31" t="str">
        <f aca="false">IF(OR($A285="",$I285=""),"",$I285+$J285)</f>
        <v/>
      </c>
      <c r="L285" s="26"/>
      <c r="M285" s="32"/>
      <c r="N285" s="33"/>
      <c r="O285" s="34" t="str">
        <f aca="false">IF($A285="","",N($M285)*N($N285))</f>
        <v/>
      </c>
      <c r="P285" s="34" t="str">
        <f aca="false">IF($A285="","",N($M285)+$O285)</f>
        <v/>
      </c>
      <c r="Q285" s="34" t="str">
        <f aca="false">IF($A285="","",SUMIFS('Credit Notes'!$F$6:$F$205,'Credit Notes'!$B$6:$B$205,$A285,'Credit Notes'!$H$6:$H$205,"Issued"))</f>
        <v/>
      </c>
      <c r="R285" s="34" t="str">
        <f aca="false">IF($A285="","",SUMIFS(Payments!$I$6:$I$505,Payments!$C$6:$C$505,$A285))</f>
        <v/>
      </c>
      <c r="S285" s="34" t="str">
        <f aca="false">IF($A285="","",IF($T285="Void",0,$P285-$Q285-$R285))</f>
        <v/>
      </c>
      <c r="T285" s="26"/>
      <c r="U285" s="35" t="str">
        <f aca="false">IF($A285="","",IF($T285="Void","Void",IF(OR($T285="",$T285="Draft"),"Draft",IF($T285="Disputed","Disputed",IF($S285&lt;-0.005,"Overpaid",IF($S285&lt;=0.005,"Paid",IF($R285+$Q285&gt;0.005,IF($V285&gt;0,"Part-paid, overdue","Part-paid"),IF($V285&gt;0,"Overdue","Outstanding"))))))))</f>
        <v/>
      </c>
      <c r="V285" s="36" t="str">
        <f aca="true">IF($A285="","",IF(AND(OR($T285="Issued",$T285="Disputed"),$S285&gt;0.005,$K285&lt;&gt;"",$K285&lt;TODAY()),TODAY()-$K285,0))</f>
        <v/>
      </c>
      <c r="W285" s="35" t="str">
        <f aca="false">IF($A285="","",IF(AND(OR($T285="Issued",$T285="Disputed"),$S285&gt;0.005),IF($V285&lt;=0,"Not yet due",IF($V285&lt;=30,"1 to 30 days",IF($V285&lt;=60,"31 to 60 days",IF($V285&lt;=90,"61 to 90 days","Over 90 days")))),""))</f>
        <v/>
      </c>
      <c r="X285" s="26"/>
      <c r="Y285" s="29"/>
      <c r="Z285" s="28"/>
      <c r="AA285" s="28"/>
    </row>
    <row r="286" customFormat="false" ht="15" hidden="false" customHeight="false" outlineLevel="0" collapsed="false">
      <c r="A286" s="26"/>
      <c r="B286" s="26"/>
      <c r="C286" s="27" t="str">
        <f aca="false">IF($B286="","",IFERROR(INDEX(Clients!$B$6:$B$105,MATCH($B286,Clients!$A$6:$A$105,0)),"Client not found"))</f>
        <v/>
      </c>
      <c r="D286" s="26"/>
      <c r="E286" s="26"/>
      <c r="F286" s="26"/>
      <c r="G286" s="26"/>
      <c r="H286" s="28"/>
      <c r="I286" s="29"/>
      <c r="J286" s="30" t="str">
        <f aca="false">IF($A286="","",IFERROR(IF(N(INDEX(Clients!$E$6:$E$105,MATCH($B286,Clients!$A$6:$A$105,0)))&gt;0,INDEX(Clients!$E$6:$E$105,MATCH($B286,Clients!$A$6:$A$105,0)),Dashboard!$B$6),Dashboard!$B$6))</f>
        <v/>
      </c>
      <c r="K286" s="31" t="str">
        <f aca="false">IF(OR($A286="",$I286=""),"",$I286+$J286)</f>
        <v/>
      </c>
      <c r="L286" s="26"/>
      <c r="M286" s="32"/>
      <c r="N286" s="33"/>
      <c r="O286" s="34" t="str">
        <f aca="false">IF($A286="","",N($M286)*N($N286))</f>
        <v/>
      </c>
      <c r="P286" s="34" t="str">
        <f aca="false">IF($A286="","",N($M286)+$O286)</f>
        <v/>
      </c>
      <c r="Q286" s="34" t="str">
        <f aca="false">IF($A286="","",SUMIFS('Credit Notes'!$F$6:$F$205,'Credit Notes'!$B$6:$B$205,$A286,'Credit Notes'!$H$6:$H$205,"Issued"))</f>
        <v/>
      </c>
      <c r="R286" s="34" t="str">
        <f aca="false">IF($A286="","",SUMIFS(Payments!$I$6:$I$505,Payments!$C$6:$C$505,$A286))</f>
        <v/>
      </c>
      <c r="S286" s="34" t="str">
        <f aca="false">IF($A286="","",IF($T286="Void",0,$P286-$Q286-$R286))</f>
        <v/>
      </c>
      <c r="T286" s="26"/>
      <c r="U286" s="35" t="str">
        <f aca="false">IF($A286="","",IF($T286="Void","Void",IF(OR($T286="",$T286="Draft"),"Draft",IF($T286="Disputed","Disputed",IF($S286&lt;-0.005,"Overpaid",IF($S286&lt;=0.005,"Paid",IF($R286+$Q286&gt;0.005,IF($V286&gt;0,"Part-paid, overdue","Part-paid"),IF($V286&gt;0,"Overdue","Outstanding"))))))))</f>
        <v/>
      </c>
      <c r="V286" s="36" t="str">
        <f aca="true">IF($A286="","",IF(AND(OR($T286="Issued",$T286="Disputed"),$S286&gt;0.005,$K286&lt;&gt;"",$K286&lt;TODAY()),TODAY()-$K286,0))</f>
        <v/>
      </c>
      <c r="W286" s="35" t="str">
        <f aca="false">IF($A286="","",IF(AND(OR($T286="Issued",$T286="Disputed"),$S286&gt;0.005),IF($V286&lt;=0,"Not yet due",IF($V286&lt;=30,"1 to 30 days",IF($V286&lt;=60,"31 to 60 days",IF($V286&lt;=90,"61 to 90 days","Over 90 days")))),""))</f>
        <v/>
      </c>
      <c r="X286" s="26"/>
      <c r="Y286" s="29"/>
      <c r="Z286" s="28"/>
      <c r="AA286" s="28"/>
    </row>
    <row r="287" customFormat="false" ht="15" hidden="false" customHeight="false" outlineLevel="0" collapsed="false">
      <c r="A287" s="26"/>
      <c r="B287" s="26"/>
      <c r="C287" s="27" t="str">
        <f aca="false">IF($B287="","",IFERROR(INDEX(Clients!$B$6:$B$105,MATCH($B287,Clients!$A$6:$A$105,0)),"Client not found"))</f>
        <v/>
      </c>
      <c r="D287" s="26"/>
      <c r="E287" s="26"/>
      <c r="F287" s="26"/>
      <c r="G287" s="26"/>
      <c r="H287" s="28"/>
      <c r="I287" s="29"/>
      <c r="J287" s="30" t="str">
        <f aca="false">IF($A287="","",IFERROR(IF(N(INDEX(Clients!$E$6:$E$105,MATCH($B287,Clients!$A$6:$A$105,0)))&gt;0,INDEX(Clients!$E$6:$E$105,MATCH($B287,Clients!$A$6:$A$105,0)),Dashboard!$B$6),Dashboard!$B$6))</f>
        <v/>
      </c>
      <c r="K287" s="31" t="str">
        <f aca="false">IF(OR($A287="",$I287=""),"",$I287+$J287)</f>
        <v/>
      </c>
      <c r="L287" s="26"/>
      <c r="M287" s="32"/>
      <c r="N287" s="33"/>
      <c r="O287" s="34" t="str">
        <f aca="false">IF($A287="","",N($M287)*N($N287))</f>
        <v/>
      </c>
      <c r="P287" s="34" t="str">
        <f aca="false">IF($A287="","",N($M287)+$O287)</f>
        <v/>
      </c>
      <c r="Q287" s="34" t="str">
        <f aca="false">IF($A287="","",SUMIFS('Credit Notes'!$F$6:$F$205,'Credit Notes'!$B$6:$B$205,$A287,'Credit Notes'!$H$6:$H$205,"Issued"))</f>
        <v/>
      </c>
      <c r="R287" s="34" t="str">
        <f aca="false">IF($A287="","",SUMIFS(Payments!$I$6:$I$505,Payments!$C$6:$C$505,$A287))</f>
        <v/>
      </c>
      <c r="S287" s="34" t="str">
        <f aca="false">IF($A287="","",IF($T287="Void",0,$P287-$Q287-$R287))</f>
        <v/>
      </c>
      <c r="T287" s="26"/>
      <c r="U287" s="35" t="str">
        <f aca="false">IF($A287="","",IF($T287="Void","Void",IF(OR($T287="",$T287="Draft"),"Draft",IF($T287="Disputed","Disputed",IF($S287&lt;-0.005,"Overpaid",IF($S287&lt;=0.005,"Paid",IF($R287+$Q287&gt;0.005,IF($V287&gt;0,"Part-paid, overdue","Part-paid"),IF($V287&gt;0,"Overdue","Outstanding"))))))))</f>
        <v/>
      </c>
      <c r="V287" s="36" t="str">
        <f aca="true">IF($A287="","",IF(AND(OR($T287="Issued",$T287="Disputed"),$S287&gt;0.005,$K287&lt;&gt;"",$K287&lt;TODAY()),TODAY()-$K287,0))</f>
        <v/>
      </c>
      <c r="W287" s="35" t="str">
        <f aca="false">IF($A287="","",IF(AND(OR($T287="Issued",$T287="Disputed"),$S287&gt;0.005),IF($V287&lt;=0,"Not yet due",IF($V287&lt;=30,"1 to 30 days",IF($V287&lt;=60,"31 to 60 days",IF($V287&lt;=90,"61 to 90 days","Over 90 days")))),""))</f>
        <v/>
      </c>
      <c r="X287" s="26"/>
      <c r="Y287" s="29"/>
      <c r="Z287" s="28"/>
      <c r="AA287" s="28"/>
    </row>
    <row r="288" customFormat="false" ht="15" hidden="false" customHeight="false" outlineLevel="0" collapsed="false">
      <c r="A288" s="26"/>
      <c r="B288" s="26"/>
      <c r="C288" s="27" t="str">
        <f aca="false">IF($B288="","",IFERROR(INDEX(Clients!$B$6:$B$105,MATCH($B288,Clients!$A$6:$A$105,0)),"Client not found"))</f>
        <v/>
      </c>
      <c r="D288" s="26"/>
      <c r="E288" s="26"/>
      <c r="F288" s="26"/>
      <c r="G288" s="26"/>
      <c r="H288" s="28"/>
      <c r="I288" s="29"/>
      <c r="J288" s="30" t="str">
        <f aca="false">IF($A288="","",IFERROR(IF(N(INDEX(Clients!$E$6:$E$105,MATCH($B288,Clients!$A$6:$A$105,0)))&gt;0,INDEX(Clients!$E$6:$E$105,MATCH($B288,Clients!$A$6:$A$105,0)),Dashboard!$B$6),Dashboard!$B$6))</f>
        <v/>
      </c>
      <c r="K288" s="31" t="str">
        <f aca="false">IF(OR($A288="",$I288=""),"",$I288+$J288)</f>
        <v/>
      </c>
      <c r="L288" s="26"/>
      <c r="M288" s="32"/>
      <c r="N288" s="33"/>
      <c r="O288" s="34" t="str">
        <f aca="false">IF($A288="","",N($M288)*N($N288))</f>
        <v/>
      </c>
      <c r="P288" s="34" t="str">
        <f aca="false">IF($A288="","",N($M288)+$O288)</f>
        <v/>
      </c>
      <c r="Q288" s="34" t="str">
        <f aca="false">IF($A288="","",SUMIFS('Credit Notes'!$F$6:$F$205,'Credit Notes'!$B$6:$B$205,$A288,'Credit Notes'!$H$6:$H$205,"Issued"))</f>
        <v/>
      </c>
      <c r="R288" s="34" t="str">
        <f aca="false">IF($A288="","",SUMIFS(Payments!$I$6:$I$505,Payments!$C$6:$C$505,$A288))</f>
        <v/>
      </c>
      <c r="S288" s="34" t="str">
        <f aca="false">IF($A288="","",IF($T288="Void",0,$P288-$Q288-$R288))</f>
        <v/>
      </c>
      <c r="T288" s="26"/>
      <c r="U288" s="35" t="str">
        <f aca="false">IF($A288="","",IF($T288="Void","Void",IF(OR($T288="",$T288="Draft"),"Draft",IF($T288="Disputed","Disputed",IF($S288&lt;-0.005,"Overpaid",IF($S288&lt;=0.005,"Paid",IF($R288+$Q288&gt;0.005,IF($V288&gt;0,"Part-paid, overdue","Part-paid"),IF($V288&gt;0,"Overdue","Outstanding"))))))))</f>
        <v/>
      </c>
      <c r="V288" s="36" t="str">
        <f aca="true">IF($A288="","",IF(AND(OR($T288="Issued",$T288="Disputed"),$S288&gt;0.005,$K288&lt;&gt;"",$K288&lt;TODAY()),TODAY()-$K288,0))</f>
        <v/>
      </c>
      <c r="W288" s="35" t="str">
        <f aca="false">IF($A288="","",IF(AND(OR($T288="Issued",$T288="Disputed"),$S288&gt;0.005),IF($V288&lt;=0,"Not yet due",IF($V288&lt;=30,"1 to 30 days",IF($V288&lt;=60,"31 to 60 days",IF($V288&lt;=90,"61 to 90 days","Over 90 days")))),""))</f>
        <v/>
      </c>
      <c r="X288" s="26"/>
      <c r="Y288" s="29"/>
      <c r="Z288" s="28"/>
      <c r="AA288" s="28"/>
    </row>
    <row r="289" customFormat="false" ht="15" hidden="false" customHeight="false" outlineLevel="0" collapsed="false">
      <c r="A289" s="26"/>
      <c r="B289" s="26"/>
      <c r="C289" s="27" t="str">
        <f aca="false">IF($B289="","",IFERROR(INDEX(Clients!$B$6:$B$105,MATCH($B289,Clients!$A$6:$A$105,0)),"Client not found"))</f>
        <v/>
      </c>
      <c r="D289" s="26"/>
      <c r="E289" s="26"/>
      <c r="F289" s="26"/>
      <c r="G289" s="26"/>
      <c r="H289" s="28"/>
      <c r="I289" s="29"/>
      <c r="J289" s="30" t="str">
        <f aca="false">IF($A289="","",IFERROR(IF(N(INDEX(Clients!$E$6:$E$105,MATCH($B289,Clients!$A$6:$A$105,0)))&gt;0,INDEX(Clients!$E$6:$E$105,MATCH($B289,Clients!$A$6:$A$105,0)),Dashboard!$B$6),Dashboard!$B$6))</f>
        <v/>
      </c>
      <c r="K289" s="31" t="str">
        <f aca="false">IF(OR($A289="",$I289=""),"",$I289+$J289)</f>
        <v/>
      </c>
      <c r="L289" s="26"/>
      <c r="M289" s="32"/>
      <c r="N289" s="33"/>
      <c r="O289" s="34" t="str">
        <f aca="false">IF($A289="","",N($M289)*N($N289))</f>
        <v/>
      </c>
      <c r="P289" s="34" t="str">
        <f aca="false">IF($A289="","",N($M289)+$O289)</f>
        <v/>
      </c>
      <c r="Q289" s="34" t="str">
        <f aca="false">IF($A289="","",SUMIFS('Credit Notes'!$F$6:$F$205,'Credit Notes'!$B$6:$B$205,$A289,'Credit Notes'!$H$6:$H$205,"Issued"))</f>
        <v/>
      </c>
      <c r="R289" s="34" t="str">
        <f aca="false">IF($A289="","",SUMIFS(Payments!$I$6:$I$505,Payments!$C$6:$C$505,$A289))</f>
        <v/>
      </c>
      <c r="S289" s="34" t="str">
        <f aca="false">IF($A289="","",IF($T289="Void",0,$P289-$Q289-$R289))</f>
        <v/>
      </c>
      <c r="T289" s="26"/>
      <c r="U289" s="35" t="str">
        <f aca="false">IF($A289="","",IF($T289="Void","Void",IF(OR($T289="",$T289="Draft"),"Draft",IF($T289="Disputed","Disputed",IF($S289&lt;-0.005,"Overpaid",IF($S289&lt;=0.005,"Paid",IF($R289+$Q289&gt;0.005,IF($V289&gt;0,"Part-paid, overdue","Part-paid"),IF($V289&gt;0,"Overdue","Outstanding"))))))))</f>
        <v/>
      </c>
      <c r="V289" s="36" t="str">
        <f aca="true">IF($A289="","",IF(AND(OR($T289="Issued",$T289="Disputed"),$S289&gt;0.005,$K289&lt;&gt;"",$K289&lt;TODAY()),TODAY()-$K289,0))</f>
        <v/>
      </c>
      <c r="W289" s="35" t="str">
        <f aca="false">IF($A289="","",IF(AND(OR($T289="Issued",$T289="Disputed"),$S289&gt;0.005),IF($V289&lt;=0,"Not yet due",IF($V289&lt;=30,"1 to 30 days",IF($V289&lt;=60,"31 to 60 days",IF($V289&lt;=90,"61 to 90 days","Over 90 days")))),""))</f>
        <v/>
      </c>
      <c r="X289" s="26"/>
      <c r="Y289" s="29"/>
      <c r="Z289" s="28"/>
      <c r="AA289" s="28"/>
    </row>
    <row r="290" customFormat="false" ht="15" hidden="false" customHeight="false" outlineLevel="0" collapsed="false">
      <c r="A290" s="26"/>
      <c r="B290" s="26"/>
      <c r="C290" s="27" t="str">
        <f aca="false">IF($B290="","",IFERROR(INDEX(Clients!$B$6:$B$105,MATCH($B290,Clients!$A$6:$A$105,0)),"Client not found"))</f>
        <v/>
      </c>
      <c r="D290" s="26"/>
      <c r="E290" s="26"/>
      <c r="F290" s="26"/>
      <c r="G290" s="26"/>
      <c r="H290" s="28"/>
      <c r="I290" s="29"/>
      <c r="J290" s="30" t="str">
        <f aca="false">IF($A290="","",IFERROR(IF(N(INDEX(Clients!$E$6:$E$105,MATCH($B290,Clients!$A$6:$A$105,0)))&gt;0,INDEX(Clients!$E$6:$E$105,MATCH($B290,Clients!$A$6:$A$105,0)),Dashboard!$B$6),Dashboard!$B$6))</f>
        <v/>
      </c>
      <c r="K290" s="31" t="str">
        <f aca="false">IF(OR($A290="",$I290=""),"",$I290+$J290)</f>
        <v/>
      </c>
      <c r="L290" s="26"/>
      <c r="M290" s="32"/>
      <c r="N290" s="33"/>
      <c r="O290" s="34" t="str">
        <f aca="false">IF($A290="","",N($M290)*N($N290))</f>
        <v/>
      </c>
      <c r="P290" s="34" t="str">
        <f aca="false">IF($A290="","",N($M290)+$O290)</f>
        <v/>
      </c>
      <c r="Q290" s="34" t="str">
        <f aca="false">IF($A290="","",SUMIFS('Credit Notes'!$F$6:$F$205,'Credit Notes'!$B$6:$B$205,$A290,'Credit Notes'!$H$6:$H$205,"Issued"))</f>
        <v/>
      </c>
      <c r="R290" s="34" t="str">
        <f aca="false">IF($A290="","",SUMIFS(Payments!$I$6:$I$505,Payments!$C$6:$C$505,$A290))</f>
        <v/>
      </c>
      <c r="S290" s="34" t="str">
        <f aca="false">IF($A290="","",IF($T290="Void",0,$P290-$Q290-$R290))</f>
        <v/>
      </c>
      <c r="T290" s="26"/>
      <c r="U290" s="35" t="str">
        <f aca="false">IF($A290="","",IF($T290="Void","Void",IF(OR($T290="",$T290="Draft"),"Draft",IF($T290="Disputed","Disputed",IF($S290&lt;-0.005,"Overpaid",IF($S290&lt;=0.005,"Paid",IF($R290+$Q290&gt;0.005,IF($V290&gt;0,"Part-paid, overdue","Part-paid"),IF($V290&gt;0,"Overdue","Outstanding"))))))))</f>
        <v/>
      </c>
      <c r="V290" s="36" t="str">
        <f aca="true">IF($A290="","",IF(AND(OR($T290="Issued",$T290="Disputed"),$S290&gt;0.005,$K290&lt;&gt;"",$K290&lt;TODAY()),TODAY()-$K290,0))</f>
        <v/>
      </c>
      <c r="W290" s="35" t="str">
        <f aca="false">IF($A290="","",IF(AND(OR($T290="Issued",$T290="Disputed"),$S290&gt;0.005),IF($V290&lt;=0,"Not yet due",IF($V290&lt;=30,"1 to 30 days",IF($V290&lt;=60,"31 to 60 days",IF($V290&lt;=90,"61 to 90 days","Over 90 days")))),""))</f>
        <v/>
      </c>
      <c r="X290" s="26"/>
      <c r="Y290" s="29"/>
      <c r="Z290" s="28"/>
      <c r="AA290" s="28"/>
    </row>
    <row r="291" customFormat="false" ht="15" hidden="false" customHeight="false" outlineLevel="0" collapsed="false">
      <c r="A291" s="26"/>
      <c r="B291" s="26"/>
      <c r="C291" s="27" t="str">
        <f aca="false">IF($B291="","",IFERROR(INDEX(Clients!$B$6:$B$105,MATCH($B291,Clients!$A$6:$A$105,0)),"Client not found"))</f>
        <v/>
      </c>
      <c r="D291" s="26"/>
      <c r="E291" s="26"/>
      <c r="F291" s="26"/>
      <c r="G291" s="26"/>
      <c r="H291" s="28"/>
      <c r="I291" s="29"/>
      <c r="J291" s="30" t="str">
        <f aca="false">IF($A291="","",IFERROR(IF(N(INDEX(Clients!$E$6:$E$105,MATCH($B291,Clients!$A$6:$A$105,0)))&gt;0,INDEX(Clients!$E$6:$E$105,MATCH($B291,Clients!$A$6:$A$105,0)),Dashboard!$B$6),Dashboard!$B$6))</f>
        <v/>
      </c>
      <c r="K291" s="31" t="str">
        <f aca="false">IF(OR($A291="",$I291=""),"",$I291+$J291)</f>
        <v/>
      </c>
      <c r="L291" s="26"/>
      <c r="M291" s="32"/>
      <c r="N291" s="33"/>
      <c r="O291" s="34" t="str">
        <f aca="false">IF($A291="","",N($M291)*N($N291))</f>
        <v/>
      </c>
      <c r="P291" s="34" t="str">
        <f aca="false">IF($A291="","",N($M291)+$O291)</f>
        <v/>
      </c>
      <c r="Q291" s="34" t="str">
        <f aca="false">IF($A291="","",SUMIFS('Credit Notes'!$F$6:$F$205,'Credit Notes'!$B$6:$B$205,$A291,'Credit Notes'!$H$6:$H$205,"Issued"))</f>
        <v/>
      </c>
      <c r="R291" s="34" t="str">
        <f aca="false">IF($A291="","",SUMIFS(Payments!$I$6:$I$505,Payments!$C$6:$C$505,$A291))</f>
        <v/>
      </c>
      <c r="S291" s="34" t="str">
        <f aca="false">IF($A291="","",IF($T291="Void",0,$P291-$Q291-$R291))</f>
        <v/>
      </c>
      <c r="T291" s="26"/>
      <c r="U291" s="35" t="str">
        <f aca="false">IF($A291="","",IF($T291="Void","Void",IF(OR($T291="",$T291="Draft"),"Draft",IF($T291="Disputed","Disputed",IF($S291&lt;-0.005,"Overpaid",IF($S291&lt;=0.005,"Paid",IF($R291+$Q291&gt;0.005,IF($V291&gt;0,"Part-paid, overdue","Part-paid"),IF($V291&gt;0,"Overdue","Outstanding"))))))))</f>
        <v/>
      </c>
      <c r="V291" s="36" t="str">
        <f aca="true">IF($A291="","",IF(AND(OR($T291="Issued",$T291="Disputed"),$S291&gt;0.005,$K291&lt;&gt;"",$K291&lt;TODAY()),TODAY()-$K291,0))</f>
        <v/>
      </c>
      <c r="W291" s="35" t="str">
        <f aca="false">IF($A291="","",IF(AND(OR($T291="Issued",$T291="Disputed"),$S291&gt;0.005),IF($V291&lt;=0,"Not yet due",IF($V291&lt;=30,"1 to 30 days",IF($V291&lt;=60,"31 to 60 days",IF($V291&lt;=90,"61 to 90 days","Over 90 days")))),""))</f>
        <v/>
      </c>
      <c r="X291" s="26"/>
      <c r="Y291" s="29"/>
      <c r="Z291" s="28"/>
      <c r="AA291" s="28"/>
    </row>
    <row r="292" customFormat="false" ht="15" hidden="false" customHeight="false" outlineLevel="0" collapsed="false">
      <c r="A292" s="26"/>
      <c r="B292" s="26"/>
      <c r="C292" s="27" t="str">
        <f aca="false">IF($B292="","",IFERROR(INDEX(Clients!$B$6:$B$105,MATCH($B292,Clients!$A$6:$A$105,0)),"Client not found"))</f>
        <v/>
      </c>
      <c r="D292" s="26"/>
      <c r="E292" s="26"/>
      <c r="F292" s="26"/>
      <c r="G292" s="26"/>
      <c r="H292" s="28"/>
      <c r="I292" s="29"/>
      <c r="J292" s="30" t="str">
        <f aca="false">IF($A292="","",IFERROR(IF(N(INDEX(Clients!$E$6:$E$105,MATCH($B292,Clients!$A$6:$A$105,0)))&gt;0,INDEX(Clients!$E$6:$E$105,MATCH($B292,Clients!$A$6:$A$105,0)),Dashboard!$B$6),Dashboard!$B$6))</f>
        <v/>
      </c>
      <c r="K292" s="31" t="str">
        <f aca="false">IF(OR($A292="",$I292=""),"",$I292+$J292)</f>
        <v/>
      </c>
      <c r="L292" s="26"/>
      <c r="M292" s="32"/>
      <c r="N292" s="33"/>
      <c r="O292" s="34" t="str">
        <f aca="false">IF($A292="","",N($M292)*N($N292))</f>
        <v/>
      </c>
      <c r="P292" s="34" t="str">
        <f aca="false">IF($A292="","",N($M292)+$O292)</f>
        <v/>
      </c>
      <c r="Q292" s="34" t="str">
        <f aca="false">IF($A292="","",SUMIFS('Credit Notes'!$F$6:$F$205,'Credit Notes'!$B$6:$B$205,$A292,'Credit Notes'!$H$6:$H$205,"Issued"))</f>
        <v/>
      </c>
      <c r="R292" s="34" t="str">
        <f aca="false">IF($A292="","",SUMIFS(Payments!$I$6:$I$505,Payments!$C$6:$C$505,$A292))</f>
        <v/>
      </c>
      <c r="S292" s="34" t="str">
        <f aca="false">IF($A292="","",IF($T292="Void",0,$P292-$Q292-$R292))</f>
        <v/>
      </c>
      <c r="T292" s="26"/>
      <c r="U292" s="35" t="str">
        <f aca="false">IF($A292="","",IF($T292="Void","Void",IF(OR($T292="",$T292="Draft"),"Draft",IF($T292="Disputed","Disputed",IF($S292&lt;-0.005,"Overpaid",IF($S292&lt;=0.005,"Paid",IF($R292+$Q292&gt;0.005,IF($V292&gt;0,"Part-paid, overdue","Part-paid"),IF($V292&gt;0,"Overdue","Outstanding"))))))))</f>
        <v/>
      </c>
      <c r="V292" s="36" t="str">
        <f aca="true">IF($A292="","",IF(AND(OR($T292="Issued",$T292="Disputed"),$S292&gt;0.005,$K292&lt;&gt;"",$K292&lt;TODAY()),TODAY()-$K292,0))</f>
        <v/>
      </c>
      <c r="W292" s="35" t="str">
        <f aca="false">IF($A292="","",IF(AND(OR($T292="Issued",$T292="Disputed"),$S292&gt;0.005),IF($V292&lt;=0,"Not yet due",IF($V292&lt;=30,"1 to 30 days",IF($V292&lt;=60,"31 to 60 days",IF($V292&lt;=90,"61 to 90 days","Over 90 days")))),""))</f>
        <v/>
      </c>
      <c r="X292" s="26"/>
      <c r="Y292" s="29"/>
      <c r="Z292" s="28"/>
      <c r="AA292" s="28"/>
    </row>
    <row r="293" customFormat="false" ht="15" hidden="false" customHeight="false" outlineLevel="0" collapsed="false">
      <c r="A293" s="26"/>
      <c r="B293" s="26"/>
      <c r="C293" s="27" t="str">
        <f aca="false">IF($B293="","",IFERROR(INDEX(Clients!$B$6:$B$105,MATCH($B293,Clients!$A$6:$A$105,0)),"Client not found"))</f>
        <v/>
      </c>
      <c r="D293" s="26"/>
      <c r="E293" s="26"/>
      <c r="F293" s="26"/>
      <c r="G293" s="26"/>
      <c r="H293" s="28"/>
      <c r="I293" s="29"/>
      <c r="J293" s="30" t="str">
        <f aca="false">IF($A293="","",IFERROR(IF(N(INDEX(Clients!$E$6:$E$105,MATCH($B293,Clients!$A$6:$A$105,0)))&gt;0,INDEX(Clients!$E$6:$E$105,MATCH($B293,Clients!$A$6:$A$105,0)),Dashboard!$B$6),Dashboard!$B$6))</f>
        <v/>
      </c>
      <c r="K293" s="31" t="str">
        <f aca="false">IF(OR($A293="",$I293=""),"",$I293+$J293)</f>
        <v/>
      </c>
      <c r="L293" s="26"/>
      <c r="M293" s="32"/>
      <c r="N293" s="33"/>
      <c r="O293" s="34" t="str">
        <f aca="false">IF($A293="","",N($M293)*N($N293))</f>
        <v/>
      </c>
      <c r="P293" s="34" t="str">
        <f aca="false">IF($A293="","",N($M293)+$O293)</f>
        <v/>
      </c>
      <c r="Q293" s="34" t="str">
        <f aca="false">IF($A293="","",SUMIFS('Credit Notes'!$F$6:$F$205,'Credit Notes'!$B$6:$B$205,$A293,'Credit Notes'!$H$6:$H$205,"Issued"))</f>
        <v/>
      </c>
      <c r="R293" s="34" t="str">
        <f aca="false">IF($A293="","",SUMIFS(Payments!$I$6:$I$505,Payments!$C$6:$C$505,$A293))</f>
        <v/>
      </c>
      <c r="S293" s="34" t="str">
        <f aca="false">IF($A293="","",IF($T293="Void",0,$P293-$Q293-$R293))</f>
        <v/>
      </c>
      <c r="T293" s="26"/>
      <c r="U293" s="35" t="str">
        <f aca="false">IF($A293="","",IF($T293="Void","Void",IF(OR($T293="",$T293="Draft"),"Draft",IF($T293="Disputed","Disputed",IF($S293&lt;-0.005,"Overpaid",IF($S293&lt;=0.005,"Paid",IF($R293+$Q293&gt;0.005,IF($V293&gt;0,"Part-paid, overdue","Part-paid"),IF($V293&gt;0,"Overdue","Outstanding"))))))))</f>
        <v/>
      </c>
      <c r="V293" s="36" t="str">
        <f aca="true">IF($A293="","",IF(AND(OR($T293="Issued",$T293="Disputed"),$S293&gt;0.005,$K293&lt;&gt;"",$K293&lt;TODAY()),TODAY()-$K293,0))</f>
        <v/>
      </c>
      <c r="W293" s="35" t="str">
        <f aca="false">IF($A293="","",IF(AND(OR($T293="Issued",$T293="Disputed"),$S293&gt;0.005),IF($V293&lt;=0,"Not yet due",IF($V293&lt;=30,"1 to 30 days",IF($V293&lt;=60,"31 to 60 days",IF($V293&lt;=90,"61 to 90 days","Over 90 days")))),""))</f>
        <v/>
      </c>
      <c r="X293" s="26"/>
      <c r="Y293" s="29"/>
      <c r="Z293" s="28"/>
      <c r="AA293" s="28"/>
    </row>
    <row r="294" customFormat="false" ht="15" hidden="false" customHeight="false" outlineLevel="0" collapsed="false">
      <c r="A294" s="26"/>
      <c r="B294" s="26"/>
      <c r="C294" s="27" t="str">
        <f aca="false">IF($B294="","",IFERROR(INDEX(Clients!$B$6:$B$105,MATCH($B294,Clients!$A$6:$A$105,0)),"Client not found"))</f>
        <v/>
      </c>
      <c r="D294" s="26"/>
      <c r="E294" s="26"/>
      <c r="F294" s="26"/>
      <c r="G294" s="26"/>
      <c r="H294" s="28"/>
      <c r="I294" s="29"/>
      <c r="J294" s="30" t="str">
        <f aca="false">IF($A294="","",IFERROR(IF(N(INDEX(Clients!$E$6:$E$105,MATCH($B294,Clients!$A$6:$A$105,0)))&gt;0,INDEX(Clients!$E$6:$E$105,MATCH($B294,Clients!$A$6:$A$105,0)),Dashboard!$B$6),Dashboard!$B$6))</f>
        <v/>
      </c>
      <c r="K294" s="31" t="str">
        <f aca="false">IF(OR($A294="",$I294=""),"",$I294+$J294)</f>
        <v/>
      </c>
      <c r="L294" s="26"/>
      <c r="M294" s="32"/>
      <c r="N294" s="33"/>
      <c r="O294" s="34" t="str">
        <f aca="false">IF($A294="","",N($M294)*N($N294))</f>
        <v/>
      </c>
      <c r="P294" s="34" t="str">
        <f aca="false">IF($A294="","",N($M294)+$O294)</f>
        <v/>
      </c>
      <c r="Q294" s="34" t="str">
        <f aca="false">IF($A294="","",SUMIFS('Credit Notes'!$F$6:$F$205,'Credit Notes'!$B$6:$B$205,$A294,'Credit Notes'!$H$6:$H$205,"Issued"))</f>
        <v/>
      </c>
      <c r="R294" s="34" t="str">
        <f aca="false">IF($A294="","",SUMIFS(Payments!$I$6:$I$505,Payments!$C$6:$C$505,$A294))</f>
        <v/>
      </c>
      <c r="S294" s="34" t="str">
        <f aca="false">IF($A294="","",IF($T294="Void",0,$P294-$Q294-$R294))</f>
        <v/>
      </c>
      <c r="T294" s="26"/>
      <c r="U294" s="35" t="str">
        <f aca="false">IF($A294="","",IF($T294="Void","Void",IF(OR($T294="",$T294="Draft"),"Draft",IF($T294="Disputed","Disputed",IF($S294&lt;-0.005,"Overpaid",IF($S294&lt;=0.005,"Paid",IF($R294+$Q294&gt;0.005,IF($V294&gt;0,"Part-paid, overdue","Part-paid"),IF($V294&gt;0,"Overdue","Outstanding"))))))))</f>
        <v/>
      </c>
      <c r="V294" s="36" t="str">
        <f aca="true">IF($A294="","",IF(AND(OR($T294="Issued",$T294="Disputed"),$S294&gt;0.005,$K294&lt;&gt;"",$K294&lt;TODAY()),TODAY()-$K294,0))</f>
        <v/>
      </c>
      <c r="W294" s="35" t="str">
        <f aca="false">IF($A294="","",IF(AND(OR($T294="Issued",$T294="Disputed"),$S294&gt;0.005),IF($V294&lt;=0,"Not yet due",IF($V294&lt;=30,"1 to 30 days",IF($V294&lt;=60,"31 to 60 days",IF($V294&lt;=90,"61 to 90 days","Over 90 days")))),""))</f>
        <v/>
      </c>
      <c r="X294" s="26"/>
      <c r="Y294" s="29"/>
      <c r="Z294" s="28"/>
      <c r="AA294" s="28"/>
    </row>
    <row r="295" customFormat="false" ht="15" hidden="false" customHeight="false" outlineLevel="0" collapsed="false">
      <c r="A295" s="26"/>
      <c r="B295" s="26"/>
      <c r="C295" s="27" t="str">
        <f aca="false">IF($B295="","",IFERROR(INDEX(Clients!$B$6:$B$105,MATCH($B295,Clients!$A$6:$A$105,0)),"Client not found"))</f>
        <v/>
      </c>
      <c r="D295" s="26"/>
      <c r="E295" s="26"/>
      <c r="F295" s="26"/>
      <c r="G295" s="26"/>
      <c r="H295" s="28"/>
      <c r="I295" s="29"/>
      <c r="J295" s="30" t="str">
        <f aca="false">IF($A295="","",IFERROR(IF(N(INDEX(Clients!$E$6:$E$105,MATCH($B295,Clients!$A$6:$A$105,0)))&gt;0,INDEX(Clients!$E$6:$E$105,MATCH($B295,Clients!$A$6:$A$105,0)),Dashboard!$B$6),Dashboard!$B$6))</f>
        <v/>
      </c>
      <c r="K295" s="31" t="str">
        <f aca="false">IF(OR($A295="",$I295=""),"",$I295+$J295)</f>
        <v/>
      </c>
      <c r="L295" s="26"/>
      <c r="M295" s="32"/>
      <c r="N295" s="33"/>
      <c r="O295" s="34" t="str">
        <f aca="false">IF($A295="","",N($M295)*N($N295))</f>
        <v/>
      </c>
      <c r="P295" s="34" t="str">
        <f aca="false">IF($A295="","",N($M295)+$O295)</f>
        <v/>
      </c>
      <c r="Q295" s="34" t="str">
        <f aca="false">IF($A295="","",SUMIFS('Credit Notes'!$F$6:$F$205,'Credit Notes'!$B$6:$B$205,$A295,'Credit Notes'!$H$6:$H$205,"Issued"))</f>
        <v/>
      </c>
      <c r="R295" s="34" t="str">
        <f aca="false">IF($A295="","",SUMIFS(Payments!$I$6:$I$505,Payments!$C$6:$C$505,$A295))</f>
        <v/>
      </c>
      <c r="S295" s="34" t="str">
        <f aca="false">IF($A295="","",IF($T295="Void",0,$P295-$Q295-$R295))</f>
        <v/>
      </c>
      <c r="T295" s="26"/>
      <c r="U295" s="35" t="str">
        <f aca="false">IF($A295="","",IF($T295="Void","Void",IF(OR($T295="",$T295="Draft"),"Draft",IF($T295="Disputed","Disputed",IF($S295&lt;-0.005,"Overpaid",IF($S295&lt;=0.005,"Paid",IF($R295+$Q295&gt;0.005,IF($V295&gt;0,"Part-paid, overdue","Part-paid"),IF($V295&gt;0,"Overdue","Outstanding"))))))))</f>
        <v/>
      </c>
      <c r="V295" s="36" t="str">
        <f aca="true">IF($A295="","",IF(AND(OR($T295="Issued",$T295="Disputed"),$S295&gt;0.005,$K295&lt;&gt;"",$K295&lt;TODAY()),TODAY()-$K295,0))</f>
        <v/>
      </c>
      <c r="W295" s="35" t="str">
        <f aca="false">IF($A295="","",IF(AND(OR($T295="Issued",$T295="Disputed"),$S295&gt;0.005),IF($V295&lt;=0,"Not yet due",IF($V295&lt;=30,"1 to 30 days",IF($V295&lt;=60,"31 to 60 days",IF($V295&lt;=90,"61 to 90 days","Over 90 days")))),""))</f>
        <v/>
      </c>
      <c r="X295" s="26"/>
      <c r="Y295" s="29"/>
      <c r="Z295" s="28"/>
      <c r="AA295" s="28"/>
    </row>
    <row r="296" customFormat="false" ht="15" hidden="false" customHeight="false" outlineLevel="0" collapsed="false">
      <c r="A296" s="26"/>
      <c r="B296" s="26"/>
      <c r="C296" s="27" t="str">
        <f aca="false">IF($B296="","",IFERROR(INDEX(Clients!$B$6:$B$105,MATCH($B296,Clients!$A$6:$A$105,0)),"Client not found"))</f>
        <v/>
      </c>
      <c r="D296" s="26"/>
      <c r="E296" s="26"/>
      <c r="F296" s="26"/>
      <c r="G296" s="26"/>
      <c r="H296" s="28"/>
      <c r="I296" s="29"/>
      <c r="J296" s="30" t="str">
        <f aca="false">IF($A296="","",IFERROR(IF(N(INDEX(Clients!$E$6:$E$105,MATCH($B296,Clients!$A$6:$A$105,0)))&gt;0,INDEX(Clients!$E$6:$E$105,MATCH($B296,Clients!$A$6:$A$105,0)),Dashboard!$B$6),Dashboard!$B$6))</f>
        <v/>
      </c>
      <c r="K296" s="31" t="str">
        <f aca="false">IF(OR($A296="",$I296=""),"",$I296+$J296)</f>
        <v/>
      </c>
      <c r="L296" s="26"/>
      <c r="M296" s="32"/>
      <c r="N296" s="33"/>
      <c r="O296" s="34" t="str">
        <f aca="false">IF($A296="","",N($M296)*N($N296))</f>
        <v/>
      </c>
      <c r="P296" s="34" t="str">
        <f aca="false">IF($A296="","",N($M296)+$O296)</f>
        <v/>
      </c>
      <c r="Q296" s="34" t="str">
        <f aca="false">IF($A296="","",SUMIFS('Credit Notes'!$F$6:$F$205,'Credit Notes'!$B$6:$B$205,$A296,'Credit Notes'!$H$6:$H$205,"Issued"))</f>
        <v/>
      </c>
      <c r="R296" s="34" t="str">
        <f aca="false">IF($A296="","",SUMIFS(Payments!$I$6:$I$505,Payments!$C$6:$C$505,$A296))</f>
        <v/>
      </c>
      <c r="S296" s="34" t="str">
        <f aca="false">IF($A296="","",IF($T296="Void",0,$P296-$Q296-$R296))</f>
        <v/>
      </c>
      <c r="T296" s="26"/>
      <c r="U296" s="35" t="str">
        <f aca="false">IF($A296="","",IF($T296="Void","Void",IF(OR($T296="",$T296="Draft"),"Draft",IF($T296="Disputed","Disputed",IF($S296&lt;-0.005,"Overpaid",IF($S296&lt;=0.005,"Paid",IF($R296+$Q296&gt;0.005,IF($V296&gt;0,"Part-paid, overdue","Part-paid"),IF($V296&gt;0,"Overdue","Outstanding"))))))))</f>
        <v/>
      </c>
      <c r="V296" s="36" t="str">
        <f aca="true">IF($A296="","",IF(AND(OR($T296="Issued",$T296="Disputed"),$S296&gt;0.005,$K296&lt;&gt;"",$K296&lt;TODAY()),TODAY()-$K296,0))</f>
        <v/>
      </c>
      <c r="W296" s="35" t="str">
        <f aca="false">IF($A296="","",IF(AND(OR($T296="Issued",$T296="Disputed"),$S296&gt;0.005),IF($V296&lt;=0,"Not yet due",IF($V296&lt;=30,"1 to 30 days",IF($V296&lt;=60,"31 to 60 days",IF($V296&lt;=90,"61 to 90 days","Over 90 days")))),""))</f>
        <v/>
      </c>
      <c r="X296" s="26"/>
      <c r="Y296" s="29"/>
      <c r="Z296" s="28"/>
      <c r="AA296" s="28"/>
    </row>
    <row r="297" customFormat="false" ht="15" hidden="false" customHeight="false" outlineLevel="0" collapsed="false">
      <c r="A297" s="26"/>
      <c r="B297" s="26"/>
      <c r="C297" s="27" t="str">
        <f aca="false">IF($B297="","",IFERROR(INDEX(Clients!$B$6:$B$105,MATCH($B297,Clients!$A$6:$A$105,0)),"Client not found"))</f>
        <v/>
      </c>
      <c r="D297" s="26"/>
      <c r="E297" s="26"/>
      <c r="F297" s="26"/>
      <c r="G297" s="26"/>
      <c r="H297" s="28"/>
      <c r="I297" s="29"/>
      <c r="J297" s="30" t="str">
        <f aca="false">IF($A297="","",IFERROR(IF(N(INDEX(Clients!$E$6:$E$105,MATCH($B297,Clients!$A$6:$A$105,0)))&gt;0,INDEX(Clients!$E$6:$E$105,MATCH($B297,Clients!$A$6:$A$105,0)),Dashboard!$B$6),Dashboard!$B$6))</f>
        <v/>
      </c>
      <c r="K297" s="31" t="str">
        <f aca="false">IF(OR($A297="",$I297=""),"",$I297+$J297)</f>
        <v/>
      </c>
      <c r="L297" s="26"/>
      <c r="M297" s="32"/>
      <c r="N297" s="33"/>
      <c r="O297" s="34" t="str">
        <f aca="false">IF($A297="","",N($M297)*N($N297))</f>
        <v/>
      </c>
      <c r="P297" s="34" t="str">
        <f aca="false">IF($A297="","",N($M297)+$O297)</f>
        <v/>
      </c>
      <c r="Q297" s="34" t="str">
        <f aca="false">IF($A297="","",SUMIFS('Credit Notes'!$F$6:$F$205,'Credit Notes'!$B$6:$B$205,$A297,'Credit Notes'!$H$6:$H$205,"Issued"))</f>
        <v/>
      </c>
      <c r="R297" s="34" t="str">
        <f aca="false">IF($A297="","",SUMIFS(Payments!$I$6:$I$505,Payments!$C$6:$C$505,$A297))</f>
        <v/>
      </c>
      <c r="S297" s="34" t="str">
        <f aca="false">IF($A297="","",IF($T297="Void",0,$P297-$Q297-$R297))</f>
        <v/>
      </c>
      <c r="T297" s="26"/>
      <c r="U297" s="35" t="str">
        <f aca="false">IF($A297="","",IF($T297="Void","Void",IF(OR($T297="",$T297="Draft"),"Draft",IF($T297="Disputed","Disputed",IF($S297&lt;-0.005,"Overpaid",IF($S297&lt;=0.005,"Paid",IF($R297+$Q297&gt;0.005,IF($V297&gt;0,"Part-paid, overdue","Part-paid"),IF($V297&gt;0,"Overdue","Outstanding"))))))))</f>
        <v/>
      </c>
      <c r="V297" s="36" t="str">
        <f aca="true">IF($A297="","",IF(AND(OR($T297="Issued",$T297="Disputed"),$S297&gt;0.005,$K297&lt;&gt;"",$K297&lt;TODAY()),TODAY()-$K297,0))</f>
        <v/>
      </c>
      <c r="W297" s="35" t="str">
        <f aca="false">IF($A297="","",IF(AND(OR($T297="Issued",$T297="Disputed"),$S297&gt;0.005),IF($V297&lt;=0,"Not yet due",IF($V297&lt;=30,"1 to 30 days",IF($V297&lt;=60,"31 to 60 days",IF($V297&lt;=90,"61 to 90 days","Over 90 days")))),""))</f>
        <v/>
      </c>
      <c r="X297" s="26"/>
      <c r="Y297" s="29"/>
      <c r="Z297" s="28"/>
      <c r="AA297" s="28"/>
    </row>
    <row r="298" customFormat="false" ht="15" hidden="false" customHeight="false" outlineLevel="0" collapsed="false">
      <c r="A298" s="26"/>
      <c r="B298" s="26"/>
      <c r="C298" s="27" t="str">
        <f aca="false">IF($B298="","",IFERROR(INDEX(Clients!$B$6:$B$105,MATCH($B298,Clients!$A$6:$A$105,0)),"Client not found"))</f>
        <v/>
      </c>
      <c r="D298" s="26"/>
      <c r="E298" s="26"/>
      <c r="F298" s="26"/>
      <c r="G298" s="26"/>
      <c r="H298" s="28"/>
      <c r="I298" s="29"/>
      <c r="J298" s="30" t="str">
        <f aca="false">IF($A298="","",IFERROR(IF(N(INDEX(Clients!$E$6:$E$105,MATCH($B298,Clients!$A$6:$A$105,0)))&gt;0,INDEX(Clients!$E$6:$E$105,MATCH($B298,Clients!$A$6:$A$105,0)),Dashboard!$B$6),Dashboard!$B$6))</f>
        <v/>
      </c>
      <c r="K298" s="31" t="str">
        <f aca="false">IF(OR($A298="",$I298=""),"",$I298+$J298)</f>
        <v/>
      </c>
      <c r="L298" s="26"/>
      <c r="M298" s="32"/>
      <c r="N298" s="33"/>
      <c r="O298" s="34" t="str">
        <f aca="false">IF($A298="","",N($M298)*N($N298))</f>
        <v/>
      </c>
      <c r="P298" s="34" t="str">
        <f aca="false">IF($A298="","",N($M298)+$O298)</f>
        <v/>
      </c>
      <c r="Q298" s="34" t="str">
        <f aca="false">IF($A298="","",SUMIFS('Credit Notes'!$F$6:$F$205,'Credit Notes'!$B$6:$B$205,$A298,'Credit Notes'!$H$6:$H$205,"Issued"))</f>
        <v/>
      </c>
      <c r="R298" s="34" t="str">
        <f aca="false">IF($A298="","",SUMIFS(Payments!$I$6:$I$505,Payments!$C$6:$C$505,$A298))</f>
        <v/>
      </c>
      <c r="S298" s="34" t="str">
        <f aca="false">IF($A298="","",IF($T298="Void",0,$P298-$Q298-$R298))</f>
        <v/>
      </c>
      <c r="T298" s="26"/>
      <c r="U298" s="35" t="str">
        <f aca="false">IF($A298="","",IF($T298="Void","Void",IF(OR($T298="",$T298="Draft"),"Draft",IF($T298="Disputed","Disputed",IF($S298&lt;-0.005,"Overpaid",IF($S298&lt;=0.005,"Paid",IF($R298+$Q298&gt;0.005,IF($V298&gt;0,"Part-paid, overdue","Part-paid"),IF($V298&gt;0,"Overdue","Outstanding"))))))))</f>
        <v/>
      </c>
      <c r="V298" s="36" t="str">
        <f aca="true">IF($A298="","",IF(AND(OR($T298="Issued",$T298="Disputed"),$S298&gt;0.005,$K298&lt;&gt;"",$K298&lt;TODAY()),TODAY()-$K298,0))</f>
        <v/>
      </c>
      <c r="W298" s="35" t="str">
        <f aca="false">IF($A298="","",IF(AND(OR($T298="Issued",$T298="Disputed"),$S298&gt;0.005),IF($V298&lt;=0,"Not yet due",IF($V298&lt;=30,"1 to 30 days",IF($V298&lt;=60,"31 to 60 days",IF($V298&lt;=90,"61 to 90 days","Over 90 days")))),""))</f>
        <v/>
      </c>
      <c r="X298" s="26"/>
      <c r="Y298" s="29"/>
      <c r="Z298" s="28"/>
      <c r="AA298" s="28"/>
    </row>
    <row r="299" customFormat="false" ht="15" hidden="false" customHeight="false" outlineLevel="0" collapsed="false">
      <c r="A299" s="26"/>
      <c r="B299" s="26"/>
      <c r="C299" s="27" t="str">
        <f aca="false">IF($B299="","",IFERROR(INDEX(Clients!$B$6:$B$105,MATCH($B299,Clients!$A$6:$A$105,0)),"Client not found"))</f>
        <v/>
      </c>
      <c r="D299" s="26"/>
      <c r="E299" s="26"/>
      <c r="F299" s="26"/>
      <c r="G299" s="26"/>
      <c r="H299" s="28"/>
      <c r="I299" s="29"/>
      <c r="J299" s="30" t="str">
        <f aca="false">IF($A299="","",IFERROR(IF(N(INDEX(Clients!$E$6:$E$105,MATCH($B299,Clients!$A$6:$A$105,0)))&gt;0,INDEX(Clients!$E$6:$E$105,MATCH($B299,Clients!$A$6:$A$105,0)),Dashboard!$B$6),Dashboard!$B$6))</f>
        <v/>
      </c>
      <c r="K299" s="31" t="str">
        <f aca="false">IF(OR($A299="",$I299=""),"",$I299+$J299)</f>
        <v/>
      </c>
      <c r="L299" s="26"/>
      <c r="M299" s="32"/>
      <c r="N299" s="33"/>
      <c r="O299" s="34" t="str">
        <f aca="false">IF($A299="","",N($M299)*N($N299))</f>
        <v/>
      </c>
      <c r="P299" s="34" t="str">
        <f aca="false">IF($A299="","",N($M299)+$O299)</f>
        <v/>
      </c>
      <c r="Q299" s="34" t="str">
        <f aca="false">IF($A299="","",SUMIFS('Credit Notes'!$F$6:$F$205,'Credit Notes'!$B$6:$B$205,$A299,'Credit Notes'!$H$6:$H$205,"Issued"))</f>
        <v/>
      </c>
      <c r="R299" s="34" t="str">
        <f aca="false">IF($A299="","",SUMIFS(Payments!$I$6:$I$505,Payments!$C$6:$C$505,$A299))</f>
        <v/>
      </c>
      <c r="S299" s="34" t="str">
        <f aca="false">IF($A299="","",IF($T299="Void",0,$P299-$Q299-$R299))</f>
        <v/>
      </c>
      <c r="T299" s="26"/>
      <c r="U299" s="35" t="str">
        <f aca="false">IF($A299="","",IF($T299="Void","Void",IF(OR($T299="",$T299="Draft"),"Draft",IF($T299="Disputed","Disputed",IF($S299&lt;-0.005,"Overpaid",IF($S299&lt;=0.005,"Paid",IF($R299+$Q299&gt;0.005,IF($V299&gt;0,"Part-paid, overdue","Part-paid"),IF($V299&gt;0,"Overdue","Outstanding"))))))))</f>
        <v/>
      </c>
      <c r="V299" s="36" t="str">
        <f aca="true">IF($A299="","",IF(AND(OR($T299="Issued",$T299="Disputed"),$S299&gt;0.005,$K299&lt;&gt;"",$K299&lt;TODAY()),TODAY()-$K299,0))</f>
        <v/>
      </c>
      <c r="W299" s="35" t="str">
        <f aca="false">IF($A299="","",IF(AND(OR($T299="Issued",$T299="Disputed"),$S299&gt;0.005),IF($V299&lt;=0,"Not yet due",IF($V299&lt;=30,"1 to 30 days",IF($V299&lt;=60,"31 to 60 days",IF($V299&lt;=90,"61 to 90 days","Over 90 days")))),""))</f>
        <v/>
      </c>
      <c r="X299" s="26"/>
      <c r="Y299" s="29"/>
      <c r="Z299" s="28"/>
      <c r="AA299" s="28"/>
    </row>
    <row r="300" customFormat="false" ht="15" hidden="false" customHeight="false" outlineLevel="0" collapsed="false">
      <c r="A300" s="26"/>
      <c r="B300" s="26"/>
      <c r="C300" s="27" t="str">
        <f aca="false">IF($B300="","",IFERROR(INDEX(Clients!$B$6:$B$105,MATCH($B300,Clients!$A$6:$A$105,0)),"Client not found"))</f>
        <v/>
      </c>
      <c r="D300" s="26"/>
      <c r="E300" s="26"/>
      <c r="F300" s="26"/>
      <c r="G300" s="26"/>
      <c r="H300" s="28"/>
      <c r="I300" s="29"/>
      <c r="J300" s="30" t="str">
        <f aca="false">IF($A300="","",IFERROR(IF(N(INDEX(Clients!$E$6:$E$105,MATCH($B300,Clients!$A$6:$A$105,0)))&gt;0,INDEX(Clients!$E$6:$E$105,MATCH($B300,Clients!$A$6:$A$105,0)),Dashboard!$B$6),Dashboard!$B$6))</f>
        <v/>
      </c>
      <c r="K300" s="31" t="str">
        <f aca="false">IF(OR($A300="",$I300=""),"",$I300+$J300)</f>
        <v/>
      </c>
      <c r="L300" s="26"/>
      <c r="M300" s="32"/>
      <c r="N300" s="33"/>
      <c r="O300" s="34" t="str">
        <f aca="false">IF($A300="","",N($M300)*N($N300))</f>
        <v/>
      </c>
      <c r="P300" s="34" t="str">
        <f aca="false">IF($A300="","",N($M300)+$O300)</f>
        <v/>
      </c>
      <c r="Q300" s="34" t="str">
        <f aca="false">IF($A300="","",SUMIFS('Credit Notes'!$F$6:$F$205,'Credit Notes'!$B$6:$B$205,$A300,'Credit Notes'!$H$6:$H$205,"Issued"))</f>
        <v/>
      </c>
      <c r="R300" s="34" t="str">
        <f aca="false">IF($A300="","",SUMIFS(Payments!$I$6:$I$505,Payments!$C$6:$C$505,$A300))</f>
        <v/>
      </c>
      <c r="S300" s="34" t="str">
        <f aca="false">IF($A300="","",IF($T300="Void",0,$P300-$Q300-$R300))</f>
        <v/>
      </c>
      <c r="T300" s="26"/>
      <c r="U300" s="35" t="str">
        <f aca="false">IF($A300="","",IF($T300="Void","Void",IF(OR($T300="",$T300="Draft"),"Draft",IF($T300="Disputed","Disputed",IF($S300&lt;-0.005,"Overpaid",IF($S300&lt;=0.005,"Paid",IF($R300+$Q300&gt;0.005,IF($V300&gt;0,"Part-paid, overdue","Part-paid"),IF($V300&gt;0,"Overdue","Outstanding"))))))))</f>
        <v/>
      </c>
      <c r="V300" s="36" t="str">
        <f aca="true">IF($A300="","",IF(AND(OR($T300="Issued",$T300="Disputed"),$S300&gt;0.005,$K300&lt;&gt;"",$K300&lt;TODAY()),TODAY()-$K300,0))</f>
        <v/>
      </c>
      <c r="W300" s="35" t="str">
        <f aca="false">IF($A300="","",IF(AND(OR($T300="Issued",$T300="Disputed"),$S300&gt;0.005),IF($V300&lt;=0,"Not yet due",IF($V300&lt;=30,"1 to 30 days",IF($V300&lt;=60,"31 to 60 days",IF($V300&lt;=90,"61 to 90 days","Over 90 days")))),""))</f>
        <v/>
      </c>
      <c r="X300" s="26"/>
      <c r="Y300" s="29"/>
      <c r="Z300" s="28"/>
      <c r="AA300" s="28"/>
    </row>
    <row r="301" customFormat="false" ht="15" hidden="false" customHeight="false" outlineLevel="0" collapsed="false">
      <c r="A301" s="26"/>
      <c r="B301" s="26"/>
      <c r="C301" s="27" t="str">
        <f aca="false">IF($B301="","",IFERROR(INDEX(Clients!$B$6:$B$105,MATCH($B301,Clients!$A$6:$A$105,0)),"Client not found"))</f>
        <v/>
      </c>
      <c r="D301" s="26"/>
      <c r="E301" s="26"/>
      <c r="F301" s="26"/>
      <c r="G301" s="26"/>
      <c r="H301" s="28"/>
      <c r="I301" s="29"/>
      <c r="J301" s="30" t="str">
        <f aca="false">IF($A301="","",IFERROR(IF(N(INDEX(Clients!$E$6:$E$105,MATCH($B301,Clients!$A$6:$A$105,0)))&gt;0,INDEX(Clients!$E$6:$E$105,MATCH($B301,Clients!$A$6:$A$105,0)),Dashboard!$B$6),Dashboard!$B$6))</f>
        <v/>
      </c>
      <c r="K301" s="31" t="str">
        <f aca="false">IF(OR($A301="",$I301=""),"",$I301+$J301)</f>
        <v/>
      </c>
      <c r="L301" s="26"/>
      <c r="M301" s="32"/>
      <c r="N301" s="33"/>
      <c r="O301" s="34" t="str">
        <f aca="false">IF($A301="","",N($M301)*N($N301))</f>
        <v/>
      </c>
      <c r="P301" s="34" t="str">
        <f aca="false">IF($A301="","",N($M301)+$O301)</f>
        <v/>
      </c>
      <c r="Q301" s="34" t="str">
        <f aca="false">IF($A301="","",SUMIFS('Credit Notes'!$F$6:$F$205,'Credit Notes'!$B$6:$B$205,$A301,'Credit Notes'!$H$6:$H$205,"Issued"))</f>
        <v/>
      </c>
      <c r="R301" s="34" t="str">
        <f aca="false">IF($A301="","",SUMIFS(Payments!$I$6:$I$505,Payments!$C$6:$C$505,$A301))</f>
        <v/>
      </c>
      <c r="S301" s="34" t="str">
        <f aca="false">IF($A301="","",IF($T301="Void",0,$P301-$Q301-$R301))</f>
        <v/>
      </c>
      <c r="T301" s="26"/>
      <c r="U301" s="35" t="str">
        <f aca="false">IF($A301="","",IF($T301="Void","Void",IF(OR($T301="",$T301="Draft"),"Draft",IF($T301="Disputed","Disputed",IF($S301&lt;-0.005,"Overpaid",IF($S301&lt;=0.005,"Paid",IF($R301+$Q301&gt;0.005,IF($V301&gt;0,"Part-paid, overdue","Part-paid"),IF($V301&gt;0,"Overdue","Outstanding"))))))))</f>
        <v/>
      </c>
      <c r="V301" s="36" t="str">
        <f aca="true">IF($A301="","",IF(AND(OR($T301="Issued",$T301="Disputed"),$S301&gt;0.005,$K301&lt;&gt;"",$K301&lt;TODAY()),TODAY()-$K301,0))</f>
        <v/>
      </c>
      <c r="W301" s="35" t="str">
        <f aca="false">IF($A301="","",IF(AND(OR($T301="Issued",$T301="Disputed"),$S301&gt;0.005),IF($V301&lt;=0,"Not yet due",IF($V301&lt;=30,"1 to 30 days",IF($V301&lt;=60,"31 to 60 days",IF($V301&lt;=90,"61 to 90 days","Over 90 days")))),""))</f>
        <v/>
      </c>
      <c r="X301" s="26"/>
      <c r="Y301" s="29"/>
      <c r="Z301" s="28"/>
      <c r="AA301" s="28"/>
    </row>
    <row r="302" customFormat="false" ht="15" hidden="false" customHeight="false" outlineLevel="0" collapsed="false">
      <c r="A302" s="26"/>
      <c r="B302" s="26"/>
      <c r="C302" s="27" t="str">
        <f aca="false">IF($B302="","",IFERROR(INDEX(Clients!$B$6:$B$105,MATCH($B302,Clients!$A$6:$A$105,0)),"Client not found"))</f>
        <v/>
      </c>
      <c r="D302" s="26"/>
      <c r="E302" s="26"/>
      <c r="F302" s="26"/>
      <c r="G302" s="26"/>
      <c r="H302" s="28"/>
      <c r="I302" s="29"/>
      <c r="J302" s="30" t="str">
        <f aca="false">IF($A302="","",IFERROR(IF(N(INDEX(Clients!$E$6:$E$105,MATCH($B302,Clients!$A$6:$A$105,0)))&gt;0,INDEX(Clients!$E$6:$E$105,MATCH($B302,Clients!$A$6:$A$105,0)),Dashboard!$B$6),Dashboard!$B$6))</f>
        <v/>
      </c>
      <c r="K302" s="31" t="str">
        <f aca="false">IF(OR($A302="",$I302=""),"",$I302+$J302)</f>
        <v/>
      </c>
      <c r="L302" s="26"/>
      <c r="M302" s="32"/>
      <c r="N302" s="33"/>
      <c r="O302" s="34" t="str">
        <f aca="false">IF($A302="","",N($M302)*N($N302))</f>
        <v/>
      </c>
      <c r="P302" s="34" t="str">
        <f aca="false">IF($A302="","",N($M302)+$O302)</f>
        <v/>
      </c>
      <c r="Q302" s="34" t="str">
        <f aca="false">IF($A302="","",SUMIFS('Credit Notes'!$F$6:$F$205,'Credit Notes'!$B$6:$B$205,$A302,'Credit Notes'!$H$6:$H$205,"Issued"))</f>
        <v/>
      </c>
      <c r="R302" s="34" t="str">
        <f aca="false">IF($A302="","",SUMIFS(Payments!$I$6:$I$505,Payments!$C$6:$C$505,$A302))</f>
        <v/>
      </c>
      <c r="S302" s="34" t="str">
        <f aca="false">IF($A302="","",IF($T302="Void",0,$P302-$Q302-$R302))</f>
        <v/>
      </c>
      <c r="T302" s="26"/>
      <c r="U302" s="35" t="str">
        <f aca="false">IF($A302="","",IF($T302="Void","Void",IF(OR($T302="",$T302="Draft"),"Draft",IF($T302="Disputed","Disputed",IF($S302&lt;-0.005,"Overpaid",IF($S302&lt;=0.005,"Paid",IF($R302+$Q302&gt;0.005,IF($V302&gt;0,"Part-paid, overdue","Part-paid"),IF($V302&gt;0,"Overdue","Outstanding"))))))))</f>
        <v/>
      </c>
      <c r="V302" s="36" t="str">
        <f aca="true">IF($A302="","",IF(AND(OR($T302="Issued",$T302="Disputed"),$S302&gt;0.005,$K302&lt;&gt;"",$K302&lt;TODAY()),TODAY()-$K302,0))</f>
        <v/>
      </c>
      <c r="W302" s="35" t="str">
        <f aca="false">IF($A302="","",IF(AND(OR($T302="Issued",$T302="Disputed"),$S302&gt;0.005),IF($V302&lt;=0,"Not yet due",IF($V302&lt;=30,"1 to 30 days",IF($V302&lt;=60,"31 to 60 days",IF($V302&lt;=90,"61 to 90 days","Over 90 days")))),""))</f>
        <v/>
      </c>
      <c r="X302" s="26"/>
      <c r="Y302" s="29"/>
      <c r="Z302" s="28"/>
      <c r="AA302" s="28"/>
    </row>
    <row r="303" customFormat="false" ht="15" hidden="false" customHeight="false" outlineLevel="0" collapsed="false">
      <c r="A303" s="26"/>
      <c r="B303" s="26"/>
      <c r="C303" s="27" t="str">
        <f aca="false">IF($B303="","",IFERROR(INDEX(Clients!$B$6:$B$105,MATCH($B303,Clients!$A$6:$A$105,0)),"Client not found"))</f>
        <v/>
      </c>
      <c r="D303" s="26"/>
      <c r="E303" s="26"/>
      <c r="F303" s="26"/>
      <c r="G303" s="26"/>
      <c r="H303" s="28"/>
      <c r="I303" s="29"/>
      <c r="J303" s="30" t="str">
        <f aca="false">IF($A303="","",IFERROR(IF(N(INDEX(Clients!$E$6:$E$105,MATCH($B303,Clients!$A$6:$A$105,0)))&gt;0,INDEX(Clients!$E$6:$E$105,MATCH($B303,Clients!$A$6:$A$105,0)),Dashboard!$B$6),Dashboard!$B$6))</f>
        <v/>
      </c>
      <c r="K303" s="31" t="str">
        <f aca="false">IF(OR($A303="",$I303=""),"",$I303+$J303)</f>
        <v/>
      </c>
      <c r="L303" s="26"/>
      <c r="M303" s="32"/>
      <c r="N303" s="33"/>
      <c r="O303" s="34" t="str">
        <f aca="false">IF($A303="","",N($M303)*N($N303))</f>
        <v/>
      </c>
      <c r="P303" s="34" t="str">
        <f aca="false">IF($A303="","",N($M303)+$O303)</f>
        <v/>
      </c>
      <c r="Q303" s="34" t="str">
        <f aca="false">IF($A303="","",SUMIFS('Credit Notes'!$F$6:$F$205,'Credit Notes'!$B$6:$B$205,$A303,'Credit Notes'!$H$6:$H$205,"Issued"))</f>
        <v/>
      </c>
      <c r="R303" s="34" t="str">
        <f aca="false">IF($A303="","",SUMIFS(Payments!$I$6:$I$505,Payments!$C$6:$C$505,$A303))</f>
        <v/>
      </c>
      <c r="S303" s="34" t="str">
        <f aca="false">IF($A303="","",IF($T303="Void",0,$P303-$Q303-$R303))</f>
        <v/>
      </c>
      <c r="T303" s="26"/>
      <c r="U303" s="35" t="str">
        <f aca="false">IF($A303="","",IF($T303="Void","Void",IF(OR($T303="",$T303="Draft"),"Draft",IF($T303="Disputed","Disputed",IF($S303&lt;-0.005,"Overpaid",IF($S303&lt;=0.005,"Paid",IF($R303+$Q303&gt;0.005,IF($V303&gt;0,"Part-paid, overdue","Part-paid"),IF($V303&gt;0,"Overdue","Outstanding"))))))))</f>
        <v/>
      </c>
      <c r="V303" s="36" t="str">
        <f aca="true">IF($A303="","",IF(AND(OR($T303="Issued",$T303="Disputed"),$S303&gt;0.005,$K303&lt;&gt;"",$K303&lt;TODAY()),TODAY()-$K303,0))</f>
        <v/>
      </c>
      <c r="W303" s="35" t="str">
        <f aca="false">IF($A303="","",IF(AND(OR($T303="Issued",$T303="Disputed"),$S303&gt;0.005),IF($V303&lt;=0,"Not yet due",IF($V303&lt;=30,"1 to 30 days",IF($V303&lt;=60,"31 to 60 days",IF($V303&lt;=90,"61 to 90 days","Over 90 days")))),""))</f>
        <v/>
      </c>
      <c r="X303" s="26"/>
      <c r="Y303" s="29"/>
      <c r="Z303" s="28"/>
      <c r="AA303" s="28"/>
    </row>
    <row r="304" customFormat="false" ht="15" hidden="false" customHeight="false" outlineLevel="0" collapsed="false">
      <c r="A304" s="26"/>
      <c r="B304" s="26"/>
      <c r="C304" s="27" t="str">
        <f aca="false">IF($B304="","",IFERROR(INDEX(Clients!$B$6:$B$105,MATCH($B304,Clients!$A$6:$A$105,0)),"Client not found"))</f>
        <v/>
      </c>
      <c r="D304" s="26"/>
      <c r="E304" s="26"/>
      <c r="F304" s="26"/>
      <c r="G304" s="26"/>
      <c r="H304" s="28"/>
      <c r="I304" s="29"/>
      <c r="J304" s="30" t="str">
        <f aca="false">IF($A304="","",IFERROR(IF(N(INDEX(Clients!$E$6:$E$105,MATCH($B304,Clients!$A$6:$A$105,0)))&gt;0,INDEX(Clients!$E$6:$E$105,MATCH($B304,Clients!$A$6:$A$105,0)),Dashboard!$B$6),Dashboard!$B$6))</f>
        <v/>
      </c>
      <c r="K304" s="31" t="str">
        <f aca="false">IF(OR($A304="",$I304=""),"",$I304+$J304)</f>
        <v/>
      </c>
      <c r="L304" s="26"/>
      <c r="M304" s="32"/>
      <c r="N304" s="33"/>
      <c r="O304" s="34" t="str">
        <f aca="false">IF($A304="","",N($M304)*N($N304))</f>
        <v/>
      </c>
      <c r="P304" s="34" t="str">
        <f aca="false">IF($A304="","",N($M304)+$O304)</f>
        <v/>
      </c>
      <c r="Q304" s="34" t="str">
        <f aca="false">IF($A304="","",SUMIFS('Credit Notes'!$F$6:$F$205,'Credit Notes'!$B$6:$B$205,$A304,'Credit Notes'!$H$6:$H$205,"Issued"))</f>
        <v/>
      </c>
      <c r="R304" s="34" t="str">
        <f aca="false">IF($A304="","",SUMIFS(Payments!$I$6:$I$505,Payments!$C$6:$C$505,$A304))</f>
        <v/>
      </c>
      <c r="S304" s="34" t="str">
        <f aca="false">IF($A304="","",IF($T304="Void",0,$P304-$Q304-$R304))</f>
        <v/>
      </c>
      <c r="T304" s="26"/>
      <c r="U304" s="35" t="str">
        <f aca="false">IF($A304="","",IF($T304="Void","Void",IF(OR($T304="",$T304="Draft"),"Draft",IF($T304="Disputed","Disputed",IF($S304&lt;-0.005,"Overpaid",IF($S304&lt;=0.005,"Paid",IF($R304+$Q304&gt;0.005,IF($V304&gt;0,"Part-paid, overdue","Part-paid"),IF($V304&gt;0,"Overdue","Outstanding"))))))))</f>
        <v/>
      </c>
      <c r="V304" s="36" t="str">
        <f aca="true">IF($A304="","",IF(AND(OR($T304="Issued",$T304="Disputed"),$S304&gt;0.005,$K304&lt;&gt;"",$K304&lt;TODAY()),TODAY()-$K304,0))</f>
        <v/>
      </c>
      <c r="W304" s="35" t="str">
        <f aca="false">IF($A304="","",IF(AND(OR($T304="Issued",$T304="Disputed"),$S304&gt;0.005),IF($V304&lt;=0,"Not yet due",IF($V304&lt;=30,"1 to 30 days",IF($V304&lt;=60,"31 to 60 days",IF($V304&lt;=90,"61 to 90 days","Over 90 days")))),""))</f>
        <v/>
      </c>
      <c r="X304" s="26"/>
      <c r="Y304" s="29"/>
      <c r="Z304" s="28"/>
      <c r="AA304" s="28"/>
    </row>
    <row r="305" customFormat="false" ht="15" hidden="false" customHeight="false" outlineLevel="0" collapsed="false">
      <c r="A305" s="26"/>
      <c r="B305" s="26"/>
      <c r="C305" s="27" t="str">
        <f aca="false">IF($B305="","",IFERROR(INDEX(Clients!$B$6:$B$105,MATCH($B305,Clients!$A$6:$A$105,0)),"Client not found"))</f>
        <v/>
      </c>
      <c r="D305" s="26"/>
      <c r="E305" s="26"/>
      <c r="F305" s="26"/>
      <c r="G305" s="26"/>
      <c r="H305" s="28"/>
      <c r="I305" s="29"/>
      <c r="J305" s="30" t="str">
        <f aca="false">IF($A305="","",IFERROR(IF(N(INDEX(Clients!$E$6:$E$105,MATCH($B305,Clients!$A$6:$A$105,0)))&gt;0,INDEX(Clients!$E$6:$E$105,MATCH($B305,Clients!$A$6:$A$105,0)),Dashboard!$B$6),Dashboard!$B$6))</f>
        <v/>
      </c>
      <c r="K305" s="31" t="str">
        <f aca="false">IF(OR($A305="",$I305=""),"",$I305+$J305)</f>
        <v/>
      </c>
      <c r="L305" s="26"/>
      <c r="M305" s="32"/>
      <c r="N305" s="33"/>
      <c r="O305" s="34" t="str">
        <f aca="false">IF($A305="","",N($M305)*N($N305))</f>
        <v/>
      </c>
      <c r="P305" s="34" t="str">
        <f aca="false">IF($A305="","",N($M305)+$O305)</f>
        <v/>
      </c>
      <c r="Q305" s="34" t="str">
        <f aca="false">IF($A305="","",SUMIFS('Credit Notes'!$F$6:$F$205,'Credit Notes'!$B$6:$B$205,$A305,'Credit Notes'!$H$6:$H$205,"Issued"))</f>
        <v/>
      </c>
      <c r="R305" s="34" t="str">
        <f aca="false">IF($A305="","",SUMIFS(Payments!$I$6:$I$505,Payments!$C$6:$C$505,$A305))</f>
        <v/>
      </c>
      <c r="S305" s="34" t="str">
        <f aca="false">IF($A305="","",IF($T305="Void",0,$P305-$Q305-$R305))</f>
        <v/>
      </c>
      <c r="T305" s="26"/>
      <c r="U305" s="35" t="str">
        <f aca="false">IF($A305="","",IF($T305="Void","Void",IF(OR($T305="",$T305="Draft"),"Draft",IF($T305="Disputed","Disputed",IF($S305&lt;-0.005,"Overpaid",IF($S305&lt;=0.005,"Paid",IF($R305+$Q305&gt;0.005,IF($V305&gt;0,"Part-paid, overdue","Part-paid"),IF($V305&gt;0,"Overdue","Outstanding"))))))))</f>
        <v/>
      </c>
      <c r="V305" s="36" t="str">
        <f aca="true">IF($A305="","",IF(AND(OR($T305="Issued",$T305="Disputed"),$S305&gt;0.005,$K305&lt;&gt;"",$K305&lt;TODAY()),TODAY()-$K305,0))</f>
        <v/>
      </c>
      <c r="W305" s="35" t="str">
        <f aca="false">IF($A305="","",IF(AND(OR($T305="Issued",$T305="Disputed"),$S305&gt;0.005),IF($V305&lt;=0,"Not yet due",IF($V305&lt;=30,"1 to 30 days",IF($V305&lt;=60,"31 to 60 days",IF($V305&lt;=90,"61 to 90 days","Over 90 days")))),""))</f>
        <v/>
      </c>
      <c r="X305" s="26"/>
      <c r="Y305" s="29"/>
      <c r="Z305" s="28"/>
      <c r="AA305" s="28"/>
    </row>
    <row r="306" customFormat="false" ht="15" hidden="false" customHeight="false" outlineLevel="0" collapsed="false">
      <c r="A306" s="26"/>
      <c r="B306" s="26"/>
      <c r="C306" s="27" t="str">
        <f aca="false">IF($B306="","",IFERROR(INDEX(Clients!$B$6:$B$105,MATCH($B306,Clients!$A$6:$A$105,0)),"Client not found"))</f>
        <v/>
      </c>
      <c r="D306" s="26"/>
      <c r="E306" s="26"/>
      <c r="F306" s="26"/>
      <c r="G306" s="26"/>
      <c r="H306" s="28"/>
      <c r="I306" s="29"/>
      <c r="J306" s="30" t="str">
        <f aca="false">IF($A306="","",IFERROR(IF(N(INDEX(Clients!$E$6:$E$105,MATCH($B306,Clients!$A$6:$A$105,0)))&gt;0,INDEX(Clients!$E$6:$E$105,MATCH($B306,Clients!$A$6:$A$105,0)),Dashboard!$B$6),Dashboard!$B$6))</f>
        <v/>
      </c>
      <c r="K306" s="31" t="str">
        <f aca="false">IF(OR($A306="",$I306=""),"",$I306+$J306)</f>
        <v/>
      </c>
      <c r="L306" s="26"/>
      <c r="M306" s="32"/>
      <c r="N306" s="33"/>
      <c r="O306" s="34" t="str">
        <f aca="false">IF($A306="","",N($M306)*N($N306))</f>
        <v/>
      </c>
      <c r="P306" s="34" t="str">
        <f aca="false">IF($A306="","",N($M306)+$O306)</f>
        <v/>
      </c>
      <c r="Q306" s="34" t="str">
        <f aca="false">IF($A306="","",SUMIFS('Credit Notes'!$F$6:$F$205,'Credit Notes'!$B$6:$B$205,$A306,'Credit Notes'!$H$6:$H$205,"Issued"))</f>
        <v/>
      </c>
      <c r="R306" s="34" t="str">
        <f aca="false">IF($A306="","",SUMIFS(Payments!$I$6:$I$505,Payments!$C$6:$C$505,$A306))</f>
        <v/>
      </c>
      <c r="S306" s="34" t="str">
        <f aca="false">IF($A306="","",IF($T306="Void",0,$P306-$Q306-$R306))</f>
        <v/>
      </c>
      <c r="T306" s="26"/>
      <c r="U306" s="35" t="str">
        <f aca="false">IF($A306="","",IF($T306="Void","Void",IF(OR($T306="",$T306="Draft"),"Draft",IF($T306="Disputed","Disputed",IF($S306&lt;-0.005,"Overpaid",IF($S306&lt;=0.005,"Paid",IF($R306+$Q306&gt;0.005,IF($V306&gt;0,"Part-paid, overdue","Part-paid"),IF($V306&gt;0,"Overdue","Outstanding"))))))))</f>
        <v/>
      </c>
      <c r="V306" s="36" t="str">
        <f aca="true">IF($A306="","",IF(AND(OR($T306="Issued",$T306="Disputed"),$S306&gt;0.005,$K306&lt;&gt;"",$K306&lt;TODAY()),TODAY()-$K306,0))</f>
        <v/>
      </c>
      <c r="W306" s="35" t="str">
        <f aca="false">IF($A306="","",IF(AND(OR($T306="Issued",$T306="Disputed"),$S306&gt;0.005),IF($V306&lt;=0,"Not yet due",IF($V306&lt;=30,"1 to 30 days",IF($V306&lt;=60,"31 to 60 days",IF($V306&lt;=90,"61 to 90 days","Over 90 days")))),""))</f>
        <v/>
      </c>
      <c r="X306" s="26"/>
      <c r="Y306" s="29"/>
      <c r="Z306" s="28"/>
      <c r="AA306" s="28"/>
    </row>
    <row r="307" customFormat="false" ht="15" hidden="false" customHeight="false" outlineLevel="0" collapsed="false">
      <c r="A307" s="26"/>
      <c r="B307" s="26"/>
      <c r="C307" s="27" t="str">
        <f aca="false">IF($B307="","",IFERROR(INDEX(Clients!$B$6:$B$105,MATCH($B307,Clients!$A$6:$A$105,0)),"Client not found"))</f>
        <v/>
      </c>
      <c r="D307" s="26"/>
      <c r="E307" s="26"/>
      <c r="F307" s="26"/>
      <c r="G307" s="26"/>
      <c r="H307" s="28"/>
      <c r="I307" s="29"/>
      <c r="J307" s="30" t="str">
        <f aca="false">IF($A307="","",IFERROR(IF(N(INDEX(Clients!$E$6:$E$105,MATCH($B307,Clients!$A$6:$A$105,0)))&gt;0,INDEX(Clients!$E$6:$E$105,MATCH($B307,Clients!$A$6:$A$105,0)),Dashboard!$B$6),Dashboard!$B$6))</f>
        <v/>
      </c>
      <c r="K307" s="31" t="str">
        <f aca="false">IF(OR($A307="",$I307=""),"",$I307+$J307)</f>
        <v/>
      </c>
      <c r="L307" s="26"/>
      <c r="M307" s="32"/>
      <c r="N307" s="33"/>
      <c r="O307" s="34" t="str">
        <f aca="false">IF($A307="","",N($M307)*N($N307))</f>
        <v/>
      </c>
      <c r="P307" s="34" t="str">
        <f aca="false">IF($A307="","",N($M307)+$O307)</f>
        <v/>
      </c>
      <c r="Q307" s="34" t="str">
        <f aca="false">IF($A307="","",SUMIFS('Credit Notes'!$F$6:$F$205,'Credit Notes'!$B$6:$B$205,$A307,'Credit Notes'!$H$6:$H$205,"Issued"))</f>
        <v/>
      </c>
      <c r="R307" s="34" t="str">
        <f aca="false">IF($A307="","",SUMIFS(Payments!$I$6:$I$505,Payments!$C$6:$C$505,$A307))</f>
        <v/>
      </c>
      <c r="S307" s="34" t="str">
        <f aca="false">IF($A307="","",IF($T307="Void",0,$P307-$Q307-$R307))</f>
        <v/>
      </c>
      <c r="T307" s="26"/>
      <c r="U307" s="35" t="str">
        <f aca="false">IF($A307="","",IF($T307="Void","Void",IF(OR($T307="",$T307="Draft"),"Draft",IF($T307="Disputed","Disputed",IF($S307&lt;-0.005,"Overpaid",IF($S307&lt;=0.005,"Paid",IF($R307+$Q307&gt;0.005,IF($V307&gt;0,"Part-paid, overdue","Part-paid"),IF($V307&gt;0,"Overdue","Outstanding"))))))))</f>
        <v/>
      </c>
      <c r="V307" s="36" t="str">
        <f aca="true">IF($A307="","",IF(AND(OR($T307="Issued",$T307="Disputed"),$S307&gt;0.005,$K307&lt;&gt;"",$K307&lt;TODAY()),TODAY()-$K307,0))</f>
        <v/>
      </c>
      <c r="W307" s="35" t="str">
        <f aca="false">IF($A307="","",IF(AND(OR($T307="Issued",$T307="Disputed"),$S307&gt;0.005),IF($V307&lt;=0,"Not yet due",IF($V307&lt;=30,"1 to 30 days",IF($V307&lt;=60,"31 to 60 days",IF($V307&lt;=90,"61 to 90 days","Over 90 days")))),""))</f>
        <v/>
      </c>
      <c r="X307" s="26"/>
      <c r="Y307" s="29"/>
      <c r="Z307" s="28"/>
      <c r="AA307" s="28"/>
    </row>
    <row r="308" customFormat="false" ht="15" hidden="false" customHeight="false" outlineLevel="0" collapsed="false">
      <c r="A308" s="26"/>
      <c r="B308" s="26"/>
      <c r="C308" s="27" t="str">
        <f aca="false">IF($B308="","",IFERROR(INDEX(Clients!$B$6:$B$105,MATCH($B308,Clients!$A$6:$A$105,0)),"Client not found"))</f>
        <v/>
      </c>
      <c r="D308" s="26"/>
      <c r="E308" s="26"/>
      <c r="F308" s="26"/>
      <c r="G308" s="26"/>
      <c r="H308" s="28"/>
      <c r="I308" s="29"/>
      <c r="J308" s="30" t="str">
        <f aca="false">IF($A308="","",IFERROR(IF(N(INDEX(Clients!$E$6:$E$105,MATCH($B308,Clients!$A$6:$A$105,0)))&gt;0,INDEX(Clients!$E$6:$E$105,MATCH($B308,Clients!$A$6:$A$105,0)),Dashboard!$B$6),Dashboard!$B$6))</f>
        <v/>
      </c>
      <c r="K308" s="31" t="str">
        <f aca="false">IF(OR($A308="",$I308=""),"",$I308+$J308)</f>
        <v/>
      </c>
      <c r="L308" s="26"/>
      <c r="M308" s="32"/>
      <c r="N308" s="33"/>
      <c r="O308" s="34" t="str">
        <f aca="false">IF($A308="","",N($M308)*N($N308))</f>
        <v/>
      </c>
      <c r="P308" s="34" t="str">
        <f aca="false">IF($A308="","",N($M308)+$O308)</f>
        <v/>
      </c>
      <c r="Q308" s="34" t="str">
        <f aca="false">IF($A308="","",SUMIFS('Credit Notes'!$F$6:$F$205,'Credit Notes'!$B$6:$B$205,$A308,'Credit Notes'!$H$6:$H$205,"Issued"))</f>
        <v/>
      </c>
      <c r="R308" s="34" t="str">
        <f aca="false">IF($A308="","",SUMIFS(Payments!$I$6:$I$505,Payments!$C$6:$C$505,$A308))</f>
        <v/>
      </c>
      <c r="S308" s="34" t="str">
        <f aca="false">IF($A308="","",IF($T308="Void",0,$P308-$Q308-$R308))</f>
        <v/>
      </c>
      <c r="T308" s="26"/>
      <c r="U308" s="35" t="str">
        <f aca="false">IF($A308="","",IF($T308="Void","Void",IF(OR($T308="",$T308="Draft"),"Draft",IF($T308="Disputed","Disputed",IF($S308&lt;-0.005,"Overpaid",IF($S308&lt;=0.005,"Paid",IF($R308+$Q308&gt;0.005,IF($V308&gt;0,"Part-paid, overdue","Part-paid"),IF($V308&gt;0,"Overdue","Outstanding"))))))))</f>
        <v/>
      </c>
      <c r="V308" s="36" t="str">
        <f aca="true">IF($A308="","",IF(AND(OR($T308="Issued",$T308="Disputed"),$S308&gt;0.005,$K308&lt;&gt;"",$K308&lt;TODAY()),TODAY()-$K308,0))</f>
        <v/>
      </c>
      <c r="W308" s="35" t="str">
        <f aca="false">IF($A308="","",IF(AND(OR($T308="Issued",$T308="Disputed"),$S308&gt;0.005),IF($V308&lt;=0,"Not yet due",IF($V308&lt;=30,"1 to 30 days",IF($V308&lt;=60,"31 to 60 days",IF($V308&lt;=90,"61 to 90 days","Over 90 days")))),""))</f>
        <v/>
      </c>
      <c r="X308" s="26"/>
      <c r="Y308" s="29"/>
      <c r="Z308" s="28"/>
      <c r="AA308" s="28"/>
    </row>
    <row r="309" customFormat="false" ht="15" hidden="false" customHeight="false" outlineLevel="0" collapsed="false">
      <c r="A309" s="26"/>
      <c r="B309" s="26"/>
      <c r="C309" s="27" t="str">
        <f aca="false">IF($B309="","",IFERROR(INDEX(Clients!$B$6:$B$105,MATCH($B309,Clients!$A$6:$A$105,0)),"Client not found"))</f>
        <v/>
      </c>
      <c r="D309" s="26"/>
      <c r="E309" s="26"/>
      <c r="F309" s="26"/>
      <c r="G309" s="26"/>
      <c r="H309" s="28"/>
      <c r="I309" s="29"/>
      <c r="J309" s="30" t="str">
        <f aca="false">IF($A309="","",IFERROR(IF(N(INDEX(Clients!$E$6:$E$105,MATCH($B309,Clients!$A$6:$A$105,0)))&gt;0,INDEX(Clients!$E$6:$E$105,MATCH($B309,Clients!$A$6:$A$105,0)),Dashboard!$B$6),Dashboard!$B$6))</f>
        <v/>
      </c>
      <c r="K309" s="31" t="str">
        <f aca="false">IF(OR($A309="",$I309=""),"",$I309+$J309)</f>
        <v/>
      </c>
      <c r="L309" s="26"/>
      <c r="M309" s="32"/>
      <c r="N309" s="33"/>
      <c r="O309" s="34" t="str">
        <f aca="false">IF($A309="","",N($M309)*N($N309))</f>
        <v/>
      </c>
      <c r="P309" s="34" t="str">
        <f aca="false">IF($A309="","",N($M309)+$O309)</f>
        <v/>
      </c>
      <c r="Q309" s="34" t="str">
        <f aca="false">IF($A309="","",SUMIFS('Credit Notes'!$F$6:$F$205,'Credit Notes'!$B$6:$B$205,$A309,'Credit Notes'!$H$6:$H$205,"Issued"))</f>
        <v/>
      </c>
      <c r="R309" s="34" t="str">
        <f aca="false">IF($A309="","",SUMIFS(Payments!$I$6:$I$505,Payments!$C$6:$C$505,$A309))</f>
        <v/>
      </c>
      <c r="S309" s="34" t="str">
        <f aca="false">IF($A309="","",IF($T309="Void",0,$P309-$Q309-$R309))</f>
        <v/>
      </c>
      <c r="T309" s="26"/>
      <c r="U309" s="35" t="str">
        <f aca="false">IF($A309="","",IF($T309="Void","Void",IF(OR($T309="",$T309="Draft"),"Draft",IF($T309="Disputed","Disputed",IF($S309&lt;-0.005,"Overpaid",IF($S309&lt;=0.005,"Paid",IF($R309+$Q309&gt;0.005,IF($V309&gt;0,"Part-paid, overdue","Part-paid"),IF($V309&gt;0,"Overdue","Outstanding"))))))))</f>
        <v/>
      </c>
      <c r="V309" s="36" t="str">
        <f aca="true">IF($A309="","",IF(AND(OR($T309="Issued",$T309="Disputed"),$S309&gt;0.005,$K309&lt;&gt;"",$K309&lt;TODAY()),TODAY()-$K309,0))</f>
        <v/>
      </c>
      <c r="W309" s="35" t="str">
        <f aca="false">IF($A309="","",IF(AND(OR($T309="Issued",$T309="Disputed"),$S309&gt;0.005),IF($V309&lt;=0,"Not yet due",IF($V309&lt;=30,"1 to 30 days",IF($V309&lt;=60,"31 to 60 days",IF($V309&lt;=90,"61 to 90 days","Over 90 days")))),""))</f>
        <v/>
      </c>
      <c r="X309" s="26"/>
      <c r="Y309" s="29"/>
      <c r="Z309" s="28"/>
      <c r="AA309" s="28"/>
    </row>
    <row r="310" customFormat="false" ht="15" hidden="false" customHeight="false" outlineLevel="0" collapsed="false">
      <c r="A310" s="26"/>
      <c r="B310" s="26"/>
      <c r="C310" s="27" t="str">
        <f aca="false">IF($B310="","",IFERROR(INDEX(Clients!$B$6:$B$105,MATCH($B310,Clients!$A$6:$A$105,0)),"Client not found"))</f>
        <v/>
      </c>
      <c r="D310" s="26"/>
      <c r="E310" s="26"/>
      <c r="F310" s="26"/>
      <c r="G310" s="26"/>
      <c r="H310" s="28"/>
      <c r="I310" s="29"/>
      <c r="J310" s="30" t="str">
        <f aca="false">IF($A310="","",IFERROR(IF(N(INDEX(Clients!$E$6:$E$105,MATCH($B310,Clients!$A$6:$A$105,0)))&gt;0,INDEX(Clients!$E$6:$E$105,MATCH($B310,Clients!$A$6:$A$105,0)),Dashboard!$B$6),Dashboard!$B$6))</f>
        <v/>
      </c>
      <c r="K310" s="31" t="str">
        <f aca="false">IF(OR($A310="",$I310=""),"",$I310+$J310)</f>
        <v/>
      </c>
      <c r="L310" s="26"/>
      <c r="M310" s="32"/>
      <c r="N310" s="33"/>
      <c r="O310" s="34" t="str">
        <f aca="false">IF($A310="","",N($M310)*N($N310))</f>
        <v/>
      </c>
      <c r="P310" s="34" t="str">
        <f aca="false">IF($A310="","",N($M310)+$O310)</f>
        <v/>
      </c>
      <c r="Q310" s="34" t="str">
        <f aca="false">IF($A310="","",SUMIFS('Credit Notes'!$F$6:$F$205,'Credit Notes'!$B$6:$B$205,$A310,'Credit Notes'!$H$6:$H$205,"Issued"))</f>
        <v/>
      </c>
      <c r="R310" s="34" t="str">
        <f aca="false">IF($A310="","",SUMIFS(Payments!$I$6:$I$505,Payments!$C$6:$C$505,$A310))</f>
        <v/>
      </c>
      <c r="S310" s="34" t="str">
        <f aca="false">IF($A310="","",IF($T310="Void",0,$P310-$Q310-$R310))</f>
        <v/>
      </c>
      <c r="T310" s="26"/>
      <c r="U310" s="35" t="str">
        <f aca="false">IF($A310="","",IF($T310="Void","Void",IF(OR($T310="",$T310="Draft"),"Draft",IF($T310="Disputed","Disputed",IF($S310&lt;-0.005,"Overpaid",IF($S310&lt;=0.005,"Paid",IF($R310+$Q310&gt;0.005,IF($V310&gt;0,"Part-paid, overdue","Part-paid"),IF($V310&gt;0,"Overdue","Outstanding"))))))))</f>
        <v/>
      </c>
      <c r="V310" s="36" t="str">
        <f aca="true">IF($A310="","",IF(AND(OR($T310="Issued",$T310="Disputed"),$S310&gt;0.005,$K310&lt;&gt;"",$K310&lt;TODAY()),TODAY()-$K310,0))</f>
        <v/>
      </c>
      <c r="W310" s="35" t="str">
        <f aca="false">IF($A310="","",IF(AND(OR($T310="Issued",$T310="Disputed"),$S310&gt;0.005),IF($V310&lt;=0,"Not yet due",IF($V310&lt;=30,"1 to 30 days",IF($V310&lt;=60,"31 to 60 days",IF($V310&lt;=90,"61 to 90 days","Over 90 days")))),""))</f>
        <v/>
      </c>
      <c r="X310" s="26"/>
      <c r="Y310" s="29"/>
      <c r="Z310" s="28"/>
      <c r="AA310" s="28"/>
    </row>
    <row r="311" customFormat="false" ht="15" hidden="false" customHeight="false" outlineLevel="0" collapsed="false">
      <c r="A311" s="26"/>
      <c r="B311" s="26"/>
      <c r="C311" s="27" t="str">
        <f aca="false">IF($B311="","",IFERROR(INDEX(Clients!$B$6:$B$105,MATCH($B311,Clients!$A$6:$A$105,0)),"Client not found"))</f>
        <v/>
      </c>
      <c r="D311" s="26"/>
      <c r="E311" s="26"/>
      <c r="F311" s="26"/>
      <c r="G311" s="26"/>
      <c r="H311" s="28"/>
      <c r="I311" s="29"/>
      <c r="J311" s="30" t="str">
        <f aca="false">IF($A311="","",IFERROR(IF(N(INDEX(Clients!$E$6:$E$105,MATCH($B311,Clients!$A$6:$A$105,0)))&gt;0,INDEX(Clients!$E$6:$E$105,MATCH($B311,Clients!$A$6:$A$105,0)),Dashboard!$B$6),Dashboard!$B$6))</f>
        <v/>
      </c>
      <c r="K311" s="31" t="str">
        <f aca="false">IF(OR($A311="",$I311=""),"",$I311+$J311)</f>
        <v/>
      </c>
      <c r="L311" s="26"/>
      <c r="M311" s="32"/>
      <c r="N311" s="33"/>
      <c r="O311" s="34" t="str">
        <f aca="false">IF($A311="","",N($M311)*N($N311))</f>
        <v/>
      </c>
      <c r="P311" s="34" t="str">
        <f aca="false">IF($A311="","",N($M311)+$O311)</f>
        <v/>
      </c>
      <c r="Q311" s="34" t="str">
        <f aca="false">IF($A311="","",SUMIFS('Credit Notes'!$F$6:$F$205,'Credit Notes'!$B$6:$B$205,$A311,'Credit Notes'!$H$6:$H$205,"Issued"))</f>
        <v/>
      </c>
      <c r="R311" s="34" t="str">
        <f aca="false">IF($A311="","",SUMIFS(Payments!$I$6:$I$505,Payments!$C$6:$C$505,$A311))</f>
        <v/>
      </c>
      <c r="S311" s="34" t="str">
        <f aca="false">IF($A311="","",IF($T311="Void",0,$P311-$Q311-$R311))</f>
        <v/>
      </c>
      <c r="T311" s="26"/>
      <c r="U311" s="35" t="str">
        <f aca="false">IF($A311="","",IF($T311="Void","Void",IF(OR($T311="",$T311="Draft"),"Draft",IF($T311="Disputed","Disputed",IF($S311&lt;-0.005,"Overpaid",IF($S311&lt;=0.005,"Paid",IF($R311+$Q311&gt;0.005,IF($V311&gt;0,"Part-paid, overdue","Part-paid"),IF($V311&gt;0,"Overdue","Outstanding"))))))))</f>
        <v/>
      </c>
      <c r="V311" s="36" t="str">
        <f aca="true">IF($A311="","",IF(AND(OR($T311="Issued",$T311="Disputed"),$S311&gt;0.005,$K311&lt;&gt;"",$K311&lt;TODAY()),TODAY()-$K311,0))</f>
        <v/>
      </c>
      <c r="W311" s="35" t="str">
        <f aca="false">IF($A311="","",IF(AND(OR($T311="Issued",$T311="Disputed"),$S311&gt;0.005),IF($V311&lt;=0,"Not yet due",IF($V311&lt;=30,"1 to 30 days",IF($V311&lt;=60,"31 to 60 days",IF($V311&lt;=90,"61 to 90 days","Over 90 days")))),""))</f>
        <v/>
      </c>
      <c r="X311" s="26"/>
      <c r="Y311" s="29"/>
      <c r="Z311" s="28"/>
      <c r="AA311" s="28"/>
    </row>
    <row r="312" customFormat="false" ht="15" hidden="false" customHeight="false" outlineLevel="0" collapsed="false">
      <c r="A312" s="26"/>
      <c r="B312" s="26"/>
      <c r="C312" s="27" t="str">
        <f aca="false">IF($B312="","",IFERROR(INDEX(Clients!$B$6:$B$105,MATCH($B312,Clients!$A$6:$A$105,0)),"Client not found"))</f>
        <v/>
      </c>
      <c r="D312" s="26"/>
      <c r="E312" s="26"/>
      <c r="F312" s="26"/>
      <c r="G312" s="26"/>
      <c r="H312" s="28"/>
      <c r="I312" s="29"/>
      <c r="J312" s="30" t="str">
        <f aca="false">IF($A312="","",IFERROR(IF(N(INDEX(Clients!$E$6:$E$105,MATCH($B312,Clients!$A$6:$A$105,0)))&gt;0,INDEX(Clients!$E$6:$E$105,MATCH($B312,Clients!$A$6:$A$105,0)),Dashboard!$B$6),Dashboard!$B$6))</f>
        <v/>
      </c>
      <c r="K312" s="31" t="str">
        <f aca="false">IF(OR($A312="",$I312=""),"",$I312+$J312)</f>
        <v/>
      </c>
      <c r="L312" s="26"/>
      <c r="M312" s="32"/>
      <c r="N312" s="33"/>
      <c r="O312" s="34" t="str">
        <f aca="false">IF($A312="","",N($M312)*N($N312))</f>
        <v/>
      </c>
      <c r="P312" s="34" t="str">
        <f aca="false">IF($A312="","",N($M312)+$O312)</f>
        <v/>
      </c>
      <c r="Q312" s="34" t="str">
        <f aca="false">IF($A312="","",SUMIFS('Credit Notes'!$F$6:$F$205,'Credit Notes'!$B$6:$B$205,$A312,'Credit Notes'!$H$6:$H$205,"Issued"))</f>
        <v/>
      </c>
      <c r="R312" s="34" t="str">
        <f aca="false">IF($A312="","",SUMIFS(Payments!$I$6:$I$505,Payments!$C$6:$C$505,$A312))</f>
        <v/>
      </c>
      <c r="S312" s="34" t="str">
        <f aca="false">IF($A312="","",IF($T312="Void",0,$P312-$Q312-$R312))</f>
        <v/>
      </c>
      <c r="T312" s="26"/>
      <c r="U312" s="35" t="str">
        <f aca="false">IF($A312="","",IF($T312="Void","Void",IF(OR($T312="",$T312="Draft"),"Draft",IF($T312="Disputed","Disputed",IF($S312&lt;-0.005,"Overpaid",IF($S312&lt;=0.005,"Paid",IF($R312+$Q312&gt;0.005,IF($V312&gt;0,"Part-paid, overdue","Part-paid"),IF($V312&gt;0,"Overdue","Outstanding"))))))))</f>
        <v/>
      </c>
      <c r="V312" s="36" t="str">
        <f aca="true">IF($A312="","",IF(AND(OR($T312="Issued",$T312="Disputed"),$S312&gt;0.005,$K312&lt;&gt;"",$K312&lt;TODAY()),TODAY()-$K312,0))</f>
        <v/>
      </c>
      <c r="W312" s="35" t="str">
        <f aca="false">IF($A312="","",IF(AND(OR($T312="Issued",$T312="Disputed"),$S312&gt;0.005),IF($V312&lt;=0,"Not yet due",IF($V312&lt;=30,"1 to 30 days",IF($V312&lt;=60,"31 to 60 days",IF($V312&lt;=90,"61 to 90 days","Over 90 days")))),""))</f>
        <v/>
      </c>
      <c r="X312" s="26"/>
      <c r="Y312" s="29"/>
      <c r="Z312" s="28"/>
      <c r="AA312" s="28"/>
    </row>
    <row r="313" customFormat="false" ht="15" hidden="false" customHeight="false" outlineLevel="0" collapsed="false">
      <c r="A313" s="26"/>
      <c r="B313" s="26"/>
      <c r="C313" s="27" t="str">
        <f aca="false">IF($B313="","",IFERROR(INDEX(Clients!$B$6:$B$105,MATCH($B313,Clients!$A$6:$A$105,0)),"Client not found"))</f>
        <v/>
      </c>
      <c r="D313" s="26"/>
      <c r="E313" s="26"/>
      <c r="F313" s="26"/>
      <c r="G313" s="26"/>
      <c r="H313" s="28"/>
      <c r="I313" s="29"/>
      <c r="J313" s="30" t="str">
        <f aca="false">IF($A313="","",IFERROR(IF(N(INDEX(Clients!$E$6:$E$105,MATCH($B313,Clients!$A$6:$A$105,0)))&gt;0,INDEX(Clients!$E$6:$E$105,MATCH($B313,Clients!$A$6:$A$105,0)),Dashboard!$B$6),Dashboard!$B$6))</f>
        <v/>
      </c>
      <c r="K313" s="31" t="str">
        <f aca="false">IF(OR($A313="",$I313=""),"",$I313+$J313)</f>
        <v/>
      </c>
      <c r="L313" s="26"/>
      <c r="M313" s="32"/>
      <c r="N313" s="33"/>
      <c r="O313" s="34" t="str">
        <f aca="false">IF($A313="","",N($M313)*N($N313))</f>
        <v/>
      </c>
      <c r="P313" s="34" t="str">
        <f aca="false">IF($A313="","",N($M313)+$O313)</f>
        <v/>
      </c>
      <c r="Q313" s="34" t="str">
        <f aca="false">IF($A313="","",SUMIFS('Credit Notes'!$F$6:$F$205,'Credit Notes'!$B$6:$B$205,$A313,'Credit Notes'!$H$6:$H$205,"Issued"))</f>
        <v/>
      </c>
      <c r="R313" s="34" t="str">
        <f aca="false">IF($A313="","",SUMIFS(Payments!$I$6:$I$505,Payments!$C$6:$C$505,$A313))</f>
        <v/>
      </c>
      <c r="S313" s="34" t="str">
        <f aca="false">IF($A313="","",IF($T313="Void",0,$P313-$Q313-$R313))</f>
        <v/>
      </c>
      <c r="T313" s="26"/>
      <c r="U313" s="35" t="str">
        <f aca="false">IF($A313="","",IF($T313="Void","Void",IF(OR($T313="",$T313="Draft"),"Draft",IF($T313="Disputed","Disputed",IF($S313&lt;-0.005,"Overpaid",IF($S313&lt;=0.005,"Paid",IF($R313+$Q313&gt;0.005,IF($V313&gt;0,"Part-paid, overdue","Part-paid"),IF($V313&gt;0,"Overdue","Outstanding"))))))))</f>
        <v/>
      </c>
      <c r="V313" s="36" t="str">
        <f aca="true">IF($A313="","",IF(AND(OR($T313="Issued",$T313="Disputed"),$S313&gt;0.005,$K313&lt;&gt;"",$K313&lt;TODAY()),TODAY()-$K313,0))</f>
        <v/>
      </c>
      <c r="W313" s="35" t="str">
        <f aca="false">IF($A313="","",IF(AND(OR($T313="Issued",$T313="Disputed"),$S313&gt;0.005),IF($V313&lt;=0,"Not yet due",IF($V313&lt;=30,"1 to 30 days",IF($V313&lt;=60,"31 to 60 days",IF($V313&lt;=90,"61 to 90 days","Over 90 days")))),""))</f>
        <v/>
      </c>
      <c r="X313" s="26"/>
      <c r="Y313" s="29"/>
      <c r="Z313" s="28"/>
      <c r="AA313" s="28"/>
    </row>
    <row r="314" customFormat="false" ht="15" hidden="false" customHeight="false" outlineLevel="0" collapsed="false">
      <c r="A314" s="26"/>
      <c r="B314" s="26"/>
      <c r="C314" s="27" t="str">
        <f aca="false">IF($B314="","",IFERROR(INDEX(Clients!$B$6:$B$105,MATCH($B314,Clients!$A$6:$A$105,0)),"Client not found"))</f>
        <v/>
      </c>
      <c r="D314" s="26"/>
      <c r="E314" s="26"/>
      <c r="F314" s="26"/>
      <c r="G314" s="26"/>
      <c r="H314" s="28"/>
      <c r="I314" s="29"/>
      <c r="J314" s="30" t="str">
        <f aca="false">IF($A314="","",IFERROR(IF(N(INDEX(Clients!$E$6:$E$105,MATCH($B314,Clients!$A$6:$A$105,0)))&gt;0,INDEX(Clients!$E$6:$E$105,MATCH($B314,Clients!$A$6:$A$105,0)),Dashboard!$B$6),Dashboard!$B$6))</f>
        <v/>
      </c>
      <c r="K314" s="31" t="str">
        <f aca="false">IF(OR($A314="",$I314=""),"",$I314+$J314)</f>
        <v/>
      </c>
      <c r="L314" s="26"/>
      <c r="M314" s="32"/>
      <c r="N314" s="33"/>
      <c r="O314" s="34" t="str">
        <f aca="false">IF($A314="","",N($M314)*N($N314))</f>
        <v/>
      </c>
      <c r="P314" s="34" t="str">
        <f aca="false">IF($A314="","",N($M314)+$O314)</f>
        <v/>
      </c>
      <c r="Q314" s="34" t="str">
        <f aca="false">IF($A314="","",SUMIFS('Credit Notes'!$F$6:$F$205,'Credit Notes'!$B$6:$B$205,$A314,'Credit Notes'!$H$6:$H$205,"Issued"))</f>
        <v/>
      </c>
      <c r="R314" s="34" t="str">
        <f aca="false">IF($A314="","",SUMIFS(Payments!$I$6:$I$505,Payments!$C$6:$C$505,$A314))</f>
        <v/>
      </c>
      <c r="S314" s="34" t="str">
        <f aca="false">IF($A314="","",IF($T314="Void",0,$P314-$Q314-$R314))</f>
        <v/>
      </c>
      <c r="T314" s="26"/>
      <c r="U314" s="35" t="str">
        <f aca="false">IF($A314="","",IF($T314="Void","Void",IF(OR($T314="",$T314="Draft"),"Draft",IF($T314="Disputed","Disputed",IF($S314&lt;-0.005,"Overpaid",IF($S314&lt;=0.005,"Paid",IF($R314+$Q314&gt;0.005,IF($V314&gt;0,"Part-paid, overdue","Part-paid"),IF($V314&gt;0,"Overdue","Outstanding"))))))))</f>
        <v/>
      </c>
      <c r="V314" s="36" t="str">
        <f aca="true">IF($A314="","",IF(AND(OR($T314="Issued",$T314="Disputed"),$S314&gt;0.005,$K314&lt;&gt;"",$K314&lt;TODAY()),TODAY()-$K314,0))</f>
        <v/>
      </c>
      <c r="W314" s="35" t="str">
        <f aca="false">IF($A314="","",IF(AND(OR($T314="Issued",$T314="Disputed"),$S314&gt;0.005),IF($V314&lt;=0,"Not yet due",IF($V314&lt;=30,"1 to 30 days",IF($V314&lt;=60,"31 to 60 days",IF($V314&lt;=90,"61 to 90 days","Over 90 days")))),""))</f>
        <v/>
      </c>
      <c r="X314" s="26"/>
      <c r="Y314" s="29"/>
      <c r="Z314" s="28"/>
      <c r="AA314" s="28"/>
    </row>
    <row r="315" customFormat="false" ht="15" hidden="false" customHeight="false" outlineLevel="0" collapsed="false">
      <c r="A315" s="26"/>
      <c r="B315" s="26"/>
      <c r="C315" s="27" t="str">
        <f aca="false">IF($B315="","",IFERROR(INDEX(Clients!$B$6:$B$105,MATCH($B315,Clients!$A$6:$A$105,0)),"Client not found"))</f>
        <v/>
      </c>
      <c r="D315" s="26"/>
      <c r="E315" s="26"/>
      <c r="F315" s="26"/>
      <c r="G315" s="26"/>
      <c r="H315" s="28"/>
      <c r="I315" s="29"/>
      <c r="J315" s="30" t="str">
        <f aca="false">IF($A315="","",IFERROR(IF(N(INDEX(Clients!$E$6:$E$105,MATCH($B315,Clients!$A$6:$A$105,0)))&gt;0,INDEX(Clients!$E$6:$E$105,MATCH($B315,Clients!$A$6:$A$105,0)),Dashboard!$B$6),Dashboard!$B$6))</f>
        <v/>
      </c>
      <c r="K315" s="31" t="str">
        <f aca="false">IF(OR($A315="",$I315=""),"",$I315+$J315)</f>
        <v/>
      </c>
      <c r="L315" s="26"/>
      <c r="M315" s="32"/>
      <c r="N315" s="33"/>
      <c r="O315" s="34" t="str">
        <f aca="false">IF($A315="","",N($M315)*N($N315))</f>
        <v/>
      </c>
      <c r="P315" s="34" t="str">
        <f aca="false">IF($A315="","",N($M315)+$O315)</f>
        <v/>
      </c>
      <c r="Q315" s="34" t="str">
        <f aca="false">IF($A315="","",SUMIFS('Credit Notes'!$F$6:$F$205,'Credit Notes'!$B$6:$B$205,$A315,'Credit Notes'!$H$6:$H$205,"Issued"))</f>
        <v/>
      </c>
      <c r="R315" s="34" t="str">
        <f aca="false">IF($A315="","",SUMIFS(Payments!$I$6:$I$505,Payments!$C$6:$C$505,$A315))</f>
        <v/>
      </c>
      <c r="S315" s="34" t="str">
        <f aca="false">IF($A315="","",IF($T315="Void",0,$P315-$Q315-$R315))</f>
        <v/>
      </c>
      <c r="T315" s="26"/>
      <c r="U315" s="35" t="str">
        <f aca="false">IF($A315="","",IF($T315="Void","Void",IF(OR($T315="",$T315="Draft"),"Draft",IF($T315="Disputed","Disputed",IF($S315&lt;-0.005,"Overpaid",IF($S315&lt;=0.005,"Paid",IF($R315+$Q315&gt;0.005,IF($V315&gt;0,"Part-paid, overdue","Part-paid"),IF($V315&gt;0,"Overdue","Outstanding"))))))))</f>
        <v/>
      </c>
      <c r="V315" s="36" t="str">
        <f aca="true">IF($A315="","",IF(AND(OR($T315="Issued",$T315="Disputed"),$S315&gt;0.005,$K315&lt;&gt;"",$K315&lt;TODAY()),TODAY()-$K315,0))</f>
        <v/>
      </c>
      <c r="W315" s="35" t="str">
        <f aca="false">IF($A315="","",IF(AND(OR($T315="Issued",$T315="Disputed"),$S315&gt;0.005),IF($V315&lt;=0,"Not yet due",IF($V315&lt;=30,"1 to 30 days",IF($V315&lt;=60,"31 to 60 days",IF($V315&lt;=90,"61 to 90 days","Over 90 days")))),""))</f>
        <v/>
      </c>
      <c r="X315" s="26"/>
      <c r="Y315" s="29"/>
      <c r="Z315" s="28"/>
      <c r="AA315" s="28"/>
    </row>
    <row r="316" customFormat="false" ht="15" hidden="false" customHeight="false" outlineLevel="0" collapsed="false">
      <c r="A316" s="26"/>
      <c r="B316" s="26"/>
      <c r="C316" s="27" t="str">
        <f aca="false">IF($B316="","",IFERROR(INDEX(Clients!$B$6:$B$105,MATCH($B316,Clients!$A$6:$A$105,0)),"Client not found"))</f>
        <v/>
      </c>
      <c r="D316" s="26"/>
      <c r="E316" s="26"/>
      <c r="F316" s="26"/>
      <c r="G316" s="26"/>
      <c r="H316" s="28"/>
      <c r="I316" s="29"/>
      <c r="J316" s="30" t="str">
        <f aca="false">IF($A316="","",IFERROR(IF(N(INDEX(Clients!$E$6:$E$105,MATCH($B316,Clients!$A$6:$A$105,0)))&gt;0,INDEX(Clients!$E$6:$E$105,MATCH($B316,Clients!$A$6:$A$105,0)),Dashboard!$B$6),Dashboard!$B$6))</f>
        <v/>
      </c>
      <c r="K316" s="31" t="str">
        <f aca="false">IF(OR($A316="",$I316=""),"",$I316+$J316)</f>
        <v/>
      </c>
      <c r="L316" s="26"/>
      <c r="M316" s="32"/>
      <c r="N316" s="33"/>
      <c r="O316" s="34" t="str">
        <f aca="false">IF($A316="","",N($M316)*N($N316))</f>
        <v/>
      </c>
      <c r="P316" s="34" t="str">
        <f aca="false">IF($A316="","",N($M316)+$O316)</f>
        <v/>
      </c>
      <c r="Q316" s="34" t="str">
        <f aca="false">IF($A316="","",SUMIFS('Credit Notes'!$F$6:$F$205,'Credit Notes'!$B$6:$B$205,$A316,'Credit Notes'!$H$6:$H$205,"Issued"))</f>
        <v/>
      </c>
      <c r="R316" s="34" t="str">
        <f aca="false">IF($A316="","",SUMIFS(Payments!$I$6:$I$505,Payments!$C$6:$C$505,$A316))</f>
        <v/>
      </c>
      <c r="S316" s="34" t="str">
        <f aca="false">IF($A316="","",IF($T316="Void",0,$P316-$Q316-$R316))</f>
        <v/>
      </c>
      <c r="T316" s="26"/>
      <c r="U316" s="35" t="str">
        <f aca="false">IF($A316="","",IF($T316="Void","Void",IF(OR($T316="",$T316="Draft"),"Draft",IF($T316="Disputed","Disputed",IF($S316&lt;-0.005,"Overpaid",IF($S316&lt;=0.005,"Paid",IF($R316+$Q316&gt;0.005,IF($V316&gt;0,"Part-paid, overdue","Part-paid"),IF($V316&gt;0,"Overdue","Outstanding"))))))))</f>
        <v/>
      </c>
      <c r="V316" s="36" t="str">
        <f aca="true">IF($A316="","",IF(AND(OR($T316="Issued",$T316="Disputed"),$S316&gt;0.005,$K316&lt;&gt;"",$K316&lt;TODAY()),TODAY()-$K316,0))</f>
        <v/>
      </c>
      <c r="W316" s="35" t="str">
        <f aca="false">IF($A316="","",IF(AND(OR($T316="Issued",$T316="Disputed"),$S316&gt;0.005),IF($V316&lt;=0,"Not yet due",IF($V316&lt;=30,"1 to 30 days",IF($V316&lt;=60,"31 to 60 days",IF($V316&lt;=90,"61 to 90 days","Over 90 days")))),""))</f>
        <v/>
      </c>
      <c r="X316" s="26"/>
      <c r="Y316" s="29"/>
      <c r="Z316" s="28"/>
      <c r="AA316" s="28"/>
    </row>
    <row r="317" customFormat="false" ht="15" hidden="false" customHeight="false" outlineLevel="0" collapsed="false">
      <c r="A317" s="26"/>
      <c r="B317" s="26"/>
      <c r="C317" s="27" t="str">
        <f aca="false">IF($B317="","",IFERROR(INDEX(Clients!$B$6:$B$105,MATCH($B317,Clients!$A$6:$A$105,0)),"Client not found"))</f>
        <v/>
      </c>
      <c r="D317" s="26"/>
      <c r="E317" s="26"/>
      <c r="F317" s="26"/>
      <c r="G317" s="26"/>
      <c r="H317" s="28"/>
      <c r="I317" s="29"/>
      <c r="J317" s="30" t="str">
        <f aca="false">IF($A317="","",IFERROR(IF(N(INDEX(Clients!$E$6:$E$105,MATCH($B317,Clients!$A$6:$A$105,0)))&gt;0,INDEX(Clients!$E$6:$E$105,MATCH($B317,Clients!$A$6:$A$105,0)),Dashboard!$B$6),Dashboard!$B$6))</f>
        <v/>
      </c>
      <c r="K317" s="31" t="str">
        <f aca="false">IF(OR($A317="",$I317=""),"",$I317+$J317)</f>
        <v/>
      </c>
      <c r="L317" s="26"/>
      <c r="M317" s="32"/>
      <c r="N317" s="33"/>
      <c r="O317" s="34" t="str">
        <f aca="false">IF($A317="","",N($M317)*N($N317))</f>
        <v/>
      </c>
      <c r="P317" s="34" t="str">
        <f aca="false">IF($A317="","",N($M317)+$O317)</f>
        <v/>
      </c>
      <c r="Q317" s="34" t="str">
        <f aca="false">IF($A317="","",SUMIFS('Credit Notes'!$F$6:$F$205,'Credit Notes'!$B$6:$B$205,$A317,'Credit Notes'!$H$6:$H$205,"Issued"))</f>
        <v/>
      </c>
      <c r="R317" s="34" t="str">
        <f aca="false">IF($A317="","",SUMIFS(Payments!$I$6:$I$505,Payments!$C$6:$C$505,$A317))</f>
        <v/>
      </c>
      <c r="S317" s="34" t="str">
        <f aca="false">IF($A317="","",IF($T317="Void",0,$P317-$Q317-$R317))</f>
        <v/>
      </c>
      <c r="T317" s="26"/>
      <c r="U317" s="35" t="str">
        <f aca="false">IF($A317="","",IF($T317="Void","Void",IF(OR($T317="",$T317="Draft"),"Draft",IF($T317="Disputed","Disputed",IF($S317&lt;-0.005,"Overpaid",IF($S317&lt;=0.005,"Paid",IF($R317+$Q317&gt;0.005,IF($V317&gt;0,"Part-paid, overdue","Part-paid"),IF($V317&gt;0,"Overdue","Outstanding"))))))))</f>
        <v/>
      </c>
      <c r="V317" s="36" t="str">
        <f aca="true">IF($A317="","",IF(AND(OR($T317="Issued",$T317="Disputed"),$S317&gt;0.005,$K317&lt;&gt;"",$K317&lt;TODAY()),TODAY()-$K317,0))</f>
        <v/>
      </c>
      <c r="W317" s="35" t="str">
        <f aca="false">IF($A317="","",IF(AND(OR($T317="Issued",$T317="Disputed"),$S317&gt;0.005),IF($V317&lt;=0,"Not yet due",IF($V317&lt;=30,"1 to 30 days",IF($V317&lt;=60,"31 to 60 days",IF($V317&lt;=90,"61 to 90 days","Over 90 days")))),""))</f>
        <v/>
      </c>
      <c r="X317" s="26"/>
      <c r="Y317" s="29"/>
      <c r="Z317" s="28"/>
      <c r="AA317" s="28"/>
    </row>
    <row r="318" customFormat="false" ht="15" hidden="false" customHeight="false" outlineLevel="0" collapsed="false">
      <c r="A318" s="26"/>
      <c r="B318" s="26"/>
      <c r="C318" s="27" t="str">
        <f aca="false">IF($B318="","",IFERROR(INDEX(Clients!$B$6:$B$105,MATCH($B318,Clients!$A$6:$A$105,0)),"Client not found"))</f>
        <v/>
      </c>
      <c r="D318" s="26"/>
      <c r="E318" s="26"/>
      <c r="F318" s="26"/>
      <c r="G318" s="26"/>
      <c r="H318" s="28"/>
      <c r="I318" s="29"/>
      <c r="J318" s="30" t="str">
        <f aca="false">IF($A318="","",IFERROR(IF(N(INDEX(Clients!$E$6:$E$105,MATCH($B318,Clients!$A$6:$A$105,0)))&gt;0,INDEX(Clients!$E$6:$E$105,MATCH($B318,Clients!$A$6:$A$105,0)),Dashboard!$B$6),Dashboard!$B$6))</f>
        <v/>
      </c>
      <c r="K318" s="31" t="str">
        <f aca="false">IF(OR($A318="",$I318=""),"",$I318+$J318)</f>
        <v/>
      </c>
      <c r="L318" s="26"/>
      <c r="M318" s="32"/>
      <c r="N318" s="33"/>
      <c r="O318" s="34" t="str">
        <f aca="false">IF($A318="","",N($M318)*N($N318))</f>
        <v/>
      </c>
      <c r="P318" s="34" t="str">
        <f aca="false">IF($A318="","",N($M318)+$O318)</f>
        <v/>
      </c>
      <c r="Q318" s="34" t="str">
        <f aca="false">IF($A318="","",SUMIFS('Credit Notes'!$F$6:$F$205,'Credit Notes'!$B$6:$B$205,$A318,'Credit Notes'!$H$6:$H$205,"Issued"))</f>
        <v/>
      </c>
      <c r="R318" s="34" t="str">
        <f aca="false">IF($A318="","",SUMIFS(Payments!$I$6:$I$505,Payments!$C$6:$C$505,$A318))</f>
        <v/>
      </c>
      <c r="S318" s="34" t="str">
        <f aca="false">IF($A318="","",IF($T318="Void",0,$P318-$Q318-$R318))</f>
        <v/>
      </c>
      <c r="T318" s="26"/>
      <c r="U318" s="35" t="str">
        <f aca="false">IF($A318="","",IF($T318="Void","Void",IF(OR($T318="",$T318="Draft"),"Draft",IF($T318="Disputed","Disputed",IF($S318&lt;-0.005,"Overpaid",IF($S318&lt;=0.005,"Paid",IF($R318+$Q318&gt;0.005,IF($V318&gt;0,"Part-paid, overdue","Part-paid"),IF($V318&gt;0,"Overdue","Outstanding"))))))))</f>
        <v/>
      </c>
      <c r="V318" s="36" t="str">
        <f aca="true">IF($A318="","",IF(AND(OR($T318="Issued",$T318="Disputed"),$S318&gt;0.005,$K318&lt;&gt;"",$K318&lt;TODAY()),TODAY()-$K318,0))</f>
        <v/>
      </c>
      <c r="W318" s="35" t="str">
        <f aca="false">IF($A318="","",IF(AND(OR($T318="Issued",$T318="Disputed"),$S318&gt;0.005),IF($V318&lt;=0,"Not yet due",IF($V318&lt;=30,"1 to 30 days",IF($V318&lt;=60,"31 to 60 days",IF($V318&lt;=90,"61 to 90 days","Over 90 days")))),""))</f>
        <v/>
      </c>
      <c r="X318" s="26"/>
      <c r="Y318" s="29"/>
      <c r="Z318" s="28"/>
      <c r="AA318" s="28"/>
    </row>
    <row r="319" customFormat="false" ht="15" hidden="false" customHeight="false" outlineLevel="0" collapsed="false">
      <c r="A319" s="26"/>
      <c r="B319" s="26"/>
      <c r="C319" s="27" t="str">
        <f aca="false">IF($B319="","",IFERROR(INDEX(Clients!$B$6:$B$105,MATCH($B319,Clients!$A$6:$A$105,0)),"Client not found"))</f>
        <v/>
      </c>
      <c r="D319" s="26"/>
      <c r="E319" s="26"/>
      <c r="F319" s="26"/>
      <c r="G319" s="26"/>
      <c r="H319" s="28"/>
      <c r="I319" s="29"/>
      <c r="J319" s="30" t="str">
        <f aca="false">IF($A319="","",IFERROR(IF(N(INDEX(Clients!$E$6:$E$105,MATCH($B319,Clients!$A$6:$A$105,0)))&gt;0,INDEX(Clients!$E$6:$E$105,MATCH($B319,Clients!$A$6:$A$105,0)),Dashboard!$B$6),Dashboard!$B$6))</f>
        <v/>
      </c>
      <c r="K319" s="31" t="str">
        <f aca="false">IF(OR($A319="",$I319=""),"",$I319+$J319)</f>
        <v/>
      </c>
      <c r="L319" s="26"/>
      <c r="M319" s="32"/>
      <c r="N319" s="33"/>
      <c r="O319" s="34" t="str">
        <f aca="false">IF($A319="","",N($M319)*N($N319))</f>
        <v/>
      </c>
      <c r="P319" s="34" t="str">
        <f aca="false">IF($A319="","",N($M319)+$O319)</f>
        <v/>
      </c>
      <c r="Q319" s="34" t="str">
        <f aca="false">IF($A319="","",SUMIFS('Credit Notes'!$F$6:$F$205,'Credit Notes'!$B$6:$B$205,$A319,'Credit Notes'!$H$6:$H$205,"Issued"))</f>
        <v/>
      </c>
      <c r="R319" s="34" t="str">
        <f aca="false">IF($A319="","",SUMIFS(Payments!$I$6:$I$505,Payments!$C$6:$C$505,$A319))</f>
        <v/>
      </c>
      <c r="S319" s="34" t="str">
        <f aca="false">IF($A319="","",IF($T319="Void",0,$P319-$Q319-$R319))</f>
        <v/>
      </c>
      <c r="T319" s="26"/>
      <c r="U319" s="35" t="str">
        <f aca="false">IF($A319="","",IF($T319="Void","Void",IF(OR($T319="",$T319="Draft"),"Draft",IF($T319="Disputed","Disputed",IF($S319&lt;-0.005,"Overpaid",IF($S319&lt;=0.005,"Paid",IF($R319+$Q319&gt;0.005,IF($V319&gt;0,"Part-paid, overdue","Part-paid"),IF($V319&gt;0,"Overdue","Outstanding"))))))))</f>
        <v/>
      </c>
      <c r="V319" s="36" t="str">
        <f aca="true">IF($A319="","",IF(AND(OR($T319="Issued",$T319="Disputed"),$S319&gt;0.005,$K319&lt;&gt;"",$K319&lt;TODAY()),TODAY()-$K319,0))</f>
        <v/>
      </c>
      <c r="W319" s="35" t="str">
        <f aca="false">IF($A319="","",IF(AND(OR($T319="Issued",$T319="Disputed"),$S319&gt;0.005),IF($V319&lt;=0,"Not yet due",IF($V319&lt;=30,"1 to 30 days",IF($V319&lt;=60,"31 to 60 days",IF($V319&lt;=90,"61 to 90 days","Over 90 days")))),""))</f>
        <v/>
      </c>
      <c r="X319" s="26"/>
      <c r="Y319" s="29"/>
      <c r="Z319" s="28"/>
      <c r="AA319" s="28"/>
    </row>
    <row r="320" customFormat="false" ht="15" hidden="false" customHeight="false" outlineLevel="0" collapsed="false">
      <c r="A320" s="26"/>
      <c r="B320" s="26"/>
      <c r="C320" s="27" t="str">
        <f aca="false">IF($B320="","",IFERROR(INDEX(Clients!$B$6:$B$105,MATCH($B320,Clients!$A$6:$A$105,0)),"Client not found"))</f>
        <v/>
      </c>
      <c r="D320" s="26"/>
      <c r="E320" s="26"/>
      <c r="F320" s="26"/>
      <c r="G320" s="26"/>
      <c r="H320" s="28"/>
      <c r="I320" s="29"/>
      <c r="J320" s="30" t="str">
        <f aca="false">IF($A320="","",IFERROR(IF(N(INDEX(Clients!$E$6:$E$105,MATCH($B320,Clients!$A$6:$A$105,0)))&gt;0,INDEX(Clients!$E$6:$E$105,MATCH($B320,Clients!$A$6:$A$105,0)),Dashboard!$B$6),Dashboard!$B$6))</f>
        <v/>
      </c>
      <c r="K320" s="31" t="str">
        <f aca="false">IF(OR($A320="",$I320=""),"",$I320+$J320)</f>
        <v/>
      </c>
      <c r="L320" s="26"/>
      <c r="M320" s="32"/>
      <c r="N320" s="33"/>
      <c r="O320" s="34" t="str">
        <f aca="false">IF($A320="","",N($M320)*N($N320))</f>
        <v/>
      </c>
      <c r="P320" s="34" t="str">
        <f aca="false">IF($A320="","",N($M320)+$O320)</f>
        <v/>
      </c>
      <c r="Q320" s="34" t="str">
        <f aca="false">IF($A320="","",SUMIFS('Credit Notes'!$F$6:$F$205,'Credit Notes'!$B$6:$B$205,$A320,'Credit Notes'!$H$6:$H$205,"Issued"))</f>
        <v/>
      </c>
      <c r="R320" s="34" t="str">
        <f aca="false">IF($A320="","",SUMIFS(Payments!$I$6:$I$505,Payments!$C$6:$C$505,$A320))</f>
        <v/>
      </c>
      <c r="S320" s="34" t="str">
        <f aca="false">IF($A320="","",IF($T320="Void",0,$P320-$Q320-$R320))</f>
        <v/>
      </c>
      <c r="T320" s="26"/>
      <c r="U320" s="35" t="str">
        <f aca="false">IF($A320="","",IF($T320="Void","Void",IF(OR($T320="",$T320="Draft"),"Draft",IF($T320="Disputed","Disputed",IF($S320&lt;-0.005,"Overpaid",IF($S320&lt;=0.005,"Paid",IF($R320+$Q320&gt;0.005,IF($V320&gt;0,"Part-paid, overdue","Part-paid"),IF($V320&gt;0,"Overdue","Outstanding"))))))))</f>
        <v/>
      </c>
      <c r="V320" s="36" t="str">
        <f aca="true">IF($A320="","",IF(AND(OR($T320="Issued",$T320="Disputed"),$S320&gt;0.005,$K320&lt;&gt;"",$K320&lt;TODAY()),TODAY()-$K320,0))</f>
        <v/>
      </c>
      <c r="W320" s="35" t="str">
        <f aca="false">IF($A320="","",IF(AND(OR($T320="Issued",$T320="Disputed"),$S320&gt;0.005),IF($V320&lt;=0,"Not yet due",IF($V320&lt;=30,"1 to 30 days",IF($V320&lt;=60,"31 to 60 days",IF($V320&lt;=90,"61 to 90 days","Over 90 days")))),""))</f>
        <v/>
      </c>
      <c r="X320" s="26"/>
      <c r="Y320" s="29"/>
      <c r="Z320" s="28"/>
      <c r="AA320" s="28"/>
    </row>
    <row r="321" customFormat="false" ht="15" hidden="false" customHeight="false" outlineLevel="0" collapsed="false">
      <c r="A321" s="26"/>
      <c r="B321" s="26"/>
      <c r="C321" s="27" t="str">
        <f aca="false">IF($B321="","",IFERROR(INDEX(Clients!$B$6:$B$105,MATCH($B321,Clients!$A$6:$A$105,0)),"Client not found"))</f>
        <v/>
      </c>
      <c r="D321" s="26"/>
      <c r="E321" s="26"/>
      <c r="F321" s="26"/>
      <c r="G321" s="26"/>
      <c r="H321" s="28"/>
      <c r="I321" s="29"/>
      <c r="J321" s="30" t="str">
        <f aca="false">IF($A321="","",IFERROR(IF(N(INDEX(Clients!$E$6:$E$105,MATCH($B321,Clients!$A$6:$A$105,0)))&gt;0,INDEX(Clients!$E$6:$E$105,MATCH($B321,Clients!$A$6:$A$105,0)),Dashboard!$B$6),Dashboard!$B$6))</f>
        <v/>
      </c>
      <c r="K321" s="31" t="str">
        <f aca="false">IF(OR($A321="",$I321=""),"",$I321+$J321)</f>
        <v/>
      </c>
      <c r="L321" s="26"/>
      <c r="M321" s="32"/>
      <c r="N321" s="33"/>
      <c r="O321" s="34" t="str">
        <f aca="false">IF($A321="","",N($M321)*N($N321))</f>
        <v/>
      </c>
      <c r="P321" s="34" t="str">
        <f aca="false">IF($A321="","",N($M321)+$O321)</f>
        <v/>
      </c>
      <c r="Q321" s="34" t="str">
        <f aca="false">IF($A321="","",SUMIFS('Credit Notes'!$F$6:$F$205,'Credit Notes'!$B$6:$B$205,$A321,'Credit Notes'!$H$6:$H$205,"Issued"))</f>
        <v/>
      </c>
      <c r="R321" s="34" t="str">
        <f aca="false">IF($A321="","",SUMIFS(Payments!$I$6:$I$505,Payments!$C$6:$C$505,$A321))</f>
        <v/>
      </c>
      <c r="S321" s="34" t="str">
        <f aca="false">IF($A321="","",IF($T321="Void",0,$P321-$Q321-$R321))</f>
        <v/>
      </c>
      <c r="T321" s="26"/>
      <c r="U321" s="35" t="str">
        <f aca="false">IF($A321="","",IF($T321="Void","Void",IF(OR($T321="",$T321="Draft"),"Draft",IF($T321="Disputed","Disputed",IF($S321&lt;-0.005,"Overpaid",IF($S321&lt;=0.005,"Paid",IF($R321+$Q321&gt;0.005,IF($V321&gt;0,"Part-paid, overdue","Part-paid"),IF($V321&gt;0,"Overdue","Outstanding"))))))))</f>
        <v/>
      </c>
      <c r="V321" s="36" t="str">
        <f aca="true">IF($A321="","",IF(AND(OR($T321="Issued",$T321="Disputed"),$S321&gt;0.005,$K321&lt;&gt;"",$K321&lt;TODAY()),TODAY()-$K321,0))</f>
        <v/>
      </c>
      <c r="W321" s="35" t="str">
        <f aca="false">IF($A321="","",IF(AND(OR($T321="Issued",$T321="Disputed"),$S321&gt;0.005),IF($V321&lt;=0,"Not yet due",IF($V321&lt;=30,"1 to 30 days",IF($V321&lt;=60,"31 to 60 days",IF($V321&lt;=90,"61 to 90 days","Over 90 days")))),""))</f>
        <v/>
      </c>
      <c r="X321" s="26"/>
      <c r="Y321" s="29"/>
      <c r="Z321" s="28"/>
      <c r="AA321" s="28"/>
    </row>
    <row r="322" customFormat="false" ht="15" hidden="false" customHeight="false" outlineLevel="0" collapsed="false">
      <c r="A322" s="26"/>
      <c r="B322" s="26"/>
      <c r="C322" s="27" t="str">
        <f aca="false">IF($B322="","",IFERROR(INDEX(Clients!$B$6:$B$105,MATCH($B322,Clients!$A$6:$A$105,0)),"Client not found"))</f>
        <v/>
      </c>
      <c r="D322" s="26"/>
      <c r="E322" s="26"/>
      <c r="F322" s="26"/>
      <c r="G322" s="26"/>
      <c r="H322" s="28"/>
      <c r="I322" s="29"/>
      <c r="J322" s="30" t="str">
        <f aca="false">IF($A322="","",IFERROR(IF(N(INDEX(Clients!$E$6:$E$105,MATCH($B322,Clients!$A$6:$A$105,0)))&gt;0,INDEX(Clients!$E$6:$E$105,MATCH($B322,Clients!$A$6:$A$105,0)),Dashboard!$B$6),Dashboard!$B$6))</f>
        <v/>
      </c>
      <c r="K322" s="31" t="str">
        <f aca="false">IF(OR($A322="",$I322=""),"",$I322+$J322)</f>
        <v/>
      </c>
      <c r="L322" s="26"/>
      <c r="M322" s="32"/>
      <c r="N322" s="33"/>
      <c r="O322" s="34" t="str">
        <f aca="false">IF($A322="","",N($M322)*N($N322))</f>
        <v/>
      </c>
      <c r="P322" s="34" t="str">
        <f aca="false">IF($A322="","",N($M322)+$O322)</f>
        <v/>
      </c>
      <c r="Q322" s="34" t="str">
        <f aca="false">IF($A322="","",SUMIFS('Credit Notes'!$F$6:$F$205,'Credit Notes'!$B$6:$B$205,$A322,'Credit Notes'!$H$6:$H$205,"Issued"))</f>
        <v/>
      </c>
      <c r="R322" s="34" t="str">
        <f aca="false">IF($A322="","",SUMIFS(Payments!$I$6:$I$505,Payments!$C$6:$C$505,$A322))</f>
        <v/>
      </c>
      <c r="S322" s="34" t="str">
        <f aca="false">IF($A322="","",IF($T322="Void",0,$P322-$Q322-$R322))</f>
        <v/>
      </c>
      <c r="T322" s="26"/>
      <c r="U322" s="35" t="str">
        <f aca="false">IF($A322="","",IF($T322="Void","Void",IF(OR($T322="",$T322="Draft"),"Draft",IF($T322="Disputed","Disputed",IF($S322&lt;-0.005,"Overpaid",IF($S322&lt;=0.005,"Paid",IF($R322+$Q322&gt;0.005,IF($V322&gt;0,"Part-paid, overdue","Part-paid"),IF($V322&gt;0,"Overdue","Outstanding"))))))))</f>
        <v/>
      </c>
      <c r="V322" s="36" t="str">
        <f aca="true">IF($A322="","",IF(AND(OR($T322="Issued",$T322="Disputed"),$S322&gt;0.005,$K322&lt;&gt;"",$K322&lt;TODAY()),TODAY()-$K322,0))</f>
        <v/>
      </c>
      <c r="W322" s="35" t="str">
        <f aca="false">IF($A322="","",IF(AND(OR($T322="Issued",$T322="Disputed"),$S322&gt;0.005),IF($V322&lt;=0,"Not yet due",IF($V322&lt;=30,"1 to 30 days",IF($V322&lt;=60,"31 to 60 days",IF($V322&lt;=90,"61 to 90 days","Over 90 days")))),""))</f>
        <v/>
      </c>
      <c r="X322" s="26"/>
      <c r="Y322" s="29"/>
      <c r="Z322" s="28"/>
      <c r="AA322" s="28"/>
    </row>
    <row r="323" customFormat="false" ht="15" hidden="false" customHeight="false" outlineLevel="0" collapsed="false">
      <c r="A323" s="26"/>
      <c r="B323" s="26"/>
      <c r="C323" s="27" t="str">
        <f aca="false">IF($B323="","",IFERROR(INDEX(Clients!$B$6:$B$105,MATCH($B323,Clients!$A$6:$A$105,0)),"Client not found"))</f>
        <v/>
      </c>
      <c r="D323" s="26"/>
      <c r="E323" s="26"/>
      <c r="F323" s="26"/>
      <c r="G323" s="26"/>
      <c r="H323" s="28"/>
      <c r="I323" s="29"/>
      <c r="J323" s="30" t="str">
        <f aca="false">IF($A323="","",IFERROR(IF(N(INDEX(Clients!$E$6:$E$105,MATCH($B323,Clients!$A$6:$A$105,0)))&gt;0,INDEX(Clients!$E$6:$E$105,MATCH($B323,Clients!$A$6:$A$105,0)),Dashboard!$B$6),Dashboard!$B$6))</f>
        <v/>
      </c>
      <c r="K323" s="31" t="str">
        <f aca="false">IF(OR($A323="",$I323=""),"",$I323+$J323)</f>
        <v/>
      </c>
      <c r="L323" s="26"/>
      <c r="M323" s="32"/>
      <c r="N323" s="33"/>
      <c r="O323" s="34" t="str">
        <f aca="false">IF($A323="","",N($M323)*N($N323))</f>
        <v/>
      </c>
      <c r="P323" s="34" t="str">
        <f aca="false">IF($A323="","",N($M323)+$O323)</f>
        <v/>
      </c>
      <c r="Q323" s="34" t="str">
        <f aca="false">IF($A323="","",SUMIFS('Credit Notes'!$F$6:$F$205,'Credit Notes'!$B$6:$B$205,$A323,'Credit Notes'!$H$6:$H$205,"Issued"))</f>
        <v/>
      </c>
      <c r="R323" s="34" t="str">
        <f aca="false">IF($A323="","",SUMIFS(Payments!$I$6:$I$505,Payments!$C$6:$C$505,$A323))</f>
        <v/>
      </c>
      <c r="S323" s="34" t="str">
        <f aca="false">IF($A323="","",IF($T323="Void",0,$P323-$Q323-$R323))</f>
        <v/>
      </c>
      <c r="T323" s="26"/>
      <c r="U323" s="35" t="str">
        <f aca="false">IF($A323="","",IF($T323="Void","Void",IF(OR($T323="",$T323="Draft"),"Draft",IF($T323="Disputed","Disputed",IF($S323&lt;-0.005,"Overpaid",IF($S323&lt;=0.005,"Paid",IF($R323+$Q323&gt;0.005,IF($V323&gt;0,"Part-paid, overdue","Part-paid"),IF($V323&gt;0,"Overdue","Outstanding"))))))))</f>
        <v/>
      </c>
      <c r="V323" s="36" t="str">
        <f aca="true">IF($A323="","",IF(AND(OR($T323="Issued",$T323="Disputed"),$S323&gt;0.005,$K323&lt;&gt;"",$K323&lt;TODAY()),TODAY()-$K323,0))</f>
        <v/>
      </c>
      <c r="W323" s="35" t="str">
        <f aca="false">IF($A323="","",IF(AND(OR($T323="Issued",$T323="Disputed"),$S323&gt;0.005),IF($V323&lt;=0,"Not yet due",IF($V323&lt;=30,"1 to 30 days",IF($V323&lt;=60,"31 to 60 days",IF($V323&lt;=90,"61 to 90 days","Over 90 days")))),""))</f>
        <v/>
      </c>
      <c r="X323" s="26"/>
      <c r="Y323" s="29"/>
      <c r="Z323" s="28"/>
      <c r="AA323" s="28"/>
    </row>
    <row r="324" customFormat="false" ht="15" hidden="false" customHeight="false" outlineLevel="0" collapsed="false">
      <c r="A324" s="26"/>
      <c r="B324" s="26"/>
      <c r="C324" s="27" t="str">
        <f aca="false">IF($B324="","",IFERROR(INDEX(Clients!$B$6:$B$105,MATCH($B324,Clients!$A$6:$A$105,0)),"Client not found"))</f>
        <v/>
      </c>
      <c r="D324" s="26"/>
      <c r="E324" s="26"/>
      <c r="F324" s="26"/>
      <c r="G324" s="26"/>
      <c r="H324" s="28"/>
      <c r="I324" s="29"/>
      <c r="J324" s="30" t="str">
        <f aca="false">IF($A324="","",IFERROR(IF(N(INDEX(Clients!$E$6:$E$105,MATCH($B324,Clients!$A$6:$A$105,0)))&gt;0,INDEX(Clients!$E$6:$E$105,MATCH($B324,Clients!$A$6:$A$105,0)),Dashboard!$B$6),Dashboard!$B$6))</f>
        <v/>
      </c>
      <c r="K324" s="31" t="str">
        <f aca="false">IF(OR($A324="",$I324=""),"",$I324+$J324)</f>
        <v/>
      </c>
      <c r="L324" s="26"/>
      <c r="M324" s="32"/>
      <c r="N324" s="33"/>
      <c r="O324" s="34" t="str">
        <f aca="false">IF($A324="","",N($M324)*N($N324))</f>
        <v/>
      </c>
      <c r="P324" s="34" t="str">
        <f aca="false">IF($A324="","",N($M324)+$O324)</f>
        <v/>
      </c>
      <c r="Q324" s="34" t="str">
        <f aca="false">IF($A324="","",SUMIFS('Credit Notes'!$F$6:$F$205,'Credit Notes'!$B$6:$B$205,$A324,'Credit Notes'!$H$6:$H$205,"Issued"))</f>
        <v/>
      </c>
      <c r="R324" s="34" t="str">
        <f aca="false">IF($A324="","",SUMIFS(Payments!$I$6:$I$505,Payments!$C$6:$C$505,$A324))</f>
        <v/>
      </c>
      <c r="S324" s="34" t="str">
        <f aca="false">IF($A324="","",IF($T324="Void",0,$P324-$Q324-$R324))</f>
        <v/>
      </c>
      <c r="T324" s="26"/>
      <c r="U324" s="35" t="str">
        <f aca="false">IF($A324="","",IF($T324="Void","Void",IF(OR($T324="",$T324="Draft"),"Draft",IF($T324="Disputed","Disputed",IF($S324&lt;-0.005,"Overpaid",IF($S324&lt;=0.005,"Paid",IF($R324+$Q324&gt;0.005,IF($V324&gt;0,"Part-paid, overdue","Part-paid"),IF($V324&gt;0,"Overdue","Outstanding"))))))))</f>
        <v/>
      </c>
      <c r="V324" s="36" t="str">
        <f aca="true">IF($A324="","",IF(AND(OR($T324="Issued",$T324="Disputed"),$S324&gt;0.005,$K324&lt;&gt;"",$K324&lt;TODAY()),TODAY()-$K324,0))</f>
        <v/>
      </c>
      <c r="W324" s="35" t="str">
        <f aca="false">IF($A324="","",IF(AND(OR($T324="Issued",$T324="Disputed"),$S324&gt;0.005),IF($V324&lt;=0,"Not yet due",IF($V324&lt;=30,"1 to 30 days",IF($V324&lt;=60,"31 to 60 days",IF($V324&lt;=90,"61 to 90 days","Over 90 days")))),""))</f>
        <v/>
      </c>
      <c r="X324" s="26"/>
      <c r="Y324" s="29"/>
      <c r="Z324" s="28"/>
      <c r="AA324" s="28"/>
    </row>
    <row r="325" customFormat="false" ht="15" hidden="false" customHeight="false" outlineLevel="0" collapsed="false">
      <c r="A325" s="26"/>
      <c r="B325" s="26"/>
      <c r="C325" s="27" t="str">
        <f aca="false">IF($B325="","",IFERROR(INDEX(Clients!$B$6:$B$105,MATCH($B325,Clients!$A$6:$A$105,0)),"Client not found"))</f>
        <v/>
      </c>
      <c r="D325" s="26"/>
      <c r="E325" s="26"/>
      <c r="F325" s="26"/>
      <c r="G325" s="26"/>
      <c r="H325" s="28"/>
      <c r="I325" s="29"/>
      <c r="J325" s="30" t="str">
        <f aca="false">IF($A325="","",IFERROR(IF(N(INDEX(Clients!$E$6:$E$105,MATCH($B325,Clients!$A$6:$A$105,0)))&gt;0,INDEX(Clients!$E$6:$E$105,MATCH($B325,Clients!$A$6:$A$105,0)),Dashboard!$B$6),Dashboard!$B$6))</f>
        <v/>
      </c>
      <c r="K325" s="31" t="str">
        <f aca="false">IF(OR($A325="",$I325=""),"",$I325+$J325)</f>
        <v/>
      </c>
      <c r="L325" s="26"/>
      <c r="M325" s="32"/>
      <c r="N325" s="33"/>
      <c r="O325" s="34" t="str">
        <f aca="false">IF($A325="","",N($M325)*N($N325))</f>
        <v/>
      </c>
      <c r="P325" s="34" t="str">
        <f aca="false">IF($A325="","",N($M325)+$O325)</f>
        <v/>
      </c>
      <c r="Q325" s="34" t="str">
        <f aca="false">IF($A325="","",SUMIFS('Credit Notes'!$F$6:$F$205,'Credit Notes'!$B$6:$B$205,$A325,'Credit Notes'!$H$6:$H$205,"Issued"))</f>
        <v/>
      </c>
      <c r="R325" s="34" t="str">
        <f aca="false">IF($A325="","",SUMIFS(Payments!$I$6:$I$505,Payments!$C$6:$C$505,$A325))</f>
        <v/>
      </c>
      <c r="S325" s="34" t="str">
        <f aca="false">IF($A325="","",IF($T325="Void",0,$P325-$Q325-$R325))</f>
        <v/>
      </c>
      <c r="T325" s="26"/>
      <c r="U325" s="35" t="str">
        <f aca="false">IF($A325="","",IF($T325="Void","Void",IF(OR($T325="",$T325="Draft"),"Draft",IF($T325="Disputed","Disputed",IF($S325&lt;-0.005,"Overpaid",IF($S325&lt;=0.005,"Paid",IF($R325+$Q325&gt;0.005,IF($V325&gt;0,"Part-paid, overdue","Part-paid"),IF($V325&gt;0,"Overdue","Outstanding"))))))))</f>
        <v/>
      </c>
      <c r="V325" s="36" t="str">
        <f aca="true">IF($A325="","",IF(AND(OR($T325="Issued",$T325="Disputed"),$S325&gt;0.005,$K325&lt;&gt;"",$K325&lt;TODAY()),TODAY()-$K325,0))</f>
        <v/>
      </c>
      <c r="W325" s="35" t="str">
        <f aca="false">IF($A325="","",IF(AND(OR($T325="Issued",$T325="Disputed"),$S325&gt;0.005),IF($V325&lt;=0,"Not yet due",IF($V325&lt;=30,"1 to 30 days",IF($V325&lt;=60,"31 to 60 days",IF($V325&lt;=90,"61 to 90 days","Over 90 days")))),""))</f>
        <v/>
      </c>
      <c r="X325" s="26"/>
      <c r="Y325" s="29"/>
      <c r="Z325" s="28"/>
      <c r="AA325" s="28"/>
    </row>
    <row r="326" customFormat="false" ht="15" hidden="false" customHeight="false" outlineLevel="0" collapsed="false">
      <c r="A326" s="26"/>
      <c r="B326" s="26"/>
      <c r="C326" s="27" t="str">
        <f aca="false">IF($B326="","",IFERROR(INDEX(Clients!$B$6:$B$105,MATCH($B326,Clients!$A$6:$A$105,0)),"Client not found"))</f>
        <v/>
      </c>
      <c r="D326" s="26"/>
      <c r="E326" s="26"/>
      <c r="F326" s="26"/>
      <c r="G326" s="26"/>
      <c r="H326" s="28"/>
      <c r="I326" s="29"/>
      <c r="J326" s="30" t="str">
        <f aca="false">IF($A326="","",IFERROR(IF(N(INDEX(Clients!$E$6:$E$105,MATCH($B326,Clients!$A$6:$A$105,0)))&gt;0,INDEX(Clients!$E$6:$E$105,MATCH($B326,Clients!$A$6:$A$105,0)),Dashboard!$B$6),Dashboard!$B$6))</f>
        <v/>
      </c>
      <c r="K326" s="31" t="str">
        <f aca="false">IF(OR($A326="",$I326=""),"",$I326+$J326)</f>
        <v/>
      </c>
      <c r="L326" s="26"/>
      <c r="M326" s="32"/>
      <c r="N326" s="33"/>
      <c r="O326" s="34" t="str">
        <f aca="false">IF($A326="","",N($M326)*N($N326))</f>
        <v/>
      </c>
      <c r="P326" s="34" t="str">
        <f aca="false">IF($A326="","",N($M326)+$O326)</f>
        <v/>
      </c>
      <c r="Q326" s="34" t="str">
        <f aca="false">IF($A326="","",SUMIFS('Credit Notes'!$F$6:$F$205,'Credit Notes'!$B$6:$B$205,$A326,'Credit Notes'!$H$6:$H$205,"Issued"))</f>
        <v/>
      </c>
      <c r="R326" s="34" t="str">
        <f aca="false">IF($A326="","",SUMIFS(Payments!$I$6:$I$505,Payments!$C$6:$C$505,$A326))</f>
        <v/>
      </c>
      <c r="S326" s="34" t="str">
        <f aca="false">IF($A326="","",IF($T326="Void",0,$P326-$Q326-$R326))</f>
        <v/>
      </c>
      <c r="T326" s="26"/>
      <c r="U326" s="35" t="str">
        <f aca="false">IF($A326="","",IF($T326="Void","Void",IF(OR($T326="",$T326="Draft"),"Draft",IF($T326="Disputed","Disputed",IF($S326&lt;-0.005,"Overpaid",IF($S326&lt;=0.005,"Paid",IF($R326+$Q326&gt;0.005,IF($V326&gt;0,"Part-paid, overdue","Part-paid"),IF($V326&gt;0,"Overdue","Outstanding"))))))))</f>
        <v/>
      </c>
      <c r="V326" s="36" t="str">
        <f aca="true">IF($A326="","",IF(AND(OR($T326="Issued",$T326="Disputed"),$S326&gt;0.005,$K326&lt;&gt;"",$K326&lt;TODAY()),TODAY()-$K326,0))</f>
        <v/>
      </c>
      <c r="W326" s="35" t="str">
        <f aca="false">IF($A326="","",IF(AND(OR($T326="Issued",$T326="Disputed"),$S326&gt;0.005),IF($V326&lt;=0,"Not yet due",IF($V326&lt;=30,"1 to 30 days",IF($V326&lt;=60,"31 to 60 days",IF($V326&lt;=90,"61 to 90 days","Over 90 days")))),""))</f>
        <v/>
      </c>
      <c r="X326" s="26"/>
      <c r="Y326" s="29"/>
      <c r="Z326" s="28"/>
      <c r="AA326" s="28"/>
    </row>
    <row r="327" customFormat="false" ht="15" hidden="false" customHeight="false" outlineLevel="0" collapsed="false">
      <c r="A327" s="26"/>
      <c r="B327" s="26"/>
      <c r="C327" s="27" t="str">
        <f aca="false">IF($B327="","",IFERROR(INDEX(Clients!$B$6:$B$105,MATCH($B327,Clients!$A$6:$A$105,0)),"Client not found"))</f>
        <v/>
      </c>
      <c r="D327" s="26"/>
      <c r="E327" s="26"/>
      <c r="F327" s="26"/>
      <c r="G327" s="26"/>
      <c r="H327" s="28"/>
      <c r="I327" s="29"/>
      <c r="J327" s="30" t="str">
        <f aca="false">IF($A327="","",IFERROR(IF(N(INDEX(Clients!$E$6:$E$105,MATCH($B327,Clients!$A$6:$A$105,0)))&gt;0,INDEX(Clients!$E$6:$E$105,MATCH($B327,Clients!$A$6:$A$105,0)),Dashboard!$B$6),Dashboard!$B$6))</f>
        <v/>
      </c>
      <c r="K327" s="31" t="str">
        <f aca="false">IF(OR($A327="",$I327=""),"",$I327+$J327)</f>
        <v/>
      </c>
      <c r="L327" s="26"/>
      <c r="M327" s="32"/>
      <c r="N327" s="33"/>
      <c r="O327" s="34" t="str">
        <f aca="false">IF($A327="","",N($M327)*N($N327))</f>
        <v/>
      </c>
      <c r="P327" s="34" t="str">
        <f aca="false">IF($A327="","",N($M327)+$O327)</f>
        <v/>
      </c>
      <c r="Q327" s="34" t="str">
        <f aca="false">IF($A327="","",SUMIFS('Credit Notes'!$F$6:$F$205,'Credit Notes'!$B$6:$B$205,$A327,'Credit Notes'!$H$6:$H$205,"Issued"))</f>
        <v/>
      </c>
      <c r="R327" s="34" t="str">
        <f aca="false">IF($A327="","",SUMIFS(Payments!$I$6:$I$505,Payments!$C$6:$C$505,$A327))</f>
        <v/>
      </c>
      <c r="S327" s="34" t="str">
        <f aca="false">IF($A327="","",IF($T327="Void",0,$P327-$Q327-$R327))</f>
        <v/>
      </c>
      <c r="T327" s="26"/>
      <c r="U327" s="35" t="str">
        <f aca="false">IF($A327="","",IF($T327="Void","Void",IF(OR($T327="",$T327="Draft"),"Draft",IF($T327="Disputed","Disputed",IF($S327&lt;-0.005,"Overpaid",IF($S327&lt;=0.005,"Paid",IF($R327+$Q327&gt;0.005,IF($V327&gt;0,"Part-paid, overdue","Part-paid"),IF($V327&gt;0,"Overdue","Outstanding"))))))))</f>
        <v/>
      </c>
      <c r="V327" s="36" t="str">
        <f aca="true">IF($A327="","",IF(AND(OR($T327="Issued",$T327="Disputed"),$S327&gt;0.005,$K327&lt;&gt;"",$K327&lt;TODAY()),TODAY()-$K327,0))</f>
        <v/>
      </c>
      <c r="W327" s="35" t="str">
        <f aca="false">IF($A327="","",IF(AND(OR($T327="Issued",$T327="Disputed"),$S327&gt;0.005),IF($V327&lt;=0,"Not yet due",IF($V327&lt;=30,"1 to 30 days",IF($V327&lt;=60,"31 to 60 days",IF($V327&lt;=90,"61 to 90 days","Over 90 days")))),""))</f>
        <v/>
      </c>
      <c r="X327" s="26"/>
      <c r="Y327" s="29"/>
      <c r="Z327" s="28"/>
      <c r="AA327" s="28"/>
    </row>
    <row r="328" customFormat="false" ht="15" hidden="false" customHeight="false" outlineLevel="0" collapsed="false">
      <c r="A328" s="26"/>
      <c r="B328" s="26"/>
      <c r="C328" s="27" t="str">
        <f aca="false">IF($B328="","",IFERROR(INDEX(Clients!$B$6:$B$105,MATCH($B328,Clients!$A$6:$A$105,0)),"Client not found"))</f>
        <v/>
      </c>
      <c r="D328" s="26"/>
      <c r="E328" s="26"/>
      <c r="F328" s="26"/>
      <c r="G328" s="26"/>
      <c r="H328" s="28"/>
      <c r="I328" s="29"/>
      <c r="J328" s="30" t="str">
        <f aca="false">IF($A328="","",IFERROR(IF(N(INDEX(Clients!$E$6:$E$105,MATCH($B328,Clients!$A$6:$A$105,0)))&gt;0,INDEX(Clients!$E$6:$E$105,MATCH($B328,Clients!$A$6:$A$105,0)),Dashboard!$B$6),Dashboard!$B$6))</f>
        <v/>
      </c>
      <c r="K328" s="31" t="str">
        <f aca="false">IF(OR($A328="",$I328=""),"",$I328+$J328)</f>
        <v/>
      </c>
      <c r="L328" s="26"/>
      <c r="M328" s="32"/>
      <c r="N328" s="33"/>
      <c r="O328" s="34" t="str">
        <f aca="false">IF($A328="","",N($M328)*N($N328))</f>
        <v/>
      </c>
      <c r="P328" s="34" t="str">
        <f aca="false">IF($A328="","",N($M328)+$O328)</f>
        <v/>
      </c>
      <c r="Q328" s="34" t="str">
        <f aca="false">IF($A328="","",SUMIFS('Credit Notes'!$F$6:$F$205,'Credit Notes'!$B$6:$B$205,$A328,'Credit Notes'!$H$6:$H$205,"Issued"))</f>
        <v/>
      </c>
      <c r="R328" s="34" t="str">
        <f aca="false">IF($A328="","",SUMIFS(Payments!$I$6:$I$505,Payments!$C$6:$C$505,$A328))</f>
        <v/>
      </c>
      <c r="S328" s="34" t="str">
        <f aca="false">IF($A328="","",IF($T328="Void",0,$P328-$Q328-$R328))</f>
        <v/>
      </c>
      <c r="T328" s="26"/>
      <c r="U328" s="35" t="str">
        <f aca="false">IF($A328="","",IF($T328="Void","Void",IF(OR($T328="",$T328="Draft"),"Draft",IF($T328="Disputed","Disputed",IF($S328&lt;-0.005,"Overpaid",IF($S328&lt;=0.005,"Paid",IF($R328+$Q328&gt;0.005,IF($V328&gt;0,"Part-paid, overdue","Part-paid"),IF($V328&gt;0,"Overdue","Outstanding"))))))))</f>
        <v/>
      </c>
      <c r="V328" s="36" t="str">
        <f aca="true">IF($A328="","",IF(AND(OR($T328="Issued",$T328="Disputed"),$S328&gt;0.005,$K328&lt;&gt;"",$K328&lt;TODAY()),TODAY()-$K328,0))</f>
        <v/>
      </c>
      <c r="W328" s="35" t="str">
        <f aca="false">IF($A328="","",IF(AND(OR($T328="Issued",$T328="Disputed"),$S328&gt;0.005),IF($V328&lt;=0,"Not yet due",IF($V328&lt;=30,"1 to 30 days",IF($V328&lt;=60,"31 to 60 days",IF($V328&lt;=90,"61 to 90 days","Over 90 days")))),""))</f>
        <v/>
      </c>
      <c r="X328" s="26"/>
      <c r="Y328" s="29"/>
      <c r="Z328" s="28"/>
      <c r="AA328" s="28"/>
    </row>
    <row r="329" customFormat="false" ht="15" hidden="false" customHeight="false" outlineLevel="0" collapsed="false">
      <c r="A329" s="26"/>
      <c r="B329" s="26"/>
      <c r="C329" s="27" t="str">
        <f aca="false">IF($B329="","",IFERROR(INDEX(Clients!$B$6:$B$105,MATCH($B329,Clients!$A$6:$A$105,0)),"Client not found"))</f>
        <v/>
      </c>
      <c r="D329" s="26"/>
      <c r="E329" s="26"/>
      <c r="F329" s="26"/>
      <c r="G329" s="26"/>
      <c r="H329" s="28"/>
      <c r="I329" s="29"/>
      <c r="J329" s="30" t="str">
        <f aca="false">IF($A329="","",IFERROR(IF(N(INDEX(Clients!$E$6:$E$105,MATCH($B329,Clients!$A$6:$A$105,0)))&gt;0,INDEX(Clients!$E$6:$E$105,MATCH($B329,Clients!$A$6:$A$105,0)),Dashboard!$B$6),Dashboard!$B$6))</f>
        <v/>
      </c>
      <c r="K329" s="31" t="str">
        <f aca="false">IF(OR($A329="",$I329=""),"",$I329+$J329)</f>
        <v/>
      </c>
      <c r="L329" s="26"/>
      <c r="M329" s="32"/>
      <c r="N329" s="33"/>
      <c r="O329" s="34" t="str">
        <f aca="false">IF($A329="","",N($M329)*N($N329))</f>
        <v/>
      </c>
      <c r="P329" s="34" t="str">
        <f aca="false">IF($A329="","",N($M329)+$O329)</f>
        <v/>
      </c>
      <c r="Q329" s="34" t="str">
        <f aca="false">IF($A329="","",SUMIFS('Credit Notes'!$F$6:$F$205,'Credit Notes'!$B$6:$B$205,$A329,'Credit Notes'!$H$6:$H$205,"Issued"))</f>
        <v/>
      </c>
      <c r="R329" s="34" t="str">
        <f aca="false">IF($A329="","",SUMIFS(Payments!$I$6:$I$505,Payments!$C$6:$C$505,$A329))</f>
        <v/>
      </c>
      <c r="S329" s="34" t="str">
        <f aca="false">IF($A329="","",IF($T329="Void",0,$P329-$Q329-$R329))</f>
        <v/>
      </c>
      <c r="T329" s="26"/>
      <c r="U329" s="35" t="str">
        <f aca="false">IF($A329="","",IF($T329="Void","Void",IF(OR($T329="",$T329="Draft"),"Draft",IF($T329="Disputed","Disputed",IF($S329&lt;-0.005,"Overpaid",IF($S329&lt;=0.005,"Paid",IF($R329+$Q329&gt;0.005,IF($V329&gt;0,"Part-paid, overdue","Part-paid"),IF($V329&gt;0,"Overdue","Outstanding"))))))))</f>
        <v/>
      </c>
      <c r="V329" s="36" t="str">
        <f aca="true">IF($A329="","",IF(AND(OR($T329="Issued",$T329="Disputed"),$S329&gt;0.005,$K329&lt;&gt;"",$K329&lt;TODAY()),TODAY()-$K329,0))</f>
        <v/>
      </c>
      <c r="W329" s="35" t="str">
        <f aca="false">IF($A329="","",IF(AND(OR($T329="Issued",$T329="Disputed"),$S329&gt;0.005),IF($V329&lt;=0,"Not yet due",IF($V329&lt;=30,"1 to 30 days",IF($V329&lt;=60,"31 to 60 days",IF($V329&lt;=90,"61 to 90 days","Over 90 days")))),""))</f>
        <v/>
      </c>
      <c r="X329" s="26"/>
      <c r="Y329" s="29"/>
      <c r="Z329" s="28"/>
      <c r="AA329" s="28"/>
    </row>
    <row r="330" customFormat="false" ht="15" hidden="false" customHeight="false" outlineLevel="0" collapsed="false">
      <c r="A330" s="26"/>
      <c r="B330" s="26"/>
      <c r="C330" s="27" t="str">
        <f aca="false">IF($B330="","",IFERROR(INDEX(Clients!$B$6:$B$105,MATCH($B330,Clients!$A$6:$A$105,0)),"Client not found"))</f>
        <v/>
      </c>
      <c r="D330" s="26"/>
      <c r="E330" s="26"/>
      <c r="F330" s="26"/>
      <c r="G330" s="26"/>
      <c r="H330" s="28"/>
      <c r="I330" s="29"/>
      <c r="J330" s="30" t="str">
        <f aca="false">IF($A330="","",IFERROR(IF(N(INDEX(Clients!$E$6:$E$105,MATCH($B330,Clients!$A$6:$A$105,0)))&gt;0,INDEX(Clients!$E$6:$E$105,MATCH($B330,Clients!$A$6:$A$105,0)),Dashboard!$B$6),Dashboard!$B$6))</f>
        <v/>
      </c>
      <c r="K330" s="31" t="str">
        <f aca="false">IF(OR($A330="",$I330=""),"",$I330+$J330)</f>
        <v/>
      </c>
      <c r="L330" s="26"/>
      <c r="M330" s="32"/>
      <c r="N330" s="33"/>
      <c r="O330" s="34" t="str">
        <f aca="false">IF($A330="","",N($M330)*N($N330))</f>
        <v/>
      </c>
      <c r="P330" s="34" t="str">
        <f aca="false">IF($A330="","",N($M330)+$O330)</f>
        <v/>
      </c>
      <c r="Q330" s="34" t="str">
        <f aca="false">IF($A330="","",SUMIFS('Credit Notes'!$F$6:$F$205,'Credit Notes'!$B$6:$B$205,$A330,'Credit Notes'!$H$6:$H$205,"Issued"))</f>
        <v/>
      </c>
      <c r="R330" s="34" t="str">
        <f aca="false">IF($A330="","",SUMIFS(Payments!$I$6:$I$505,Payments!$C$6:$C$505,$A330))</f>
        <v/>
      </c>
      <c r="S330" s="34" t="str">
        <f aca="false">IF($A330="","",IF($T330="Void",0,$P330-$Q330-$R330))</f>
        <v/>
      </c>
      <c r="T330" s="26"/>
      <c r="U330" s="35" t="str">
        <f aca="false">IF($A330="","",IF($T330="Void","Void",IF(OR($T330="",$T330="Draft"),"Draft",IF($T330="Disputed","Disputed",IF($S330&lt;-0.005,"Overpaid",IF($S330&lt;=0.005,"Paid",IF($R330+$Q330&gt;0.005,IF($V330&gt;0,"Part-paid, overdue","Part-paid"),IF($V330&gt;0,"Overdue","Outstanding"))))))))</f>
        <v/>
      </c>
      <c r="V330" s="36" t="str">
        <f aca="true">IF($A330="","",IF(AND(OR($T330="Issued",$T330="Disputed"),$S330&gt;0.005,$K330&lt;&gt;"",$K330&lt;TODAY()),TODAY()-$K330,0))</f>
        <v/>
      </c>
      <c r="W330" s="35" t="str">
        <f aca="false">IF($A330="","",IF(AND(OR($T330="Issued",$T330="Disputed"),$S330&gt;0.005),IF($V330&lt;=0,"Not yet due",IF($V330&lt;=30,"1 to 30 days",IF($V330&lt;=60,"31 to 60 days",IF($V330&lt;=90,"61 to 90 days","Over 90 days")))),""))</f>
        <v/>
      </c>
      <c r="X330" s="26"/>
      <c r="Y330" s="29"/>
      <c r="Z330" s="28"/>
      <c r="AA330" s="28"/>
    </row>
    <row r="331" customFormat="false" ht="15" hidden="false" customHeight="false" outlineLevel="0" collapsed="false">
      <c r="A331" s="26"/>
      <c r="B331" s="26"/>
      <c r="C331" s="27" t="str">
        <f aca="false">IF($B331="","",IFERROR(INDEX(Clients!$B$6:$B$105,MATCH($B331,Clients!$A$6:$A$105,0)),"Client not found"))</f>
        <v/>
      </c>
      <c r="D331" s="26"/>
      <c r="E331" s="26"/>
      <c r="F331" s="26"/>
      <c r="G331" s="26"/>
      <c r="H331" s="28"/>
      <c r="I331" s="29"/>
      <c r="J331" s="30" t="str">
        <f aca="false">IF($A331="","",IFERROR(IF(N(INDEX(Clients!$E$6:$E$105,MATCH($B331,Clients!$A$6:$A$105,0)))&gt;0,INDEX(Clients!$E$6:$E$105,MATCH($B331,Clients!$A$6:$A$105,0)),Dashboard!$B$6),Dashboard!$B$6))</f>
        <v/>
      </c>
      <c r="K331" s="31" t="str">
        <f aca="false">IF(OR($A331="",$I331=""),"",$I331+$J331)</f>
        <v/>
      </c>
      <c r="L331" s="26"/>
      <c r="M331" s="32"/>
      <c r="N331" s="33"/>
      <c r="O331" s="34" t="str">
        <f aca="false">IF($A331="","",N($M331)*N($N331))</f>
        <v/>
      </c>
      <c r="P331" s="34" t="str">
        <f aca="false">IF($A331="","",N($M331)+$O331)</f>
        <v/>
      </c>
      <c r="Q331" s="34" t="str">
        <f aca="false">IF($A331="","",SUMIFS('Credit Notes'!$F$6:$F$205,'Credit Notes'!$B$6:$B$205,$A331,'Credit Notes'!$H$6:$H$205,"Issued"))</f>
        <v/>
      </c>
      <c r="R331" s="34" t="str">
        <f aca="false">IF($A331="","",SUMIFS(Payments!$I$6:$I$505,Payments!$C$6:$C$505,$A331))</f>
        <v/>
      </c>
      <c r="S331" s="34" t="str">
        <f aca="false">IF($A331="","",IF($T331="Void",0,$P331-$Q331-$R331))</f>
        <v/>
      </c>
      <c r="T331" s="26"/>
      <c r="U331" s="35" t="str">
        <f aca="false">IF($A331="","",IF($T331="Void","Void",IF(OR($T331="",$T331="Draft"),"Draft",IF($T331="Disputed","Disputed",IF($S331&lt;-0.005,"Overpaid",IF($S331&lt;=0.005,"Paid",IF($R331+$Q331&gt;0.005,IF($V331&gt;0,"Part-paid, overdue","Part-paid"),IF($V331&gt;0,"Overdue","Outstanding"))))))))</f>
        <v/>
      </c>
      <c r="V331" s="36" t="str">
        <f aca="true">IF($A331="","",IF(AND(OR($T331="Issued",$T331="Disputed"),$S331&gt;0.005,$K331&lt;&gt;"",$K331&lt;TODAY()),TODAY()-$K331,0))</f>
        <v/>
      </c>
      <c r="W331" s="35" t="str">
        <f aca="false">IF($A331="","",IF(AND(OR($T331="Issued",$T331="Disputed"),$S331&gt;0.005),IF($V331&lt;=0,"Not yet due",IF($V331&lt;=30,"1 to 30 days",IF($V331&lt;=60,"31 to 60 days",IF($V331&lt;=90,"61 to 90 days","Over 90 days")))),""))</f>
        <v/>
      </c>
      <c r="X331" s="26"/>
      <c r="Y331" s="29"/>
      <c r="Z331" s="28"/>
      <c r="AA331" s="28"/>
    </row>
    <row r="332" customFormat="false" ht="15" hidden="false" customHeight="false" outlineLevel="0" collapsed="false">
      <c r="A332" s="26"/>
      <c r="B332" s="26"/>
      <c r="C332" s="27" t="str">
        <f aca="false">IF($B332="","",IFERROR(INDEX(Clients!$B$6:$B$105,MATCH($B332,Clients!$A$6:$A$105,0)),"Client not found"))</f>
        <v/>
      </c>
      <c r="D332" s="26"/>
      <c r="E332" s="26"/>
      <c r="F332" s="26"/>
      <c r="G332" s="26"/>
      <c r="H332" s="28"/>
      <c r="I332" s="29"/>
      <c r="J332" s="30" t="str">
        <f aca="false">IF($A332="","",IFERROR(IF(N(INDEX(Clients!$E$6:$E$105,MATCH($B332,Clients!$A$6:$A$105,0)))&gt;0,INDEX(Clients!$E$6:$E$105,MATCH($B332,Clients!$A$6:$A$105,0)),Dashboard!$B$6),Dashboard!$B$6))</f>
        <v/>
      </c>
      <c r="K332" s="31" t="str">
        <f aca="false">IF(OR($A332="",$I332=""),"",$I332+$J332)</f>
        <v/>
      </c>
      <c r="L332" s="26"/>
      <c r="M332" s="32"/>
      <c r="N332" s="33"/>
      <c r="O332" s="34" t="str">
        <f aca="false">IF($A332="","",N($M332)*N($N332))</f>
        <v/>
      </c>
      <c r="P332" s="34" t="str">
        <f aca="false">IF($A332="","",N($M332)+$O332)</f>
        <v/>
      </c>
      <c r="Q332" s="34" t="str">
        <f aca="false">IF($A332="","",SUMIFS('Credit Notes'!$F$6:$F$205,'Credit Notes'!$B$6:$B$205,$A332,'Credit Notes'!$H$6:$H$205,"Issued"))</f>
        <v/>
      </c>
      <c r="R332" s="34" t="str">
        <f aca="false">IF($A332="","",SUMIFS(Payments!$I$6:$I$505,Payments!$C$6:$C$505,$A332))</f>
        <v/>
      </c>
      <c r="S332" s="34" t="str">
        <f aca="false">IF($A332="","",IF($T332="Void",0,$P332-$Q332-$R332))</f>
        <v/>
      </c>
      <c r="T332" s="26"/>
      <c r="U332" s="35" t="str">
        <f aca="false">IF($A332="","",IF($T332="Void","Void",IF(OR($T332="",$T332="Draft"),"Draft",IF($T332="Disputed","Disputed",IF($S332&lt;-0.005,"Overpaid",IF($S332&lt;=0.005,"Paid",IF($R332+$Q332&gt;0.005,IF($V332&gt;0,"Part-paid, overdue","Part-paid"),IF($V332&gt;0,"Overdue","Outstanding"))))))))</f>
        <v/>
      </c>
      <c r="V332" s="36" t="str">
        <f aca="true">IF($A332="","",IF(AND(OR($T332="Issued",$T332="Disputed"),$S332&gt;0.005,$K332&lt;&gt;"",$K332&lt;TODAY()),TODAY()-$K332,0))</f>
        <v/>
      </c>
      <c r="W332" s="35" t="str">
        <f aca="false">IF($A332="","",IF(AND(OR($T332="Issued",$T332="Disputed"),$S332&gt;0.005),IF($V332&lt;=0,"Not yet due",IF($V332&lt;=30,"1 to 30 days",IF($V332&lt;=60,"31 to 60 days",IF($V332&lt;=90,"61 to 90 days","Over 90 days")))),""))</f>
        <v/>
      </c>
      <c r="X332" s="26"/>
      <c r="Y332" s="29"/>
      <c r="Z332" s="28"/>
      <c r="AA332" s="28"/>
    </row>
    <row r="333" customFormat="false" ht="15" hidden="false" customHeight="false" outlineLevel="0" collapsed="false">
      <c r="A333" s="26"/>
      <c r="B333" s="26"/>
      <c r="C333" s="27" t="str">
        <f aca="false">IF($B333="","",IFERROR(INDEX(Clients!$B$6:$B$105,MATCH($B333,Clients!$A$6:$A$105,0)),"Client not found"))</f>
        <v/>
      </c>
      <c r="D333" s="26"/>
      <c r="E333" s="26"/>
      <c r="F333" s="26"/>
      <c r="G333" s="26"/>
      <c r="H333" s="28"/>
      <c r="I333" s="29"/>
      <c r="J333" s="30" t="str">
        <f aca="false">IF($A333="","",IFERROR(IF(N(INDEX(Clients!$E$6:$E$105,MATCH($B333,Clients!$A$6:$A$105,0)))&gt;0,INDEX(Clients!$E$6:$E$105,MATCH($B333,Clients!$A$6:$A$105,0)),Dashboard!$B$6),Dashboard!$B$6))</f>
        <v/>
      </c>
      <c r="K333" s="31" t="str">
        <f aca="false">IF(OR($A333="",$I333=""),"",$I333+$J333)</f>
        <v/>
      </c>
      <c r="L333" s="26"/>
      <c r="M333" s="32"/>
      <c r="N333" s="33"/>
      <c r="O333" s="34" t="str">
        <f aca="false">IF($A333="","",N($M333)*N($N333))</f>
        <v/>
      </c>
      <c r="P333" s="34" t="str">
        <f aca="false">IF($A333="","",N($M333)+$O333)</f>
        <v/>
      </c>
      <c r="Q333" s="34" t="str">
        <f aca="false">IF($A333="","",SUMIFS('Credit Notes'!$F$6:$F$205,'Credit Notes'!$B$6:$B$205,$A333,'Credit Notes'!$H$6:$H$205,"Issued"))</f>
        <v/>
      </c>
      <c r="R333" s="34" t="str">
        <f aca="false">IF($A333="","",SUMIFS(Payments!$I$6:$I$505,Payments!$C$6:$C$505,$A333))</f>
        <v/>
      </c>
      <c r="S333" s="34" t="str">
        <f aca="false">IF($A333="","",IF($T333="Void",0,$P333-$Q333-$R333))</f>
        <v/>
      </c>
      <c r="T333" s="26"/>
      <c r="U333" s="35" t="str">
        <f aca="false">IF($A333="","",IF($T333="Void","Void",IF(OR($T333="",$T333="Draft"),"Draft",IF($T333="Disputed","Disputed",IF($S333&lt;-0.005,"Overpaid",IF($S333&lt;=0.005,"Paid",IF($R333+$Q333&gt;0.005,IF($V333&gt;0,"Part-paid, overdue","Part-paid"),IF($V333&gt;0,"Overdue","Outstanding"))))))))</f>
        <v/>
      </c>
      <c r="V333" s="36" t="str">
        <f aca="true">IF($A333="","",IF(AND(OR($T333="Issued",$T333="Disputed"),$S333&gt;0.005,$K333&lt;&gt;"",$K333&lt;TODAY()),TODAY()-$K333,0))</f>
        <v/>
      </c>
      <c r="W333" s="35" t="str">
        <f aca="false">IF($A333="","",IF(AND(OR($T333="Issued",$T333="Disputed"),$S333&gt;0.005),IF($V333&lt;=0,"Not yet due",IF($V333&lt;=30,"1 to 30 days",IF($V333&lt;=60,"31 to 60 days",IF($V333&lt;=90,"61 to 90 days","Over 90 days")))),""))</f>
        <v/>
      </c>
      <c r="X333" s="26"/>
      <c r="Y333" s="29"/>
      <c r="Z333" s="28"/>
      <c r="AA333" s="28"/>
    </row>
    <row r="334" customFormat="false" ht="15" hidden="false" customHeight="false" outlineLevel="0" collapsed="false">
      <c r="A334" s="26"/>
      <c r="B334" s="26"/>
      <c r="C334" s="27" t="str">
        <f aca="false">IF($B334="","",IFERROR(INDEX(Clients!$B$6:$B$105,MATCH($B334,Clients!$A$6:$A$105,0)),"Client not found"))</f>
        <v/>
      </c>
      <c r="D334" s="26"/>
      <c r="E334" s="26"/>
      <c r="F334" s="26"/>
      <c r="G334" s="26"/>
      <c r="H334" s="28"/>
      <c r="I334" s="29"/>
      <c r="J334" s="30" t="str">
        <f aca="false">IF($A334="","",IFERROR(IF(N(INDEX(Clients!$E$6:$E$105,MATCH($B334,Clients!$A$6:$A$105,0)))&gt;0,INDEX(Clients!$E$6:$E$105,MATCH($B334,Clients!$A$6:$A$105,0)),Dashboard!$B$6),Dashboard!$B$6))</f>
        <v/>
      </c>
      <c r="K334" s="31" t="str">
        <f aca="false">IF(OR($A334="",$I334=""),"",$I334+$J334)</f>
        <v/>
      </c>
      <c r="L334" s="26"/>
      <c r="M334" s="32"/>
      <c r="N334" s="33"/>
      <c r="O334" s="34" t="str">
        <f aca="false">IF($A334="","",N($M334)*N($N334))</f>
        <v/>
      </c>
      <c r="P334" s="34" t="str">
        <f aca="false">IF($A334="","",N($M334)+$O334)</f>
        <v/>
      </c>
      <c r="Q334" s="34" t="str">
        <f aca="false">IF($A334="","",SUMIFS('Credit Notes'!$F$6:$F$205,'Credit Notes'!$B$6:$B$205,$A334,'Credit Notes'!$H$6:$H$205,"Issued"))</f>
        <v/>
      </c>
      <c r="R334" s="34" t="str">
        <f aca="false">IF($A334="","",SUMIFS(Payments!$I$6:$I$505,Payments!$C$6:$C$505,$A334))</f>
        <v/>
      </c>
      <c r="S334" s="34" t="str">
        <f aca="false">IF($A334="","",IF($T334="Void",0,$P334-$Q334-$R334))</f>
        <v/>
      </c>
      <c r="T334" s="26"/>
      <c r="U334" s="35" t="str">
        <f aca="false">IF($A334="","",IF($T334="Void","Void",IF(OR($T334="",$T334="Draft"),"Draft",IF($T334="Disputed","Disputed",IF($S334&lt;-0.005,"Overpaid",IF($S334&lt;=0.005,"Paid",IF($R334+$Q334&gt;0.005,IF($V334&gt;0,"Part-paid, overdue","Part-paid"),IF($V334&gt;0,"Overdue","Outstanding"))))))))</f>
        <v/>
      </c>
      <c r="V334" s="36" t="str">
        <f aca="true">IF($A334="","",IF(AND(OR($T334="Issued",$T334="Disputed"),$S334&gt;0.005,$K334&lt;&gt;"",$K334&lt;TODAY()),TODAY()-$K334,0))</f>
        <v/>
      </c>
      <c r="W334" s="35" t="str">
        <f aca="false">IF($A334="","",IF(AND(OR($T334="Issued",$T334="Disputed"),$S334&gt;0.005),IF($V334&lt;=0,"Not yet due",IF($V334&lt;=30,"1 to 30 days",IF($V334&lt;=60,"31 to 60 days",IF($V334&lt;=90,"61 to 90 days","Over 90 days")))),""))</f>
        <v/>
      </c>
      <c r="X334" s="26"/>
      <c r="Y334" s="29"/>
      <c r="Z334" s="28"/>
      <c r="AA334" s="28"/>
    </row>
    <row r="335" customFormat="false" ht="15" hidden="false" customHeight="false" outlineLevel="0" collapsed="false">
      <c r="A335" s="26"/>
      <c r="B335" s="26"/>
      <c r="C335" s="27" t="str">
        <f aca="false">IF($B335="","",IFERROR(INDEX(Clients!$B$6:$B$105,MATCH($B335,Clients!$A$6:$A$105,0)),"Client not found"))</f>
        <v/>
      </c>
      <c r="D335" s="26"/>
      <c r="E335" s="26"/>
      <c r="F335" s="26"/>
      <c r="G335" s="26"/>
      <c r="H335" s="28"/>
      <c r="I335" s="29"/>
      <c r="J335" s="30" t="str">
        <f aca="false">IF($A335="","",IFERROR(IF(N(INDEX(Clients!$E$6:$E$105,MATCH($B335,Clients!$A$6:$A$105,0)))&gt;0,INDEX(Clients!$E$6:$E$105,MATCH($B335,Clients!$A$6:$A$105,0)),Dashboard!$B$6),Dashboard!$B$6))</f>
        <v/>
      </c>
      <c r="K335" s="31" t="str">
        <f aca="false">IF(OR($A335="",$I335=""),"",$I335+$J335)</f>
        <v/>
      </c>
      <c r="L335" s="26"/>
      <c r="M335" s="32"/>
      <c r="N335" s="33"/>
      <c r="O335" s="34" t="str">
        <f aca="false">IF($A335="","",N($M335)*N($N335))</f>
        <v/>
      </c>
      <c r="P335" s="34" t="str">
        <f aca="false">IF($A335="","",N($M335)+$O335)</f>
        <v/>
      </c>
      <c r="Q335" s="34" t="str">
        <f aca="false">IF($A335="","",SUMIFS('Credit Notes'!$F$6:$F$205,'Credit Notes'!$B$6:$B$205,$A335,'Credit Notes'!$H$6:$H$205,"Issued"))</f>
        <v/>
      </c>
      <c r="R335" s="34" t="str">
        <f aca="false">IF($A335="","",SUMIFS(Payments!$I$6:$I$505,Payments!$C$6:$C$505,$A335))</f>
        <v/>
      </c>
      <c r="S335" s="34" t="str">
        <f aca="false">IF($A335="","",IF($T335="Void",0,$P335-$Q335-$R335))</f>
        <v/>
      </c>
      <c r="T335" s="26"/>
      <c r="U335" s="35" t="str">
        <f aca="false">IF($A335="","",IF($T335="Void","Void",IF(OR($T335="",$T335="Draft"),"Draft",IF($T335="Disputed","Disputed",IF($S335&lt;-0.005,"Overpaid",IF($S335&lt;=0.005,"Paid",IF($R335+$Q335&gt;0.005,IF($V335&gt;0,"Part-paid, overdue","Part-paid"),IF($V335&gt;0,"Overdue","Outstanding"))))))))</f>
        <v/>
      </c>
      <c r="V335" s="36" t="str">
        <f aca="true">IF($A335="","",IF(AND(OR($T335="Issued",$T335="Disputed"),$S335&gt;0.005,$K335&lt;&gt;"",$K335&lt;TODAY()),TODAY()-$K335,0))</f>
        <v/>
      </c>
      <c r="W335" s="35" t="str">
        <f aca="false">IF($A335="","",IF(AND(OR($T335="Issued",$T335="Disputed"),$S335&gt;0.005),IF($V335&lt;=0,"Not yet due",IF($V335&lt;=30,"1 to 30 days",IF($V335&lt;=60,"31 to 60 days",IF($V335&lt;=90,"61 to 90 days","Over 90 days")))),""))</f>
        <v/>
      </c>
      <c r="X335" s="26"/>
      <c r="Y335" s="29"/>
      <c r="Z335" s="28"/>
      <c r="AA335" s="28"/>
    </row>
    <row r="336" customFormat="false" ht="15" hidden="false" customHeight="false" outlineLevel="0" collapsed="false">
      <c r="A336" s="26"/>
      <c r="B336" s="26"/>
      <c r="C336" s="27" t="str">
        <f aca="false">IF($B336="","",IFERROR(INDEX(Clients!$B$6:$B$105,MATCH($B336,Clients!$A$6:$A$105,0)),"Client not found"))</f>
        <v/>
      </c>
      <c r="D336" s="26"/>
      <c r="E336" s="26"/>
      <c r="F336" s="26"/>
      <c r="G336" s="26"/>
      <c r="H336" s="28"/>
      <c r="I336" s="29"/>
      <c r="J336" s="30" t="str">
        <f aca="false">IF($A336="","",IFERROR(IF(N(INDEX(Clients!$E$6:$E$105,MATCH($B336,Clients!$A$6:$A$105,0)))&gt;0,INDEX(Clients!$E$6:$E$105,MATCH($B336,Clients!$A$6:$A$105,0)),Dashboard!$B$6),Dashboard!$B$6))</f>
        <v/>
      </c>
      <c r="K336" s="31" t="str">
        <f aca="false">IF(OR($A336="",$I336=""),"",$I336+$J336)</f>
        <v/>
      </c>
      <c r="L336" s="26"/>
      <c r="M336" s="32"/>
      <c r="N336" s="33"/>
      <c r="O336" s="34" t="str">
        <f aca="false">IF($A336="","",N($M336)*N($N336))</f>
        <v/>
      </c>
      <c r="P336" s="34" t="str">
        <f aca="false">IF($A336="","",N($M336)+$O336)</f>
        <v/>
      </c>
      <c r="Q336" s="34" t="str">
        <f aca="false">IF($A336="","",SUMIFS('Credit Notes'!$F$6:$F$205,'Credit Notes'!$B$6:$B$205,$A336,'Credit Notes'!$H$6:$H$205,"Issued"))</f>
        <v/>
      </c>
      <c r="R336" s="34" t="str">
        <f aca="false">IF($A336="","",SUMIFS(Payments!$I$6:$I$505,Payments!$C$6:$C$505,$A336))</f>
        <v/>
      </c>
      <c r="S336" s="34" t="str">
        <f aca="false">IF($A336="","",IF($T336="Void",0,$P336-$Q336-$R336))</f>
        <v/>
      </c>
      <c r="T336" s="26"/>
      <c r="U336" s="35" t="str">
        <f aca="false">IF($A336="","",IF($T336="Void","Void",IF(OR($T336="",$T336="Draft"),"Draft",IF($T336="Disputed","Disputed",IF($S336&lt;-0.005,"Overpaid",IF($S336&lt;=0.005,"Paid",IF($R336+$Q336&gt;0.005,IF($V336&gt;0,"Part-paid, overdue","Part-paid"),IF($V336&gt;0,"Overdue","Outstanding"))))))))</f>
        <v/>
      </c>
      <c r="V336" s="36" t="str">
        <f aca="true">IF($A336="","",IF(AND(OR($T336="Issued",$T336="Disputed"),$S336&gt;0.005,$K336&lt;&gt;"",$K336&lt;TODAY()),TODAY()-$K336,0))</f>
        <v/>
      </c>
      <c r="W336" s="35" t="str">
        <f aca="false">IF($A336="","",IF(AND(OR($T336="Issued",$T336="Disputed"),$S336&gt;0.005),IF($V336&lt;=0,"Not yet due",IF($V336&lt;=30,"1 to 30 days",IF($V336&lt;=60,"31 to 60 days",IF($V336&lt;=90,"61 to 90 days","Over 90 days")))),""))</f>
        <v/>
      </c>
      <c r="X336" s="26"/>
      <c r="Y336" s="29"/>
      <c r="Z336" s="28"/>
      <c r="AA336" s="28"/>
    </row>
    <row r="337" customFormat="false" ht="15" hidden="false" customHeight="false" outlineLevel="0" collapsed="false">
      <c r="A337" s="26"/>
      <c r="B337" s="26"/>
      <c r="C337" s="27" t="str">
        <f aca="false">IF($B337="","",IFERROR(INDEX(Clients!$B$6:$B$105,MATCH($B337,Clients!$A$6:$A$105,0)),"Client not found"))</f>
        <v/>
      </c>
      <c r="D337" s="26"/>
      <c r="E337" s="26"/>
      <c r="F337" s="26"/>
      <c r="G337" s="26"/>
      <c r="H337" s="28"/>
      <c r="I337" s="29"/>
      <c r="J337" s="30" t="str">
        <f aca="false">IF($A337="","",IFERROR(IF(N(INDEX(Clients!$E$6:$E$105,MATCH($B337,Clients!$A$6:$A$105,0)))&gt;0,INDEX(Clients!$E$6:$E$105,MATCH($B337,Clients!$A$6:$A$105,0)),Dashboard!$B$6),Dashboard!$B$6))</f>
        <v/>
      </c>
      <c r="K337" s="31" t="str">
        <f aca="false">IF(OR($A337="",$I337=""),"",$I337+$J337)</f>
        <v/>
      </c>
      <c r="L337" s="26"/>
      <c r="M337" s="32"/>
      <c r="N337" s="33"/>
      <c r="O337" s="34" t="str">
        <f aca="false">IF($A337="","",N($M337)*N($N337))</f>
        <v/>
      </c>
      <c r="P337" s="34" t="str">
        <f aca="false">IF($A337="","",N($M337)+$O337)</f>
        <v/>
      </c>
      <c r="Q337" s="34" t="str">
        <f aca="false">IF($A337="","",SUMIFS('Credit Notes'!$F$6:$F$205,'Credit Notes'!$B$6:$B$205,$A337,'Credit Notes'!$H$6:$H$205,"Issued"))</f>
        <v/>
      </c>
      <c r="R337" s="34" t="str">
        <f aca="false">IF($A337="","",SUMIFS(Payments!$I$6:$I$505,Payments!$C$6:$C$505,$A337))</f>
        <v/>
      </c>
      <c r="S337" s="34" t="str">
        <f aca="false">IF($A337="","",IF($T337="Void",0,$P337-$Q337-$R337))</f>
        <v/>
      </c>
      <c r="T337" s="26"/>
      <c r="U337" s="35" t="str">
        <f aca="false">IF($A337="","",IF($T337="Void","Void",IF(OR($T337="",$T337="Draft"),"Draft",IF($T337="Disputed","Disputed",IF($S337&lt;-0.005,"Overpaid",IF($S337&lt;=0.005,"Paid",IF($R337+$Q337&gt;0.005,IF($V337&gt;0,"Part-paid, overdue","Part-paid"),IF($V337&gt;0,"Overdue","Outstanding"))))))))</f>
        <v/>
      </c>
      <c r="V337" s="36" t="str">
        <f aca="true">IF($A337="","",IF(AND(OR($T337="Issued",$T337="Disputed"),$S337&gt;0.005,$K337&lt;&gt;"",$K337&lt;TODAY()),TODAY()-$K337,0))</f>
        <v/>
      </c>
      <c r="W337" s="35" t="str">
        <f aca="false">IF($A337="","",IF(AND(OR($T337="Issued",$T337="Disputed"),$S337&gt;0.005),IF($V337&lt;=0,"Not yet due",IF($V337&lt;=30,"1 to 30 days",IF($V337&lt;=60,"31 to 60 days",IF($V337&lt;=90,"61 to 90 days","Over 90 days")))),""))</f>
        <v/>
      </c>
      <c r="X337" s="26"/>
      <c r="Y337" s="29"/>
      <c r="Z337" s="28"/>
      <c r="AA337" s="28"/>
    </row>
    <row r="338" customFormat="false" ht="15" hidden="false" customHeight="false" outlineLevel="0" collapsed="false">
      <c r="A338" s="26"/>
      <c r="B338" s="26"/>
      <c r="C338" s="27" t="str">
        <f aca="false">IF($B338="","",IFERROR(INDEX(Clients!$B$6:$B$105,MATCH($B338,Clients!$A$6:$A$105,0)),"Client not found"))</f>
        <v/>
      </c>
      <c r="D338" s="26"/>
      <c r="E338" s="26"/>
      <c r="F338" s="26"/>
      <c r="G338" s="26"/>
      <c r="H338" s="28"/>
      <c r="I338" s="29"/>
      <c r="J338" s="30" t="str">
        <f aca="false">IF($A338="","",IFERROR(IF(N(INDEX(Clients!$E$6:$E$105,MATCH($B338,Clients!$A$6:$A$105,0)))&gt;0,INDEX(Clients!$E$6:$E$105,MATCH($B338,Clients!$A$6:$A$105,0)),Dashboard!$B$6),Dashboard!$B$6))</f>
        <v/>
      </c>
      <c r="K338" s="31" t="str">
        <f aca="false">IF(OR($A338="",$I338=""),"",$I338+$J338)</f>
        <v/>
      </c>
      <c r="L338" s="26"/>
      <c r="M338" s="32"/>
      <c r="N338" s="33"/>
      <c r="O338" s="34" t="str">
        <f aca="false">IF($A338="","",N($M338)*N($N338))</f>
        <v/>
      </c>
      <c r="P338" s="34" t="str">
        <f aca="false">IF($A338="","",N($M338)+$O338)</f>
        <v/>
      </c>
      <c r="Q338" s="34" t="str">
        <f aca="false">IF($A338="","",SUMIFS('Credit Notes'!$F$6:$F$205,'Credit Notes'!$B$6:$B$205,$A338,'Credit Notes'!$H$6:$H$205,"Issued"))</f>
        <v/>
      </c>
      <c r="R338" s="34" t="str">
        <f aca="false">IF($A338="","",SUMIFS(Payments!$I$6:$I$505,Payments!$C$6:$C$505,$A338))</f>
        <v/>
      </c>
      <c r="S338" s="34" t="str">
        <f aca="false">IF($A338="","",IF($T338="Void",0,$P338-$Q338-$R338))</f>
        <v/>
      </c>
      <c r="T338" s="26"/>
      <c r="U338" s="35" t="str">
        <f aca="false">IF($A338="","",IF($T338="Void","Void",IF(OR($T338="",$T338="Draft"),"Draft",IF($T338="Disputed","Disputed",IF($S338&lt;-0.005,"Overpaid",IF($S338&lt;=0.005,"Paid",IF($R338+$Q338&gt;0.005,IF($V338&gt;0,"Part-paid, overdue","Part-paid"),IF($V338&gt;0,"Overdue","Outstanding"))))))))</f>
        <v/>
      </c>
      <c r="V338" s="36" t="str">
        <f aca="true">IF($A338="","",IF(AND(OR($T338="Issued",$T338="Disputed"),$S338&gt;0.005,$K338&lt;&gt;"",$K338&lt;TODAY()),TODAY()-$K338,0))</f>
        <v/>
      </c>
      <c r="W338" s="35" t="str">
        <f aca="false">IF($A338="","",IF(AND(OR($T338="Issued",$T338="Disputed"),$S338&gt;0.005),IF($V338&lt;=0,"Not yet due",IF($V338&lt;=30,"1 to 30 days",IF($V338&lt;=60,"31 to 60 days",IF($V338&lt;=90,"61 to 90 days","Over 90 days")))),""))</f>
        <v/>
      </c>
      <c r="X338" s="26"/>
      <c r="Y338" s="29"/>
      <c r="Z338" s="28"/>
      <c r="AA338" s="28"/>
    </row>
    <row r="339" customFormat="false" ht="15" hidden="false" customHeight="false" outlineLevel="0" collapsed="false">
      <c r="A339" s="26"/>
      <c r="B339" s="26"/>
      <c r="C339" s="27" t="str">
        <f aca="false">IF($B339="","",IFERROR(INDEX(Clients!$B$6:$B$105,MATCH($B339,Clients!$A$6:$A$105,0)),"Client not found"))</f>
        <v/>
      </c>
      <c r="D339" s="26"/>
      <c r="E339" s="26"/>
      <c r="F339" s="26"/>
      <c r="G339" s="26"/>
      <c r="H339" s="28"/>
      <c r="I339" s="29"/>
      <c r="J339" s="30" t="str">
        <f aca="false">IF($A339="","",IFERROR(IF(N(INDEX(Clients!$E$6:$E$105,MATCH($B339,Clients!$A$6:$A$105,0)))&gt;0,INDEX(Clients!$E$6:$E$105,MATCH($B339,Clients!$A$6:$A$105,0)),Dashboard!$B$6),Dashboard!$B$6))</f>
        <v/>
      </c>
      <c r="K339" s="31" t="str">
        <f aca="false">IF(OR($A339="",$I339=""),"",$I339+$J339)</f>
        <v/>
      </c>
      <c r="L339" s="26"/>
      <c r="M339" s="32"/>
      <c r="N339" s="33"/>
      <c r="O339" s="34" t="str">
        <f aca="false">IF($A339="","",N($M339)*N($N339))</f>
        <v/>
      </c>
      <c r="P339" s="34" t="str">
        <f aca="false">IF($A339="","",N($M339)+$O339)</f>
        <v/>
      </c>
      <c r="Q339" s="34" t="str">
        <f aca="false">IF($A339="","",SUMIFS('Credit Notes'!$F$6:$F$205,'Credit Notes'!$B$6:$B$205,$A339,'Credit Notes'!$H$6:$H$205,"Issued"))</f>
        <v/>
      </c>
      <c r="R339" s="34" t="str">
        <f aca="false">IF($A339="","",SUMIFS(Payments!$I$6:$I$505,Payments!$C$6:$C$505,$A339))</f>
        <v/>
      </c>
      <c r="S339" s="34" t="str">
        <f aca="false">IF($A339="","",IF($T339="Void",0,$P339-$Q339-$R339))</f>
        <v/>
      </c>
      <c r="T339" s="26"/>
      <c r="U339" s="35" t="str">
        <f aca="false">IF($A339="","",IF($T339="Void","Void",IF(OR($T339="",$T339="Draft"),"Draft",IF($T339="Disputed","Disputed",IF($S339&lt;-0.005,"Overpaid",IF($S339&lt;=0.005,"Paid",IF($R339+$Q339&gt;0.005,IF($V339&gt;0,"Part-paid, overdue","Part-paid"),IF($V339&gt;0,"Overdue","Outstanding"))))))))</f>
        <v/>
      </c>
      <c r="V339" s="36" t="str">
        <f aca="true">IF($A339="","",IF(AND(OR($T339="Issued",$T339="Disputed"),$S339&gt;0.005,$K339&lt;&gt;"",$K339&lt;TODAY()),TODAY()-$K339,0))</f>
        <v/>
      </c>
      <c r="W339" s="35" t="str">
        <f aca="false">IF($A339="","",IF(AND(OR($T339="Issued",$T339="Disputed"),$S339&gt;0.005),IF($V339&lt;=0,"Not yet due",IF($V339&lt;=30,"1 to 30 days",IF($V339&lt;=60,"31 to 60 days",IF($V339&lt;=90,"61 to 90 days","Over 90 days")))),""))</f>
        <v/>
      </c>
      <c r="X339" s="26"/>
      <c r="Y339" s="29"/>
      <c r="Z339" s="28"/>
      <c r="AA339" s="28"/>
    </row>
    <row r="340" customFormat="false" ht="15" hidden="false" customHeight="false" outlineLevel="0" collapsed="false">
      <c r="A340" s="26"/>
      <c r="B340" s="26"/>
      <c r="C340" s="27" t="str">
        <f aca="false">IF($B340="","",IFERROR(INDEX(Clients!$B$6:$B$105,MATCH($B340,Clients!$A$6:$A$105,0)),"Client not found"))</f>
        <v/>
      </c>
      <c r="D340" s="26"/>
      <c r="E340" s="26"/>
      <c r="F340" s="26"/>
      <c r="G340" s="26"/>
      <c r="H340" s="28"/>
      <c r="I340" s="29"/>
      <c r="J340" s="30" t="str">
        <f aca="false">IF($A340="","",IFERROR(IF(N(INDEX(Clients!$E$6:$E$105,MATCH($B340,Clients!$A$6:$A$105,0)))&gt;0,INDEX(Clients!$E$6:$E$105,MATCH($B340,Clients!$A$6:$A$105,0)),Dashboard!$B$6),Dashboard!$B$6))</f>
        <v/>
      </c>
      <c r="K340" s="31" t="str">
        <f aca="false">IF(OR($A340="",$I340=""),"",$I340+$J340)</f>
        <v/>
      </c>
      <c r="L340" s="26"/>
      <c r="M340" s="32"/>
      <c r="N340" s="33"/>
      <c r="O340" s="34" t="str">
        <f aca="false">IF($A340="","",N($M340)*N($N340))</f>
        <v/>
      </c>
      <c r="P340" s="34" t="str">
        <f aca="false">IF($A340="","",N($M340)+$O340)</f>
        <v/>
      </c>
      <c r="Q340" s="34" t="str">
        <f aca="false">IF($A340="","",SUMIFS('Credit Notes'!$F$6:$F$205,'Credit Notes'!$B$6:$B$205,$A340,'Credit Notes'!$H$6:$H$205,"Issued"))</f>
        <v/>
      </c>
      <c r="R340" s="34" t="str">
        <f aca="false">IF($A340="","",SUMIFS(Payments!$I$6:$I$505,Payments!$C$6:$C$505,$A340))</f>
        <v/>
      </c>
      <c r="S340" s="34" t="str">
        <f aca="false">IF($A340="","",IF($T340="Void",0,$P340-$Q340-$R340))</f>
        <v/>
      </c>
      <c r="T340" s="26"/>
      <c r="U340" s="35" t="str">
        <f aca="false">IF($A340="","",IF($T340="Void","Void",IF(OR($T340="",$T340="Draft"),"Draft",IF($T340="Disputed","Disputed",IF($S340&lt;-0.005,"Overpaid",IF($S340&lt;=0.005,"Paid",IF($R340+$Q340&gt;0.005,IF($V340&gt;0,"Part-paid, overdue","Part-paid"),IF($V340&gt;0,"Overdue","Outstanding"))))))))</f>
        <v/>
      </c>
      <c r="V340" s="36" t="str">
        <f aca="true">IF($A340="","",IF(AND(OR($T340="Issued",$T340="Disputed"),$S340&gt;0.005,$K340&lt;&gt;"",$K340&lt;TODAY()),TODAY()-$K340,0))</f>
        <v/>
      </c>
      <c r="W340" s="35" t="str">
        <f aca="false">IF($A340="","",IF(AND(OR($T340="Issued",$T340="Disputed"),$S340&gt;0.005),IF($V340&lt;=0,"Not yet due",IF($V340&lt;=30,"1 to 30 days",IF($V340&lt;=60,"31 to 60 days",IF($V340&lt;=90,"61 to 90 days","Over 90 days")))),""))</f>
        <v/>
      </c>
      <c r="X340" s="26"/>
      <c r="Y340" s="29"/>
      <c r="Z340" s="28"/>
      <c r="AA340" s="28"/>
    </row>
    <row r="341" customFormat="false" ht="15" hidden="false" customHeight="false" outlineLevel="0" collapsed="false">
      <c r="A341" s="26"/>
      <c r="B341" s="26"/>
      <c r="C341" s="27" t="str">
        <f aca="false">IF($B341="","",IFERROR(INDEX(Clients!$B$6:$B$105,MATCH($B341,Clients!$A$6:$A$105,0)),"Client not found"))</f>
        <v/>
      </c>
      <c r="D341" s="26"/>
      <c r="E341" s="26"/>
      <c r="F341" s="26"/>
      <c r="G341" s="26"/>
      <c r="H341" s="28"/>
      <c r="I341" s="29"/>
      <c r="J341" s="30" t="str">
        <f aca="false">IF($A341="","",IFERROR(IF(N(INDEX(Clients!$E$6:$E$105,MATCH($B341,Clients!$A$6:$A$105,0)))&gt;0,INDEX(Clients!$E$6:$E$105,MATCH($B341,Clients!$A$6:$A$105,0)),Dashboard!$B$6),Dashboard!$B$6))</f>
        <v/>
      </c>
      <c r="K341" s="31" t="str">
        <f aca="false">IF(OR($A341="",$I341=""),"",$I341+$J341)</f>
        <v/>
      </c>
      <c r="L341" s="26"/>
      <c r="M341" s="32"/>
      <c r="N341" s="33"/>
      <c r="O341" s="34" t="str">
        <f aca="false">IF($A341="","",N($M341)*N($N341))</f>
        <v/>
      </c>
      <c r="P341" s="34" t="str">
        <f aca="false">IF($A341="","",N($M341)+$O341)</f>
        <v/>
      </c>
      <c r="Q341" s="34" t="str">
        <f aca="false">IF($A341="","",SUMIFS('Credit Notes'!$F$6:$F$205,'Credit Notes'!$B$6:$B$205,$A341,'Credit Notes'!$H$6:$H$205,"Issued"))</f>
        <v/>
      </c>
      <c r="R341" s="34" t="str">
        <f aca="false">IF($A341="","",SUMIFS(Payments!$I$6:$I$505,Payments!$C$6:$C$505,$A341))</f>
        <v/>
      </c>
      <c r="S341" s="34" t="str">
        <f aca="false">IF($A341="","",IF($T341="Void",0,$P341-$Q341-$R341))</f>
        <v/>
      </c>
      <c r="T341" s="26"/>
      <c r="U341" s="35" t="str">
        <f aca="false">IF($A341="","",IF($T341="Void","Void",IF(OR($T341="",$T341="Draft"),"Draft",IF($T341="Disputed","Disputed",IF($S341&lt;-0.005,"Overpaid",IF($S341&lt;=0.005,"Paid",IF($R341+$Q341&gt;0.005,IF($V341&gt;0,"Part-paid, overdue","Part-paid"),IF($V341&gt;0,"Overdue","Outstanding"))))))))</f>
        <v/>
      </c>
      <c r="V341" s="36" t="str">
        <f aca="true">IF($A341="","",IF(AND(OR($T341="Issued",$T341="Disputed"),$S341&gt;0.005,$K341&lt;&gt;"",$K341&lt;TODAY()),TODAY()-$K341,0))</f>
        <v/>
      </c>
      <c r="W341" s="35" t="str">
        <f aca="false">IF($A341="","",IF(AND(OR($T341="Issued",$T341="Disputed"),$S341&gt;0.005),IF($V341&lt;=0,"Not yet due",IF($V341&lt;=30,"1 to 30 days",IF($V341&lt;=60,"31 to 60 days",IF($V341&lt;=90,"61 to 90 days","Over 90 days")))),""))</f>
        <v/>
      </c>
      <c r="X341" s="26"/>
      <c r="Y341" s="29"/>
      <c r="Z341" s="28"/>
      <c r="AA341" s="28"/>
    </row>
    <row r="342" customFormat="false" ht="15" hidden="false" customHeight="false" outlineLevel="0" collapsed="false">
      <c r="A342" s="26"/>
      <c r="B342" s="26"/>
      <c r="C342" s="27" t="str">
        <f aca="false">IF($B342="","",IFERROR(INDEX(Clients!$B$6:$B$105,MATCH($B342,Clients!$A$6:$A$105,0)),"Client not found"))</f>
        <v/>
      </c>
      <c r="D342" s="26"/>
      <c r="E342" s="26"/>
      <c r="F342" s="26"/>
      <c r="G342" s="26"/>
      <c r="H342" s="28"/>
      <c r="I342" s="29"/>
      <c r="J342" s="30" t="str">
        <f aca="false">IF($A342="","",IFERROR(IF(N(INDEX(Clients!$E$6:$E$105,MATCH($B342,Clients!$A$6:$A$105,0)))&gt;0,INDEX(Clients!$E$6:$E$105,MATCH($B342,Clients!$A$6:$A$105,0)),Dashboard!$B$6),Dashboard!$B$6))</f>
        <v/>
      </c>
      <c r="K342" s="31" t="str">
        <f aca="false">IF(OR($A342="",$I342=""),"",$I342+$J342)</f>
        <v/>
      </c>
      <c r="L342" s="26"/>
      <c r="M342" s="32"/>
      <c r="N342" s="33"/>
      <c r="O342" s="34" t="str">
        <f aca="false">IF($A342="","",N($M342)*N($N342))</f>
        <v/>
      </c>
      <c r="P342" s="34" t="str">
        <f aca="false">IF($A342="","",N($M342)+$O342)</f>
        <v/>
      </c>
      <c r="Q342" s="34" t="str">
        <f aca="false">IF($A342="","",SUMIFS('Credit Notes'!$F$6:$F$205,'Credit Notes'!$B$6:$B$205,$A342,'Credit Notes'!$H$6:$H$205,"Issued"))</f>
        <v/>
      </c>
      <c r="R342" s="34" t="str">
        <f aca="false">IF($A342="","",SUMIFS(Payments!$I$6:$I$505,Payments!$C$6:$C$505,$A342))</f>
        <v/>
      </c>
      <c r="S342" s="34" t="str">
        <f aca="false">IF($A342="","",IF($T342="Void",0,$P342-$Q342-$R342))</f>
        <v/>
      </c>
      <c r="T342" s="26"/>
      <c r="U342" s="35" t="str">
        <f aca="false">IF($A342="","",IF($T342="Void","Void",IF(OR($T342="",$T342="Draft"),"Draft",IF($T342="Disputed","Disputed",IF($S342&lt;-0.005,"Overpaid",IF($S342&lt;=0.005,"Paid",IF($R342+$Q342&gt;0.005,IF($V342&gt;0,"Part-paid, overdue","Part-paid"),IF($V342&gt;0,"Overdue","Outstanding"))))))))</f>
        <v/>
      </c>
      <c r="V342" s="36" t="str">
        <f aca="true">IF($A342="","",IF(AND(OR($T342="Issued",$T342="Disputed"),$S342&gt;0.005,$K342&lt;&gt;"",$K342&lt;TODAY()),TODAY()-$K342,0))</f>
        <v/>
      </c>
      <c r="W342" s="35" t="str">
        <f aca="false">IF($A342="","",IF(AND(OR($T342="Issued",$T342="Disputed"),$S342&gt;0.005),IF($V342&lt;=0,"Not yet due",IF($V342&lt;=30,"1 to 30 days",IF($V342&lt;=60,"31 to 60 days",IF($V342&lt;=90,"61 to 90 days","Over 90 days")))),""))</f>
        <v/>
      </c>
      <c r="X342" s="26"/>
      <c r="Y342" s="29"/>
      <c r="Z342" s="28"/>
      <c r="AA342" s="28"/>
    </row>
    <row r="343" customFormat="false" ht="15" hidden="false" customHeight="false" outlineLevel="0" collapsed="false">
      <c r="A343" s="26"/>
      <c r="B343" s="26"/>
      <c r="C343" s="27" t="str">
        <f aca="false">IF($B343="","",IFERROR(INDEX(Clients!$B$6:$B$105,MATCH($B343,Clients!$A$6:$A$105,0)),"Client not found"))</f>
        <v/>
      </c>
      <c r="D343" s="26"/>
      <c r="E343" s="26"/>
      <c r="F343" s="26"/>
      <c r="G343" s="26"/>
      <c r="H343" s="28"/>
      <c r="I343" s="29"/>
      <c r="J343" s="30" t="str">
        <f aca="false">IF($A343="","",IFERROR(IF(N(INDEX(Clients!$E$6:$E$105,MATCH($B343,Clients!$A$6:$A$105,0)))&gt;0,INDEX(Clients!$E$6:$E$105,MATCH($B343,Clients!$A$6:$A$105,0)),Dashboard!$B$6),Dashboard!$B$6))</f>
        <v/>
      </c>
      <c r="K343" s="31" t="str">
        <f aca="false">IF(OR($A343="",$I343=""),"",$I343+$J343)</f>
        <v/>
      </c>
      <c r="L343" s="26"/>
      <c r="M343" s="32"/>
      <c r="N343" s="33"/>
      <c r="O343" s="34" t="str">
        <f aca="false">IF($A343="","",N($M343)*N($N343))</f>
        <v/>
      </c>
      <c r="P343" s="34" t="str">
        <f aca="false">IF($A343="","",N($M343)+$O343)</f>
        <v/>
      </c>
      <c r="Q343" s="34" t="str">
        <f aca="false">IF($A343="","",SUMIFS('Credit Notes'!$F$6:$F$205,'Credit Notes'!$B$6:$B$205,$A343,'Credit Notes'!$H$6:$H$205,"Issued"))</f>
        <v/>
      </c>
      <c r="R343" s="34" t="str">
        <f aca="false">IF($A343="","",SUMIFS(Payments!$I$6:$I$505,Payments!$C$6:$C$505,$A343))</f>
        <v/>
      </c>
      <c r="S343" s="34" t="str">
        <f aca="false">IF($A343="","",IF($T343="Void",0,$P343-$Q343-$R343))</f>
        <v/>
      </c>
      <c r="T343" s="26"/>
      <c r="U343" s="35" t="str">
        <f aca="false">IF($A343="","",IF($T343="Void","Void",IF(OR($T343="",$T343="Draft"),"Draft",IF($T343="Disputed","Disputed",IF($S343&lt;-0.005,"Overpaid",IF($S343&lt;=0.005,"Paid",IF($R343+$Q343&gt;0.005,IF($V343&gt;0,"Part-paid, overdue","Part-paid"),IF($V343&gt;0,"Overdue","Outstanding"))))))))</f>
        <v/>
      </c>
      <c r="V343" s="36" t="str">
        <f aca="true">IF($A343="","",IF(AND(OR($T343="Issued",$T343="Disputed"),$S343&gt;0.005,$K343&lt;&gt;"",$K343&lt;TODAY()),TODAY()-$K343,0))</f>
        <v/>
      </c>
      <c r="W343" s="35" t="str">
        <f aca="false">IF($A343="","",IF(AND(OR($T343="Issued",$T343="Disputed"),$S343&gt;0.005),IF($V343&lt;=0,"Not yet due",IF($V343&lt;=30,"1 to 30 days",IF($V343&lt;=60,"31 to 60 days",IF($V343&lt;=90,"61 to 90 days","Over 90 days")))),""))</f>
        <v/>
      </c>
      <c r="X343" s="26"/>
      <c r="Y343" s="29"/>
      <c r="Z343" s="28"/>
      <c r="AA343" s="28"/>
    </row>
    <row r="344" customFormat="false" ht="15" hidden="false" customHeight="false" outlineLevel="0" collapsed="false">
      <c r="A344" s="26"/>
      <c r="B344" s="26"/>
      <c r="C344" s="27" t="str">
        <f aca="false">IF($B344="","",IFERROR(INDEX(Clients!$B$6:$B$105,MATCH($B344,Clients!$A$6:$A$105,0)),"Client not found"))</f>
        <v/>
      </c>
      <c r="D344" s="26"/>
      <c r="E344" s="26"/>
      <c r="F344" s="26"/>
      <c r="G344" s="26"/>
      <c r="H344" s="28"/>
      <c r="I344" s="29"/>
      <c r="J344" s="30" t="str">
        <f aca="false">IF($A344="","",IFERROR(IF(N(INDEX(Clients!$E$6:$E$105,MATCH($B344,Clients!$A$6:$A$105,0)))&gt;0,INDEX(Clients!$E$6:$E$105,MATCH($B344,Clients!$A$6:$A$105,0)),Dashboard!$B$6),Dashboard!$B$6))</f>
        <v/>
      </c>
      <c r="K344" s="31" t="str">
        <f aca="false">IF(OR($A344="",$I344=""),"",$I344+$J344)</f>
        <v/>
      </c>
      <c r="L344" s="26"/>
      <c r="M344" s="32"/>
      <c r="N344" s="33"/>
      <c r="O344" s="34" t="str">
        <f aca="false">IF($A344="","",N($M344)*N($N344))</f>
        <v/>
      </c>
      <c r="P344" s="34" t="str">
        <f aca="false">IF($A344="","",N($M344)+$O344)</f>
        <v/>
      </c>
      <c r="Q344" s="34" t="str">
        <f aca="false">IF($A344="","",SUMIFS('Credit Notes'!$F$6:$F$205,'Credit Notes'!$B$6:$B$205,$A344,'Credit Notes'!$H$6:$H$205,"Issued"))</f>
        <v/>
      </c>
      <c r="R344" s="34" t="str">
        <f aca="false">IF($A344="","",SUMIFS(Payments!$I$6:$I$505,Payments!$C$6:$C$505,$A344))</f>
        <v/>
      </c>
      <c r="S344" s="34" t="str">
        <f aca="false">IF($A344="","",IF($T344="Void",0,$P344-$Q344-$R344))</f>
        <v/>
      </c>
      <c r="T344" s="26"/>
      <c r="U344" s="35" t="str">
        <f aca="false">IF($A344="","",IF($T344="Void","Void",IF(OR($T344="",$T344="Draft"),"Draft",IF($T344="Disputed","Disputed",IF($S344&lt;-0.005,"Overpaid",IF($S344&lt;=0.005,"Paid",IF($R344+$Q344&gt;0.005,IF($V344&gt;0,"Part-paid, overdue","Part-paid"),IF($V344&gt;0,"Overdue","Outstanding"))))))))</f>
        <v/>
      </c>
      <c r="V344" s="36" t="str">
        <f aca="true">IF($A344="","",IF(AND(OR($T344="Issued",$T344="Disputed"),$S344&gt;0.005,$K344&lt;&gt;"",$K344&lt;TODAY()),TODAY()-$K344,0))</f>
        <v/>
      </c>
      <c r="W344" s="35" t="str">
        <f aca="false">IF($A344="","",IF(AND(OR($T344="Issued",$T344="Disputed"),$S344&gt;0.005),IF($V344&lt;=0,"Not yet due",IF($V344&lt;=30,"1 to 30 days",IF($V344&lt;=60,"31 to 60 days",IF($V344&lt;=90,"61 to 90 days","Over 90 days")))),""))</f>
        <v/>
      </c>
      <c r="X344" s="26"/>
      <c r="Y344" s="29"/>
      <c r="Z344" s="28"/>
      <c r="AA344" s="28"/>
    </row>
    <row r="345" customFormat="false" ht="15" hidden="false" customHeight="false" outlineLevel="0" collapsed="false">
      <c r="A345" s="26"/>
      <c r="B345" s="26"/>
      <c r="C345" s="27" t="str">
        <f aca="false">IF($B345="","",IFERROR(INDEX(Clients!$B$6:$B$105,MATCH($B345,Clients!$A$6:$A$105,0)),"Client not found"))</f>
        <v/>
      </c>
      <c r="D345" s="26"/>
      <c r="E345" s="26"/>
      <c r="F345" s="26"/>
      <c r="G345" s="26"/>
      <c r="H345" s="28"/>
      <c r="I345" s="29"/>
      <c r="J345" s="30" t="str">
        <f aca="false">IF($A345="","",IFERROR(IF(N(INDEX(Clients!$E$6:$E$105,MATCH($B345,Clients!$A$6:$A$105,0)))&gt;0,INDEX(Clients!$E$6:$E$105,MATCH($B345,Clients!$A$6:$A$105,0)),Dashboard!$B$6),Dashboard!$B$6))</f>
        <v/>
      </c>
      <c r="K345" s="31" t="str">
        <f aca="false">IF(OR($A345="",$I345=""),"",$I345+$J345)</f>
        <v/>
      </c>
      <c r="L345" s="26"/>
      <c r="M345" s="32"/>
      <c r="N345" s="33"/>
      <c r="O345" s="34" t="str">
        <f aca="false">IF($A345="","",N($M345)*N($N345))</f>
        <v/>
      </c>
      <c r="P345" s="34" t="str">
        <f aca="false">IF($A345="","",N($M345)+$O345)</f>
        <v/>
      </c>
      <c r="Q345" s="34" t="str">
        <f aca="false">IF($A345="","",SUMIFS('Credit Notes'!$F$6:$F$205,'Credit Notes'!$B$6:$B$205,$A345,'Credit Notes'!$H$6:$H$205,"Issued"))</f>
        <v/>
      </c>
      <c r="R345" s="34" t="str">
        <f aca="false">IF($A345="","",SUMIFS(Payments!$I$6:$I$505,Payments!$C$6:$C$505,$A345))</f>
        <v/>
      </c>
      <c r="S345" s="34" t="str">
        <f aca="false">IF($A345="","",IF($T345="Void",0,$P345-$Q345-$R345))</f>
        <v/>
      </c>
      <c r="T345" s="26"/>
      <c r="U345" s="35" t="str">
        <f aca="false">IF($A345="","",IF($T345="Void","Void",IF(OR($T345="",$T345="Draft"),"Draft",IF($T345="Disputed","Disputed",IF($S345&lt;-0.005,"Overpaid",IF($S345&lt;=0.005,"Paid",IF($R345+$Q345&gt;0.005,IF($V345&gt;0,"Part-paid, overdue","Part-paid"),IF($V345&gt;0,"Overdue","Outstanding"))))))))</f>
        <v/>
      </c>
      <c r="V345" s="36" t="str">
        <f aca="true">IF($A345="","",IF(AND(OR($T345="Issued",$T345="Disputed"),$S345&gt;0.005,$K345&lt;&gt;"",$K345&lt;TODAY()),TODAY()-$K345,0))</f>
        <v/>
      </c>
      <c r="W345" s="35" t="str">
        <f aca="false">IF($A345="","",IF(AND(OR($T345="Issued",$T345="Disputed"),$S345&gt;0.005),IF($V345&lt;=0,"Not yet due",IF($V345&lt;=30,"1 to 30 days",IF($V345&lt;=60,"31 to 60 days",IF($V345&lt;=90,"61 to 90 days","Over 90 days")))),""))</f>
        <v/>
      </c>
      <c r="X345" s="26"/>
      <c r="Y345" s="29"/>
      <c r="Z345" s="28"/>
      <c r="AA345" s="28"/>
    </row>
    <row r="346" customFormat="false" ht="15" hidden="false" customHeight="false" outlineLevel="0" collapsed="false">
      <c r="A346" s="26"/>
      <c r="B346" s="26"/>
      <c r="C346" s="27" t="str">
        <f aca="false">IF($B346="","",IFERROR(INDEX(Clients!$B$6:$B$105,MATCH($B346,Clients!$A$6:$A$105,0)),"Client not found"))</f>
        <v/>
      </c>
      <c r="D346" s="26"/>
      <c r="E346" s="26"/>
      <c r="F346" s="26"/>
      <c r="G346" s="26"/>
      <c r="H346" s="28"/>
      <c r="I346" s="29"/>
      <c r="J346" s="30" t="str">
        <f aca="false">IF($A346="","",IFERROR(IF(N(INDEX(Clients!$E$6:$E$105,MATCH($B346,Clients!$A$6:$A$105,0)))&gt;0,INDEX(Clients!$E$6:$E$105,MATCH($B346,Clients!$A$6:$A$105,0)),Dashboard!$B$6),Dashboard!$B$6))</f>
        <v/>
      </c>
      <c r="K346" s="31" t="str">
        <f aca="false">IF(OR($A346="",$I346=""),"",$I346+$J346)</f>
        <v/>
      </c>
      <c r="L346" s="26"/>
      <c r="M346" s="32"/>
      <c r="N346" s="33"/>
      <c r="O346" s="34" t="str">
        <f aca="false">IF($A346="","",N($M346)*N($N346))</f>
        <v/>
      </c>
      <c r="P346" s="34" t="str">
        <f aca="false">IF($A346="","",N($M346)+$O346)</f>
        <v/>
      </c>
      <c r="Q346" s="34" t="str">
        <f aca="false">IF($A346="","",SUMIFS('Credit Notes'!$F$6:$F$205,'Credit Notes'!$B$6:$B$205,$A346,'Credit Notes'!$H$6:$H$205,"Issued"))</f>
        <v/>
      </c>
      <c r="R346" s="34" t="str">
        <f aca="false">IF($A346="","",SUMIFS(Payments!$I$6:$I$505,Payments!$C$6:$C$505,$A346))</f>
        <v/>
      </c>
      <c r="S346" s="34" t="str">
        <f aca="false">IF($A346="","",IF($T346="Void",0,$P346-$Q346-$R346))</f>
        <v/>
      </c>
      <c r="T346" s="26"/>
      <c r="U346" s="35" t="str">
        <f aca="false">IF($A346="","",IF($T346="Void","Void",IF(OR($T346="",$T346="Draft"),"Draft",IF($T346="Disputed","Disputed",IF($S346&lt;-0.005,"Overpaid",IF($S346&lt;=0.005,"Paid",IF($R346+$Q346&gt;0.005,IF($V346&gt;0,"Part-paid, overdue","Part-paid"),IF($V346&gt;0,"Overdue","Outstanding"))))))))</f>
        <v/>
      </c>
      <c r="V346" s="36" t="str">
        <f aca="true">IF($A346="","",IF(AND(OR($T346="Issued",$T346="Disputed"),$S346&gt;0.005,$K346&lt;&gt;"",$K346&lt;TODAY()),TODAY()-$K346,0))</f>
        <v/>
      </c>
      <c r="W346" s="35" t="str">
        <f aca="false">IF($A346="","",IF(AND(OR($T346="Issued",$T346="Disputed"),$S346&gt;0.005),IF($V346&lt;=0,"Not yet due",IF($V346&lt;=30,"1 to 30 days",IF($V346&lt;=60,"31 to 60 days",IF($V346&lt;=90,"61 to 90 days","Over 90 days")))),""))</f>
        <v/>
      </c>
      <c r="X346" s="26"/>
      <c r="Y346" s="29"/>
      <c r="Z346" s="28"/>
      <c r="AA346" s="28"/>
    </row>
    <row r="347" customFormat="false" ht="15" hidden="false" customHeight="false" outlineLevel="0" collapsed="false">
      <c r="A347" s="26"/>
      <c r="B347" s="26"/>
      <c r="C347" s="27" t="str">
        <f aca="false">IF($B347="","",IFERROR(INDEX(Clients!$B$6:$B$105,MATCH($B347,Clients!$A$6:$A$105,0)),"Client not found"))</f>
        <v/>
      </c>
      <c r="D347" s="26"/>
      <c r="E347" s="26"/>
      <c r="F347" s="26"/>
      <c r="G347" s="26"/>
      <c r="H347" s="28"/>
      <c r="I347" s="29"/>
      <c r="J347" s="30" t="str">
        <f aca="false">IF($A347="","",IFERROR(IF(N(INDEX(Clients!$E$6:$E$105,MATCH($B347,Clients!$A$6:$A$105,0)))&gt;0,INDEX(Clients!$E$6:$E$105,MATCH($B347,Clients!$A$6:$A$105,0)),Dashboard!$B$6),Dashboard!$B$6))</f>
        <v/>
      </c>
      <c r="K347" s="31" t="str">
        <f aca="false">IF(OR($A347="",$I347=""),"",$I347+$J347)</f>
        <v/>
      </c>
      <c r="L347" s="26"/>
      <c r="M347" s="32"/>
      <c r="N347" s="33"/>
      <c r="O347" s="34" t="str">
        <f aca="false">IF($A347="","",N($M347)*N($N347))</f>
        <v/>
      </c>
      <c r="P347" s="34" t="str">
        <f aca="false">IF($A347="","",N($M347)+$O347)</f>
        <v/>
      </c>
      <c r="Q347" s="34" t="str">
        <f aca="false">IF($A347="","",SUMIFS('Credit Notes'!$F$6:$F$205,'Credit Notes'!$B$6:$B$205,$A347,'Credit Notes'!$H$6:$H$205,"Issued"))</f>
        <v/>
      </c>
      <c r="R347" s="34" t="str">
        <f aca="false">IF($A347="","",SUMIFS(Payments!$I$6:$I$505,Payments!$C$6:$C$505,$A347))</f>
        <v/>
      </c>
      <c r="S347" s="34" t="str">
        <f aca="false">IF($A347="","",IF($T347="Void",0,$P347-$Q347-$R347))</f>
        <v/>
      </c>
      <c r="T347" s="26"/>
      <c r="U347" s="35" t="str">
        <f aca="false">IF($A347="","",IF($T347="Void","Void",IF(OR($T347="",$T347="Draft"),"Draft",IF($T347="Disputed","Disputed",IF($S347&lt;-0.005,"Overpaid",IF($S347&lt;=0.005,"Paid",IF($R347+$Q347&gt;0.005,IF($V347&gt;0,"Part-paid, overdue","Part-paid"),IF($V347&gt;0,"Overdue","Outstanding"))))))))</f>
        <v/>
      </c>
      <c r="V347" s="36" t="str">
        <f aca="true">IF($A347="","",IF(AND(OR($T347="Issued",$T347="Disputed"),$S347&gt;0.005,$K347&lt;&gt;"",$K347&lt;TODAY()),TODAY()-$K347,0))</f>
        <v/>
      </c>
      <c r="W347" s="35" t="str">
        <f aca="false">IF($A347="","",IF(AND(OR($T347="Issued",$T347="Disputed"),$S347&gt;0.005),IF($V347&lt;=0,"Not yet due",IF($V347&lt;=30,"1 to 30 days",IF($V347&lt;=60,"31 to 60 days",IF($V347&lt;=90,"61 to 90 days","Over 90 days")))),""))</f>
        <v/>
      </c>
      <c r="X347" s="26"/>
      <c r="Y347" s="29"/>
      <c r="Z347" s="28"/>
      <c r="AA347" s="28"/>
    </row>
    <row r="348" customFormat="false" ht="15" hidden="false" customHeight="false" outlineLevel="0" collapsed="false">
      <c r="A348" s="26"/>
      <c r="B348" s="26"/>
      <c r="C348" s="27" t="str">
        <f aca="false">IF($B348="","",IFERROR(INDEX(Clients!$B$6:$B$105,MATCH($B348,Clients!$A$6:$A$105,0)),"Client not found"))</f>
        <v/>
      </c>
      <c r="D348" s="26"/>
      <c r="E348" s="26"/>
      <c r="F348" s="26"/>
      <c r="G348" s="26"/>
      <c r="H348" s="28"/>
      <c r="I348" s="29"/>
      <c r="J348" s="30" t="str">
        <f aca="false">IF($A348="","",IFERROR(IF(N(INDEX(Clients!$E$6:$E$105,MATCH($B348,Clients!$A$6:$A$105,0)))&gt;0,INDEX(Clients!$E$6:$E$105,MATCH($B348,Clients!$A$6:$A$105,0)),Dashboard!$B$6),Dashboard!$B$6))</f>
        <v/>
      </c>
      <c r="K348" s="31" t="str">
        <f aca="false">IF(OR($A348="",$I348=""),"",$I348+$J348)</f>
        <v/>
      </c>
      <c r="L348" s="26"/>
      <c r="M348" s="32"/>
      <c r="N348" s="33"/>
      <c r="O348" s="34" t="str">
        <f aca="false">IF($A348="","",N($M348)*N($N348))</f>
        <v/>
      </c>
      <c r="P348" s="34" t="str">
        <f aca="false">IF($A348="","",N($M348)+$O348)</f>
        <v/>
      </c>
      <c r="Q348" s="34" t="str">
        <f aca="false">IF($A348="","",SUMIFS('Credit Notes'!$F$6:$F$205,'Credit Notes'!$B$6:$B$205,$A348,'Credit Notes'!$H$6:$H$205,"Issued"))</f>
        <v/>
      </c>
      <c r="R348" s="34" t="str">
        <f aca="false">IF($A348="","",SUMIFS(Payments!$I$6:$I$505,Payments!$C$6:$C$505,$A348))</f>
        <v/>
      </c>
      <c r="S348" s="34" t="str">
        <f aca="false">IF($A348="","",IF($T348="Void",0,$P348-$Q348-$R348))</f>
        <v/>
      </c>
      <c r="T348" s="26"/>
      <c r="U348" s="35" t="str">
        <f aca="false">IF($A348="","",IF($T348="Void","Void",IF(OR($T348="",$T348="Draft"),"Draft",IF($T348="Disputed","Disputed",IF($S348&lt;-0.005,"Overpaid",IF($S348&lt;=0.005,"Paid",IF($R348+$Q348&gt;0.005,IF($V348&gt;0,"Part-paid, overdue","Part-paid"),IF($V348&gt;0,"Overdue","Outstanding"))))))))</f>
        <v/>
      </c>
      <c r="V348" s="36" t="str">
        <f aca="true">IF($A348="","",IF(AND(OR($T348="Issued",$T348="Disputed"),$S348&gt;0.005,$K348&lt;&gt;"",$K348&lt;TODAY()),TODAY()-$K348,0))</f>
        <v/>
      </c>
      <c r="W348" s="35" t="str">
        <f aca="false">IF($A348="","",IF(AND(OR($T348="Issued",$T348="Disputed"),$S348&gt;0.005),IF($V348&lt;=0,"Not yet due",IF($V348&lt;=30,"1 to 30 days",IF($V348&lt;=60,"31 to 60 days",IF($V348&lt;=90,"61 to 90 days","Over 90 days")))),""))</f>
        <v/>
      </c>
      <c r="X348" s="26"/>
      <c r="Y348" s="29"/>
      <c r="Z348" s="28"/>
      <c r="AA348" s="28"/>
    </row>
    <row r="349" customFormat="false" ht="15" hidden="false" customHeight="false" outlineLevel="0" collapsed="false">
      <c r="A349" s="26"/>
      <c r="B349" s="26"/>
      <c r="C349" s="27" t="str">
        <f aca="false">IF($B349="","",IFERROR(INDEX(Clients!$B$6:$B$105,MATCH($B349,Clients!$A$6:$A$105,0)),"Client not found"))</f>
        <v/>
      </c>
      <c r="D349" s="26"/>
      <c r="E349" s="26"/>
      <c r="F349" s="26"/>
      <c r="G349" s="26"/>
      <c r="H349" s="28"/>
      <c r="I349" s="29"/>
      <c r="J349" s="30" t="str">
        <f aca="false">IF($A349="","",IFERROR(IF(N(INDEX(Clients!$E$6:$E$105,MATCH($B349,Clients!$A$6:$A$105,0)))&gt;0,INDEX(Clients!$E$6:$E$105,MATCH($B349,Clients!$A$6:$A$105,0)),Dashboard!$B$6),Dashboard!$B$6))</f>
        <v/>
      </c>
      <c r="K349" s="31" t="str">
        <f aca="false">IF(OR($A349="",$I349=""),"",$I349+$J349)</f>
        <v/>
      </c>
      <c r="L349" s="26"/>
      <c r="M349" s="32"/>
      <c r="N349" s="33"/>
      <c r="O349" s="34" t="str">
        <f aca="false">IF($A349="","",N($M349)*N($N349))</f>
        <v/>
      </c>
      <c r="P349" s="34" t="str">
        <f aca="false">IF($A349="","",N($M349)+$O349)</f>
        <v/>
      </c>
      <c r="Q349" s="34" t="str">
        <f aca="false">IF($A349="","",SUMIFS('Credit Notes'!$F$6:$F$205,'Credit Notes'!$B$6:$B$205,$A349,'Credit Notes'!$H$6:$H$205,"Issued"))</f>
        <v/>
      </c>
      <c r="R349" s="34" t="str">
        <f aca="false">IF($A349="","",SUMIFS(Payments!$I$6:$I$505,Payments!$C$6:$C$505,$A349))</f>
        <v/>
      </c>
      <c r="S349" s="34" t="str">
        <f aca="false">IF($A349="","",IF($T349="Void",0,$P349-$Q349-$R349))</f>
        <v/>
      </c>
      <c r="T349" s="26"/>
      <c r="U349" s="35" t="str">
        <f aca="false">IF($A349="","",IF($T349="Void","Void",IF(OR($T349="",$T349="Draft"),"Draft",IF($T349="Disputed","Disputed",IF($S349&lt;-0.005,"Overpaid",IF($S349&lt;=0.005,"Paid",IF($R349+$Q349&gt;0.005,IF($V349&gt;0,"Part-paid, overdue","Part-paid"),IF($V349&gt;0,"Overdue","Outstanding"))))))))</f>
        <v/>
      </c>
      <c r="V349" s="36" t="str">
        <f aca="true">IF($A349="","",IF(AND(OR($T349="Issued",$T349="Disputed"),$S349&gt;0.005,$K349&lt;&gt;"",$K349&lt;TODAY()),TODAY()-$K349,0))</f>
        <v/>
      </c>
      <c r="W349" s="35" t="str">
        <f aca="false">IF($A349="","",IF(AND(OR($T349="Issued",$T349="Disputed"),$S349&gt;0.005),IF($V349&lt;=0,"Not yet due",IF($V349&lt;=30,"1 to 30 days",IF($V349&lt;=60,"31 to 60 days",IF($V349&lt;=90,"61 to 90 days","Over 90 days")))),""))</f>
        <v/>
      </c>
      <c r="X349" s="26"/>
      <c r="Y349" s="29"/>
      <c r="Z349" s="28"/>
      <c r="AA349" s="28"/>
    </row>
    <row r="350" customFormat="false" ht="15" hidden="false" customHeight="false" outlineLevel="0" collapsed="false">
      <c r="A350" s="26"/>
      <c r="B350" s="26"/>
      <c r="C350" s="27" t="str">
        <f aca="false">IF($B350="","",IFERROR(INDEX(Clients!$B$6:$B$105,MATCH($B350,Clients!$A$6:$A$105,0)),"Client not found"))</f>
        <v/>
      </c>
      <c r="D350" s="26"/>
      <c r="E350" s="26"/>
      <c r="F350" s="26"/>
      <c r="G350" s="26"/>
      <c r="H350" s="28"/>
      <c r="I350" s="29"/>
      <c r="J350" s="30" t="str">
        <f aca="false">IF($A350="","",IFERROR(IF(N(INDEX(Clients!$E$6:$E$105,MATCH($B350,Clients!$A$6:$A$105,0)))&gt;0,INDEX(Clients!$E$6:$E$105,MATCH($B350,Clients!$A$6:$A$105,0)),Dashboard!$B$6),Dashboard!$B$6))</f>
        <v/>
      </c>
      <c r="K350" s="31" t="str">
        <f aca="false">IF(OR($A350="",$I350=""),"",$I350+$J350)</f>
        <v/>
      </c>
      <c r="L350" s="26"/>
      <c r="M350" s="32"/>
      <c r="N350" s="33"/>
      <c r="O350" s="34" t="str">
        <f aca="false">IF($A350="","",N($M350)*N($N350))</f>
        <v/>
      </c>
      <c r="P350" s="34" t="str">
        <f aca="false">IF($A350="","",N($M350)+$O350)</f>
        <v/>
      </c>
      <c r="Q350" s="34" t="str">
        <f aca="false">IF($A350="","",SUMIFS('Credit Notes'!$F$6:$F$205,'Credit Notes'!$B$6:$B$205,$A350,'Credit Notes'!$H$6:$H$205,"Issued"))</f>
        <v/>
      </c>
      <c r="R350" s="34" t="str">
        <f aca="false">IF($A350="","",SUMIFS(Payments!$I$6:$I$505,Payments!$C$6:$C$505,$A350))</f>
        <v/>
      </c>
      <c r="S350" s="34" t="str">
        <f aca="false">IF($A350="","",IF($T350="Void",0,$P350-$Q350-$R350))</f>
        <v/>
      </c>
      <c r="T350" s="26"/>
      <c r="U350" s="35" t="str">
        <f aca="false">IF($A350="","",IF($T350="Void","Void",IF(OR($T350="",$T350="Draft"),"Draft",IF($T350="Disputed","Disputed",IF($S350&lt;-0.005,"Overpaid",IF($S350&lt;=0.005,"Paid",IF($R350+$Q350&gt;0.005,IF($V350&gt;0,"Part-paid, overdue","Part-paid"),IF($V350&gt;0,"Overdue","Outstanding"))))))))</f>
        <v/>
      </c>
      <c r="V350" s="36" t="str">
        <f aca="true">IF($A350="","",IF(AND(OR($T350="Issued",$T350="Disputed"),$S350&gt;0.005,$K350&lt;&gt;"",$K350&lt;TODAY()),TODAY()-$K350,0))</f>
        <v/>
      </c>
      <c r="W350" s="35" t="str">
        <f aca="false">IF($A350="","",IF(AND(OR($T350="Issued",$T350="Disputed"),$S350&gt;0.005),IF($V350&lt;=0,"Not yet due",IF($V350&lt;=30,"1 to 30 days",IF($V350&lt;=60,"31 to 60 days",IF($V350&lt;=90,"61 to 90 days","Over 90 days")))),""))</f>
        <v/>
      </c>
      <c r="X350" s="26"/>
      <c r="Y350" s="29"/>
      <c r="Z350" s="28"/>
      <c r="AA350" s="28"/>
    </row>
    <row r="351" customFormat="false" ht="15" hidden="false" customHeight="false" outlineLevel="0" collapsed="false">
      <c r="A351" s="26"/>
      <c r="B351" s="26"/>
      <c r="C351" s="27" t="str">
        <f aca="false">IF($B351="","",IFERROR(INDEX(Clients!$B$6:$B$105,MATCH($B351,Clients!$A$6:$A$105,0)),"Client not found"))</f>
        <v/>
      </c>
      <c r="D351" s="26"/>
      <c r="E351" s="26"/>
      <c r="F351" s="26"/>
      <c r="G351" s="26"/>
      <c r="H351" s="28"/>
      <c r="I351" s="29"/>
      <c r="J351" s="30" t="str">
        <f aca="false">IF($A351="","",IFERROR(IF(N(INDEX(Clients!$E$6:$E$105,MATCH($B351,Clients!$A$6:$A$105,0)))&gt;0,INDEX(Clients!$E$6:$E$105,MATCH($B351,Clients!$A$6:$A$105,0)),Dashboard!$B$6),Dashboard!$B$6))</f>
        <v/>
      </c>
      <c r="K351" s="31" t="str">
        <f aca="false">IF(OR($A351="",$I351=""),"",$I351+$J351)</f>
        <v/>
      </c>
      <c r="L351" s="26"/>
      <c r="M351" s="32"/>
      <c r="N351" s="33"/>
      <c r="O351" s="34" t="str">
        <f aca="false">IF($A351="","",N($M351)*N($N351))</f>
        <v/>
      </c>
      <c r="P351" s="34" t="str">
        <f aca="false">IF($A351="","",N($M351)+$O351)</f>
        <v/>
      </c>
      <c r="Q351" s="34" t="str">
        <f aca="false">IF($A351="","",SUMIFS('Credit Notes'!$F$6:$F$205,'Credit Notes'!$B$6:$B$205,$A351,'Credit Notes'!$H$6:$H$205,"Issued"))</f>
        <v/>
      </c>
      <c r="R351" s="34" t="str">
        <f aca="false">IF($A351="","",SUMIFS(Payments!$I$6:$I$505,Payments!$C$6:$C$505,$A351))</f>
        <v/>
      </c>
      <c r="S351" s="34" t="str">
        <f aca="false">IF($A351="","",IF($T351="Void",0,$P351-$Q351-$R351))</f>
        <v/>
      </c>
      <c r="T351" s="26"/>
      <c r="U351" s="35" t="str">
        <f aca="false">IF($A351="","",IF($T351="Void","Void",IF(OR($T351="",$T351="Draft"),"Draft",IF($T351="Disputed","Disputed",IF($S351&lt;-0.005,"Overpaid",IF($S351&lt;=0.005,"Paid",IF($R351+$Q351&gt;0.005,IF($V351&gt;0,"Part-paid, overdue","Part-paid"),IF($V351&gt;0,"Overdue","Outstanding"))))))))</f>
        <v/>
      </c>
      <c r="V351" s="36" t="str">
        <f aca="true">IF($A351="","",IF(AND(OR($T351="Issued",$T351="Disputed"),$S351&gt;0.005,$K351&lt;&gt;"",$K351&lt;TODAY()),TODAY()-$K351,0))</f>
        <v/>
      </c>
      <c r="W351" s="35" t="str">
        <f aca="false">IF($A351="","",IF(AND(OR($T351="Issued",$T351="Disputed"),$S351&gt;0.005),IF($V351&lt;=0,"Not yet due",IF($V351&lt;=30,"1 to 30 days",IF($V351&lt;=60,"31 to 60 days",IF($V351&lt;=90,"61 to 90 days","Over 90 days")))),""))</f>
        <v/>
      </c>
      <c r="X351" s="26"/>
      <c r="Y351" s="29"/>
      <c r="Z351" s="28"/>
      <c r="AA351" s="28"/>
    </row>
    <row r="352" customFormat="false" ht="15" hidden="false" customHeight="false" outlineLevel="0" collapsed="false">
      <c r="A352" s="26"/>
      <c r="B352" s="26"/>
      <c r="C352" s="27" t="str">
        <f aca="false">IF($B352="","",IFERROR(INDEX(Clients!$B$6:$B$105,MATCH($B352,Clients!$A$6:$A$105,0)),"Client not found"))</f>
        <v/>
      </c>
      <c r="D352" s="26"/>
      <c r="E352" s="26"/>
      <c r="F352" s="26"/>
      <c r="G352" s="26"/>
      <c r="H352" s="28"/>
      <c r="I352" s="29"/>
      <c r="J352" s="30" t="str">
        <f aca="false">IF($A352="","",IFERROR(IF(N(INDEX(Clients!$E$6:$E$105,MATCH($B352,Clients!$A$6:$A$105,0)))&gt;0,INDEX(Clients!$E$6:$E$105,MATCH($B352,Clients!$A$6:$A$105,0)),Dashboard!$B$6),Dashboard!$B$6))</f>
        <v/>
      </c>
      <c r="K352" s="31" t="str">
        <f aca="false">IF(OR($A352="",$I352=""),"",$I352+$J352)</f>
        <v/>
      </c>
      <c r="L352" s="26"/>
      <c r="M352" s="32"/>
      <c r="N352" s="33"/>
      <c r="O352" s="34" t="str">
        <f aca="false">IF($A352="","",N($M352)*N($N352))</f>
        <v/>
      </c>
      <c r="P352" s="34" t="str">
        <f aca="false">IF($A352="","",N($M352)+$O352)</f>
        <v/>
      </c>
      <c r="Q352" s="34" t="str">
        <f aca="false">IF($A352="","",SUMIFS('Credit Notes'!$F$6:$F$205,'Credit Notes'!$B$6:$B$205,$A352,'Credit Notes'!$H$6:$H$205,"Issued"))</f>
        <v/>
      </c>
      <c r="R352" s="34" t="str">
        <f aca="false">IF($A352="","",SUMIFS(Payments!$I$6:$I$505,Payments!$C$6:$C$505,$A352))</f>
        <v/>
      </c>
      <c r="S352" s="34" t="str">
        <f aca="false">IF($A352="","",IF($T352="Void",0,$P352-$Q352-$R352))</f>
        <v/>
      </c>
      <c r="T352" s="26"/>
      <c r="U352" s="35" t="str">
        <f aca="false">IF($A352="","",IF($T352="Void","Void",IF(OR($T352="",$T352="Draft"),"Draft",IF($T352="Disputed","Disputed",IF($S352&lt;-0.005,"Overpaid",IF($S352&lt;=0.005,"Paid",IF($R352+$Q352&gt;0.005,IF($V352&gt;0,"Part-paid, overdue","Part-paid"),IF($V352&gt;0,"Overdue","Outstanding"))))))))</f>
        <v/>
      </c>
      <c r="V352" s="36" t="str">
        <f aca="true">IF($A352="","",IF(AND(OR($T352="Issued",$T352="Disputed"),$S352&gt;0.005,$K352&lt;&gt;"",$K352&lt;TODAY()),TODAY()-$K352,0))</f>
        <v/>
      </c>
      <c r="W352" s="35" t="str">
        <f aca="false">IF($A352="","",IF(AND(OR($T352="Issued",$T352="Disputed"),$S352&gt;0.005),IF($V352&lt;=0,"Not yet due",IF($V352&lt;=30,"1 to 30 days",IF($V352&lt;=60,"31 to 60 days",IF($V352&lt;=90,"61 to 90 days","Over 90 days")))),""))</f>
        <v/>
      </c>
      <c r="X352" s="26"/>
      <c r="Y352" s="29"/>
      <c r="Z352" s="28"/>
      <c r="AA352" s="28"/>
    </row>
    <row r="353" customFormat="false" ht="15" hidden="false" customHeight="false" outlineLevel="0" collapsed="false">
      <c r="A353" s="26"/>
      <c r="B353" s="26"/>
      <c r="C353" s="27" t="str">
        <f aca="false">IF($B353="","",IFERROR(INDEX(Clients!$B$6:$B$105,MATCH($B353,Clients!$A$6:$A$105,0)),"Client not found"))</f>
        <v/>
      </c>
      <c r="D353" s="26"/>
      <c r="E353" s="26"/>
      <c r="F353" s="26"/>
      <c r="G353" s="26"/>
      <c r="H353" s="28"/>
      <c r="I353" s="29"/>
      <c r="J353" s="30" t="str">
        <f aca="false">IF($A353="","",IFERROR(IF(N(INDEX(Clients!$E$6:$E$105,MATCH($B353,Clients!$A$6:$A$105,0)))&gt;0,INDEX(Clients!$E$6:$E$105,MATCH($B353,Clients!$A$6:$A$105,0)),Dashboard!$B$6),Dashboard!$B$6))</f>
        <v/>
      </c>
      <c r="K353" s="31" t="str">
        <f aca="false">IF(OR($A353="",$I353=""),"",$I353+$J353)</f>
        <v/>
      </c>
      <c r="L353" s="26"/>
      <c r="M353" s="32"/>
      <c r="N353" s="33"/>
      <c r="O353" s="34" t="str">
        <f aca="false">IF($A353="","",N($M353)*N($N353))</f>
        <v/>
      </c>
      <c r="P353" s="34" t="str">
        <f aca="false">IF($A353="","",N($M353)+$O353)</f>
        <v/>
      </c>
      <c r="Q353" s="34" t="str">
        <f aca="false">IF($A353="","",SUMIFS('Credit Notes'!$F$6:$F$205,'Credit Notes'!$B$6:$B$205,$A353,'Credit Notes'!$H$6:$H$205,"Issued"))</f>
        <v/>
      </c>
      <c r="R353" s="34" t="str">
        <f aca="false">IF($A353="","",SUMIFS(Payments!$I$6:$I$505,Payments!$C$6:$C$505,$A353))</f>
        <v/>
      </c>
      <c r="S353" s="34" t="str">
        <f aca="false">IF($A353="","",IF($T353="Void",0,$P353-$Q353-$R353))</f>
        <v/>
      </c>
      <c r="T353" s="26"/>
      <c r="U353" s="35" t="str">
        <f aca="false">IF($A353="","",IF($T353="Void","Void",IF(OR($T353="",$T353="Draft"),"Draft",IF($T353="Disputed","Disputed",IF($S353&lt;-0.005,"Overpaid",IF($S353&lt;=0.005,"Paid",IF($R353+$Q353&gt;0.005,IF($V353&gt;0,"Part-paid, overdue","Part-paid"),IF($V353&gt;0,"Overdue","Outstanding"))))))))</f>
        <v/>
      </c>
      <c r="V353" s="36" t="str">
        <f aca="true">IF($A353="","",IF(AND(OR($T353="Issued",$T353="Disputed"),$S353&gt;0.005,$K353&lt;&gt;"",$K353&lt;TODAY()),TODAY()-$K353,0))</f>
        <v/>
      </c>
      <c r="W353" s="35" t="str">
        <f aca="false">IF($A353="","",IF(AND(OR($T353="Issued",$T353="Disputed"),$S353&gt;0.005),IF($V353&lt;=0,"Not yet due",IF($V353&lt;=30,"1 to 30 days",IF($V353&lt;=60,"31 to 60 days",IF($V353&lt;=90,"61 to 90 days","Over 90 days")))),""))</f>
        <v/>
      </c>
      <c r="X353" s="26"/>
      <c r="Y353" s="29"/>
      <c r="Z353" s="28"/>
      <c r="AA353" s="28"/>
    </row>
    <row r="354" customFormat="false" ht="15" hidden="false" customHeight="false" outlineLevel="0" collapsed="false">
      <c r="A354" s="26"/>
      <c r="B354" s="26"/>
      <c r="C354" s="27" t="str">
        <f aca="false">IF($B354="","",IFERROR(INDEX(Clients!$B$6:$B$105,MATCH($B354,Clients!$A$6:$A$105,0)),"Client not found"))</f>
        <v/>
      </c>
      <c r="D354" s="26"/>
      <c r="E354" s="26"/>
      <c r="F354" s="26"/>
      <c r="G354" s="26"/>
      <c r="H354" s="28"/>
      <c r="I354" s="29"/>
      <c r="J354" s="30" t="str">
        <f aca="false">IF($A354="","",IFERROR(IF(N(INDEX(Clients!$E$6:$E$105,MATCH($B354,Clients!$A$6:$A$105,0)))&gt;0,INDEX(Clients!$E$6:$E$105,MATCH($B354,Clients!$A$6:$A$105,0)),Dashboard!$B$6),Dashboard!$B$6))</f>
        <v/>
      </c>
      <c r="K354" s="31" t="str">
        <f aca="false">IF(OR($A354="",$I354=""),"",$I354+$J354)</f>
        <v/>
      </c>
      <c r="L354" s="26"/>
      <c r="M354" s="32"/>
      <c r="N354" s="33"/>
      <c r="O354" s="34" t="str">
        <f aca="false">IF($A354="","",N($M354)*N($N354))</f>
        <v/>
      </c>
      <c r="P354" s="34" t="str">
        <f aca="false">IF($A354="","",N($M354)+$O354)</f>
        <v/>
      </c>
      <c r="Q354" s="34" t="str">
        <f aca="false">IF($A354="","",SUMIFS('Credit Notes'!$F$6:$F$205,'Credit Notes'!$B$6:$B$205,$A354,'Credit Notes'!$H$6:$H$205,"Issued"))</f>
        <v/>
      </c>
      <c r="R354" s="34" t="str">
        <f aca="false">IF($A354="","",SUMIFS(Payments!$I$6:$I$505,Payments!$C$6:$C$505,$A354))</f>
        <v/>
      </c>
      <c r="S354" s="34" t="str">
        <f aca="false">IF($A354="","",IF($T354="Void",0,$P354-$Q354-$R354))</f>
        <v/>
      </c>
      <c r="T354" s="26"/>
      <c r="U354" s="35" t="str">
        <f aca="false">IF($A354="","",IF($T354="Void","Void",IF(OR($T354="",$T354="Draft"),"Draft",IF($T354="Disputed","Disputed",IF($S354&lt;-0.005,"Overpaid",IF($S354&lt;=0.005,"Paid",IF($R354+$Q354&gt;0.005,IF($V354&gt;0,"Part-paid, overdue","Part-paid"),IF($V354&gt;0,"Overdue","Outstanding"))))))))</f>
        <v/>
      </c>
      <c r="V354" s="36" t="str">
        <f aca="true">IF($A354="","",IF(AND(OR($T354="Issued",$T354="Disputed"),$S354&gt;0.005,$K354&lt;&gt;"",$K354&lt;TODAY()),TODAY()-$K354,0))</f>
        <v/>
      </c>
      <c r="W354" s="35" t="str">
        <f aca="false">IF($A354="","",IF(AND(OR($T354="Issued",$T354="Disputed"),$S354&gt;0.005),IF($V354&lt;=0,"Not yet due",IF($V354&lt;=30,"1 to 30 days",IF($V354&lt;=60,"31 to 60 days",IF($V354&lt;=90,"61 to 90 days","Over 90 days")))),""))</f>
        <v/>
      </c>
      <c r="X354" s="26"/>
      <c r="Y354" s="29"/>
      <c r="Z354" s="28"/>
      <c r="AA354" s="28"/>
    </row>
    <row r="355" customFormat="false" ht="15" hidden="false" customHeight="false" outlineLevel="0" collapsed="false">
      <c r="A355" s="26"/>
      <c r="B355" s="26"/>
      <c r="C355" s="27" t="str">
        <f aca="false">IF($B355="","",IFERROR(INDEX(Clients!$B$6:$B$105,MATCH($B355,Clients!$A$6:$A$105,0)),"Client not found"))</f>
        <v/>
      </c>
      <c r="D355" s="26"/>
      <c r="E355" s="26"/>
      <c r="F355" s="26"/>
      <c r="G355" s="26"/>
      <c r="H355" s="28"/>
      <c r="I355" s="29"/>
      <c r="J355" s="30" t="str">
        <f aca="false">IF($A355="","",IFERROR(IF(N(INDEX(Clients!$E$6:$E$105,MATCH($B355,Clients!$A$6:$A$105,0)))&gt;0,INDEX(Clients!$E$6:$E$105,MATCH($B355,Clients!$A$6:$A$105,0)),Dashboard!$B$6),Dashboard!$B$6))</f>
        <v/>
      </c>
      <c r="K355" s="31" t="str">
        <f aca="false">IF(OR($A355="",$I355=""),"",$I355+$J355)</f>
        <v/>
      </c>
      <c r="L355" s="26"/>
      <c r="M355" s="32"/>
      <c r="N355" s="33"/>
      <c r="O355" s="34" t="str">
        <f aca="false">IF($A355="","",N($M355)*N($N355))</f>
        <v/>
      </c>
      <c r="P355" s="34" t="str">
        <f aca="false">IF($A355="","",N($M355)+$O355)</f>
        <v/>
      </c>
      <c r="Q355" s="34" t="str">
        <f aca="false">IF($A355="","",SUMIFS('Credit Notes'!$F$6:$F$205,'Credit Notes'!$B$6:$B$205,$A355,'Credit Notes'!$H$6:$H$205,"Issued"))</f>
        <v/>
      </c>
      <c r="R355" s="34" t="str">
        <f aca="false">IF($A355="","",SUMIFS(Payments!$I$6:$I$505,Payments!$C$6:$C$505,$A355))</f>
        <v/>
      </c>
      <c r="S355" s="34" t="str">
        <f aca="false">IF($A355="","",IF($T355="Void",0,$P355-$Q355-$R355))</f>
        <v/>
      </c>
      <c r="T355" s="26"/>
      <c r="U355" s="35" t="str">
        <f aca="false">IF($A355="","",IF($T355="Void","Void",IF(OR($T355="",$T355="Draft"),"Draft",IF($T355="Disputed","Disputed",IF($S355&lt;-0.005,"Overpaid",IF($S355&lt;=0.005,"Paid",IF($R355+$Q355&gt;0.005,IF($V355&gt;0,"Part-paid, overdue","Part-paid"),IF($V355&gt;0,"Overdue","Outstanding"))))))))</f>
        <v/>
      </c>
      <c r="V355" s="36" t="str">
        <f aca="true">IF($A355="","",IF(AND(OR($T355="Issued",$T355="Disputed"),$S355&gt;0.005,$K355&lt;&gt;"",$K355&lt;TODAY()),TODAY()-$K355,0))</f>
        <v/>
      </c>
      <c r="W355" s="35" t="str">
        <f aca="false">IF($A355="","",IF(AND(OR($T355="Issued",$T355="Disputed"),$S355&gt;0.005),IF($V355&lt;=0,"Not yet due",IF($V355&lt;=30,"1 to 30 days",IF($V355&lt;=60,"31 to 60 days",IF($V355&lt;=90,"61 to 90 days","Over 90 days")))),""))</f>
        <v/>
      </c>
      <c r="X355" s="26"/>
      <c r="Y355" s="29"/>
      <c r="Z355" s="28"/>
      <c r="AA355" s="28"/>
    </row>
    <row r="356" customFormat="false" ht="15" hidden="false" customHeight="false" outlineLevel="0" collapsed="false">
      <c r="A356" s="26"/>
      <c r="B356" s="26"/>
      <c r="C356" s="27" t="str">
        <f aca="false">IF($B356="","",IFERROR(INDEX(Clients!$B$6:$B$105,MATCH($B356,Clients!$A$6:$A$105,0)),"Client not found"))</f>
        <v/>
      </c>
      <c r="D356" s="26"/>
      <c r="E356" s="26"/>
      <c r="F356" s="26"/>
      <c r="G356" s="26"/>
      <c r="H356" s="28"/>
      <c r="I356" s="29"/>
      <c r="J356" s="30" t="str">
        <f aca="false">IF($A356="","",IFERROR(IF(N(INDEX(Clients!$E$6:$E$105,MATCH($B356,Clients!$A$6:$A$105,0)))&gt;0,INDEX(Clients!$E$6:$E$105,MATCH($B356,Clients!$A$6:$A$105,0)),Dashboard!$B$6),Dashboard!$B$6))</f>
        <v/>
      </c>
      <c r="K356" s="31" t="str">
        <f aca="false">IF(OR($A356="",$I356=""),"",$I356+$J356)</f>
        <v/>
      </c>
      <c r="L356" s="26"/>
      <c r="M356" s="32"/>
      <c r="N356" s="33"/>
      <c r="O356" s="34" t="str">
        <f aca="false">IF($A356="","",N($M356)*N($N356))</f>
        <v/>
      </c>
      <c r="P356" s="34" t="str">
        <f aca="false">IF($A356="","",N($M356)+$O356)</f>
        <v/>
      </c>
      <c r="Q356" s="34" t="str">
        <f aca="false">IF($A356="","",SUMIFS('Credit Notes'!$F$6:$F$205,'Credit Notes'!$B$6:$B$205,$A356,'Credit Notes'!$H$6:$H$205,"Issued"))</f>
        <v/>
      </c>
      <c r="R356" s="34" t="str">
        <f aca="false">IF($A356="","",SUMIFS(Payments!$I$6:$I$505,Payments!$C$6:$C$505,$A356))</f>
        <v/>
      </c>
      <c r="S356" s="34" t="str">
        <f aca="false">IF($A356="","",IF($T356="Void",0,$P356-$Q356-$R356))</f>
        <v/>
      </c>
      <c r="T356" s="26"/>
      <c r="U356" s="35" t="str">
        <f aca="false">IF($A356="","",IF($T356="Void","Void",IF(OR($T356="",$T356="Draft"),"Draft",IF($T356="Disputed","Disputed",IF($S356&lt;-0.005,"Overpaid",IF($S356&lt;=0.005,"Paid",IF($R356+$Q356&gt;0.005,IF($V356&gt;0,"Part-paid, overdue","Part-paid"),IF($V356&gt;0,"Overdue","Outstanding"))))))))</f>
        <v/>
      </c>
      <c r="V356" s="36" t="str">
        <f aca="true">IF($A356="","",IF(AND(OR($T356="Issued",$T356="Disputed"),$S356&gt;0.005,$K356&lt;&gt;"",$K356&lt;TODAY()),TODAY()-$K356,0))</f>
        <v/>
      </c>
      <c r="W356" s="35" t="str">
        <f aca="false">IF($A356="","",IF(AND(OR($T356="Issued",$T356="Disputed"),$S356&gt;0.005),IF($V356&lt;=0,"Not yet due",IF($V356&lt;=30,"1 to 30 days",IF($V356&lt;=60,"31 to 60 days",IF($V356&lt;=90,"61 to 90 days","Over 90 days")))),""))</f>
        <v/>
      </c>
      <c r="X356" s="26"/>
      <c r="Y356" s="29"/>
      <c r="Z356" s="28"/>
      <c r="AA356" s="28"/>
    </row>
    <row r="357" customFormat="false" ht="15" hidden="false" customHeight="false" outlineLevel="0" collapsed="false">
      <c r="A357" s="26"/>
      <c r="B357" s="26"/>
      <c r="C357" s="27" t="str">
        <f aca="false">IF($B357="","",IFERROR(INDEX(Clients!$B$6:$B$105,MATCH($B357,Clients!$A$6:$A$105,0)),"Client not found"))</f>
        <v/>
      </c>
      <c r="D357" s="26"/>
      <c r="E357" s="26"/>
      <c r="F357" s="26"/>
      <c r="G357" s="26"/>
      <c r="H357" s="28"/>
      <c r="I357" s="29"/>
      <c r="J357" s="30" t="str">
        <f aca="false">IF($A357="","",IFERROR(IF(N(INDEX(Clients!$E$6:$E$105,MATCH($B357,Clients!$A$6:$A$105,0)))&gt;0,INDEX(Clients!$E$6:$E$105,MATCH($B357,Clients!$A$6:$A$105,0)),Dashboard!$B$6),Dashboard!$B$6))</f>
        <v/>
      </c>
      <c r="K357" s="31" t="str">
        <f aca="false">IF(OR($A357="",$I357=""),"",$I357+$J357)</f>
        <v/>
      </c>
      <c r="L357" s="26"/>
      <c r="M357" s="32"/>
      <c r="N357" s="33"/>
      <c r="O357" s="34" t="str">
        <f aca="false">IF($A357="","",N($M357)*N($N357))</f>
        <v/>
      </c>
      <c r="P357" s="34" t="str">
        <f aca="false">IF($A357="","",N($M357)+$O357)</f>
        <v/>
      </c>
      <c r="Q357" s="34" t="str">
        <f aca="false">IF($A357="","",SUMIFS('Credit Notes'!$F$6:$F$205,'Credit Notes'!$B$6:$B$205,$A357,'Credit Notes'!$H$6:$H$205,"Issued"))</f>
        <v/>
      </c>
      <c r="R357" s="34" t="str">
        <f aca="false">IF($A357="","",SUMIFS(Payments!$I$6:$I$505,Payments!$C$6:$C$505,$A357))</f>
        <v/>
      </c>
      <c r="S357" s="34" t="str">
        <f aca="false">IF($A357="","",IF($T357="Void",0,$P357-$Q357-$R357))</f>
        <v/>
      </c>
      <c r="T357" s="26"/>
      <c r="U357" s="35" t="str">
        <f aca="false">IF($A357="","",IF($T357="Void","Void",IF(OR($T357="",$T357="Draft"),"Draft",IF($T357="Disputed","Disputed",IF($S357&lt;-0.005,"Overpaid",IF($S357&lt;=0.005,"Paid",IF($R357+$Q357&gt;0.005,IF($V357&gt;0,"Part-paid, overdue","Part-paid"),IF($V357&gt;0,"Overdue","Outstanding"))))))))</f>
        <v/>
      </c>
      <c r="V357" s="36" t="str">
        <f aca="true">IF($A357="","",IF(AND(OR($T357="Issued",$T357="Disputed"),$S357&gt;0.005,$K357&lt;&gt;"",$K357&lt;TODAY()),TODAY()-$K357,0))</f>
        <v/>
      </c>
      <c r="W357" s="35" t="str">
        <f aca="false">IF($A357="","",IF(AND(OR($T357="Issued",$T357="Disputed"),$S357&gt;0.005),IF($V357&lt;=0,"Not yet due",IF($V357&lt;=30,"1 to 30 days",IF($V357&lt;=60,"31 to 60 days",IF($V357&lt;=90,"61 to 90 days","Over 90 days")))),""))</f>
        <v/>
      </c>
      <c r="X357" s="26"/>
      <c r="Y357" s="29"/>
      <c r="Z357" s="28"/>
      <c r="AA357" s="28"/>
    </row>
    <row r="358" customFormat="false" ht="15" hidden="false" customHeight="false" outlineLevel="0" collapsed="false">
      <c r="A358" s="26"/>
      <c r="B358" s="26"/>
      <c r="C358" s="27" t="str">
        <f aca="false">IF($B358="","",IFERROR(INDEX(Clients!$B$6:$B$105,MATCH($B358,Clients!$A$6:$A$105,0)),"Client not found"))</f>
        <v/>
      </c>
      <c r="D358" s="26"/>
      <c r="E358" s="26"/>
      <c r="F358" s="26"/>
      <c r="G358" s="26"/>
      <c r="H358" s="28"/>
      <c r="I358" s="29"/>
      <c r="J358" s="30" t="str">
        <f aca="false">IF($A358="","",IFERROR(IF(N(INDEX(Clients!$E$6:$E$105,MATCH($B358,Clients!$A$6:$A$105,0)))&gt;0,INDEX(Clients!$E$6:$E$105,MATCH($B358,Clients!$A$6:$A$105,0)),Dashboard!$B$6),Dashboard!$B$6))</f>
        <v/>
      </c>
      <c r="K358" s="31" t="str">
        <f aca="false">IF(OR($A358="",$I358=""),"",$I358+$J358)</f>
        <v/>
      </c>
      <c r="L358" s="26"/>
      <c r="M358" s="32"/>
      <c r="N358" s="33"/>
      <c r="O358" s="34" t="str">
        <f aca="false">IF($A358="","",N($M358)*N($N358))</f>
        <v/>
      </c>
      <c r="P358" s="34" t="str">
        <f aca="false">IF($A358="","",N($M358)+$O358)</f>
        <v/>
      </c>
      <c r="Q358" s="34" t="str">
        <f aca="false">IF($A358="","",SUMIFS('Credit Notes'!$F$6:$F$205,'Credit Notes'!$B$6:$B$205,$A358,'Credit Notes'!$H$6:$H$205,"Issued"))</f>
        <v/>
      </c>
      <c r="R358" s="34" t="str">
        <f aca="false">IF($A358="","",SUMIFS(Payments!$I$6:$I$505,Payments!$C$6:$C$505,$A358))</f>
        <v/>
      </c>
      <c r="S358" s="34" t="str">
        <f aca="false">IF($A358="","",IF($T358="Void",0,$P358-$Q358-$R358))</f>
        <v/>
      </c>
      <c r="T358" s="26"/>
      <c r="U358" s="35" t="str">
        <f aca="false">IF($A358="","",IF($T358="Void","Void",IF(OR($T358="",$T358="Draft"),"Draft",IF($T358="Disputed","Disputed",IF($S358&lt;-0.005,"Overpaid",IF($S358&lt;=0.005,"Paid",IF($R358+$Q358&gt;0.005,IF($V358&gt;0,"Part-paid, overdue","Part-paid"),IF($V358&gt;0,"Overdue","Outstanding"))))))))</f>
        <v/>
      </c>
      <c r="V358" s="36" t="str">
        <f aca="true">IF($A358="","",IF(AND(OR($T358="Issued",$T358="Disputed"),$S358&gt;0.005,$K358&lt;&gt;"",$K358&lt;TODAY()),TODAY()-$K358,0))</f>
        <v/>
      </c>
      <c r="W358" s="35" t="str">
        <f aca="false">IF($A358="","",IF(AND(OR($T358="Issued",$T358="Disputed"),$S358&gt;0.005),IF($V358&lt;=0,"Not yet due",IF($V358&lt;=30,"1 to 30 days",IF($V358&lt;=60,"31 to 60 days",IF($V358&lt;=90,"61 to 90 days","Over 90 days")))),""))</f>
        <v/>
      </c>
      <c r="X358" s="26"/>
      <c r="Y358" s="29"/>
      <c r="Z358" s="28"/>
      <c r="AA358" s="28"/>
    </row>
    <row r="359" customFormat="false" ht="15" hidden="false" customHeight="false" outlineLevel="0" collapsed="false">
      <c r="A359" s="26"/>
      <c r="B359" s="26"/>
      <c r="C359" s="27" t="str">
        <f aca="false">IF($B359="","",IFERROR(INDEX(Clients!$B$6:$B$105,MATCH($B359,Clients!$A$6:$A$105,0)),"Client not found"))</f>
        <v/>
      </c>
      <c r="D359" s="26"/>
      <c r="E359" s="26"/>
      <c r="F359" s="26"/>
      <c r="G359" s="26"/>
      <c r="H359" s="28"/>
      <c r="I359" s="29"/>
      <c r="J359" s="30" t="str">
        <f aca="false">IF($A359="","",IFERROR(IF(N(INDEX(Clients!$E$6:$E$105,MATCH($B359,Clients!$A$6:$A$105,0)))&gt;0,INDEX(Clients!$E$6:$E$105,MATCH($B359,Clients!$A$6:$A$105,0)),Dashboard!$B$6),Dashboard!$B$6))</f>
        <v/>
      </c>
      <c r="K359" s="31" t="str">
        <f aca="false">IF(OR($A359="",$I359=""),"",$I359+$J359)</f>
        <v/>
      </c>
      <c r="L359" s="26"/>
      <c r="M359" s="32"/>
      <c r="N359" s="33"/>
      <c r="O359" s="34" t="str">
        <f aca="false">IF($A359="","",N($M359)*N($N359))</f>
        <v/>
      </c>
      <c r="P359" s="34" t="str">
        <f aca="false">IF($A359="","",N($M359)+$O359)</f>
        <v/>
      </c>
      <c r="Q359" s="34" t="str">
        <f aca="false">IF($A359="","",SUMIFS('Credit Notes'!$F$6:$F$205,'Credit Notes'!$B$6:$B$205,$A359,'Credit Notes'!$H$6:$H$205,"Issued"))</f>
        <v/>
      </c>
      <c r="R359" s="34" t="str">
        <f aca="false">IF($A359="","",SUMIFS(Payments!$I$6:$I$505,Payments!$C$6:$C$505,$A359))</f>
        <v/>
      </c>
      <c r="S359" s="34" t="str">
        <f aca="false">IF($A359="","",IF($T359="Void",0,$P359-$Q359-$R359))</f>
        <v/>
      </c>
      <c r="T359" s="26"/>
      <c r="U359" s="35" t="str">
        <f aca="false">IF($A359="","",IF($T359="Void","Void",IF(OR($T359="",$T359="Draft"),"Draft",IF($T359="Disputed","Disputed",IF($S359&lt;-0.005,"Overpaid",IF($S359&lt;=0.005,"Paid",IF($R359+$Q359&gt;0.005,IF($V359&gt;0,"Part-paid, overdue","Part-paid"),IF($V359&gt;0,"Overdue","Outstanding"))))))))</f>
        <v/>
      </c>
      <c r="V359" s="36" t="str">
        <f aca="true">IF($A359="","",IF(AND(OR($T359="Issued",$T359="Disputed"),$S359&gt;0.005,$K359&lt;&gt;"",$K359&lt;TODAY()),TODAY()-$K359,0))</f>
        <v/>
      </c>
      <c r="W359" s="35" t="str">
        <f aca="false">IF($A359="","",IF(AND(OR($T359="Issued",$T359="Disputed"),$S359&gt;0.005),IF($V359&lt;=0,"Not yet due",IF($V359&lt;=30,"1 to 30 days",IF($V359&lt;=60,"31 to 60 days",IF($V359&lt;=90,"61 to 90 days","Over 90 days")))),""))</f>
        <v/>
      </c>
      <c r="X359" s="26"/>
      <c r="Y359" s="29"/>
      <c r="Z359" s="28"/>
      <c r="AA359" s="28"/>
    </row>
    <row r="360" customFormat="false" ht="15" hidden="false" customHeight="false" outlineLevel="0" collapsed="false">
      <c r="A360" s="26"/>
      <c r="B360" s="26"/>
      <c r="C360" s="27" t="str">
        <f aca="false">IF($B360="","",IFERROR(INDEX(Clients!$B$6:$B$105,MATCH($B360,Clients!$A$6:$A$105,0)),"Client not found"))</f>
        <v/>
      </c>
      <c r="D360" s="26"/>
      <c r="E360" s="26"/>
      <c r="F360" s="26"/>
      <c r="G360" s="26"/>
      <c r="H360" s="28"/>
      <c r="I360" s="29"/>
      <c r="J360" s="30" t="str">
        <f aca="false">IF($A360="","",IFERROR(IF(N(INDEX(Clients!$E$6:$E$105,MATCH($B360,Clients!$A$6:$A$105,0)))&gt;0,INDEX(Clients!$E$6:$E$105,MATCH($B360,Clients!$A$6:$A$105,0)),Dashboard!$B$6),Dashboard!$B$6))</f>
        <v/>
      </c>
      <c r="K360" s="31" t="str">
        <f aca="false">IF(OR($A360="",$I360=""),"",$I360+$J360)</f>
        <v/>
      </c>
      <c r="L360" s="26"/>
      <c r="M360" s="32"/>
      <c r="N360" s="33"/>
      <c r="O360" s="34" t="str">
        <f aca="false">IF($A360="","",N($M360)*N($N360))</f>
        <v/>
      </c>
      <c r="P360" s="34" t="str">
        <f aca="false">IF($A360="","",N($M360)+$O360)</f>
        <v/>
      </c>
      <c r="Q360" s="34" t="str">
        <f aca="false">IF($A360="","",SUMIFS('Credit Notes'!$F$6:$F$205,'Credit Notes'!$B$6:$B$205,$A360,'Credit Notes'!$H$6:$H$205,"Issued"))</f>
        <v/>
      </c>
      <c r="R360" s="34" t="str">
        <f aca="false">IF($A360="","",SUMIFS(Payments!$I$6:$I$505,Payments!$C$6:$C$505,$A360))</f>
        <v/>
      </c>
      <c r="S360" s="34" t="str">
        <f aca="false">IF($A360="","",IF($T360="Void",0,$P360-$Q360-$R360))</f>
        <v/>
      </c>
      <c r="T360" s="26"/>
      <c r="U360" s="35" t="str">
        <f aca="false">IF($A360="","",IF($T360="Void","Void",IF(OR($T360="",$T360="Draft"),"Draft",IF($T360="Disputed","Disputed",IF($S360&lt;-0.005,"Overpaid",IF($S360&lt;=0.005,"Paid",IF($R360+$Q360&gt;0.005,IF($V360&gt;0,"Part-paid, overdue","Part-paid"),IF($V360&gt;0,"Overdue","Outstanding"))))))))</f>
        <v/>
      </c>
      <c r="V360" s="36" t="str">
        <f aca="true">IF($A360="","",IF(AND(OR($T360="Issued",$T360="Disputed"),$S360&gt;0.005,$K360&lt;&gt;"",$K360&lt;TODAY()),TODAY()-$K360,0))</f>
        <v/>
      </c>
      <c r="W360" s="35" t="str">
        <f aca="false">IF($A360="","",IF(AND(OR($T360="Issued",$T360="Disputed"),$S360&gt;0.005),IF($V360&lt;=0,"Not yet due",IF($V360&lt;=30,"1 to 30 days",IF($V360&lt;=60,"31 to 60 days",IF($V360&lt;=90,"61 to 90 days","Over 90 days")))),""))</f>
        <v/>
      </c>
      <c r="X360" s="26"/>
      <c r="Y360" s="29"/>
      <c r="Z360" s="28"/>
      <c r="AA360" s="28"/>
    </row>
    <row r="361" customFormat="false" ht="15" hidden="false" customHeight="false" outlineLevel="0" collapsed="false">
      <c r="A361" s="26"/>
      <c r="B361" s="26"/>
      <c r="C361" s="27" t="str">
        <f aca="false">IF($B361="","",IFERROR(INDEX(Clients!$B$6:$B$105,MATCH($B361,Clients!$A$6:$A$105,0)),"Client not found"))</f>
        <v/>
      </c>
      <c r="D361" s="26"/>
      <c r="E361" s="26"/>
      <c r="F361" s="26"/>
      <c r="G361" s="26"/>
      <c r="H361" s="28"/>
      <c r="I361" s="29"/>
      <c r="J361" s="30" t="str">
        <f aca="false">IF($A361="","",IFERROR(IF(N(INDEX(Clients!$E$6:$E$105,MATCH($B361,Clients!$A$6:$A$105,0)))&gt;0,INDEX(Clients!$E$6:$E$105,MATCH($B361,Clients!$A$6:$A$105,0)),Dashboard!$B$6),Dashboard!$B$6))</f>
        <v/>
      </c>
      <c r="K361" s="31" t="str">
        <f aca="false">IF(OR($A361="",$I361=""),"",$I361+$J361)</f>
        <v/>
      </c>
      <c r="L361" s="26"/>
      <c r="M361" s="32"/>
      <c r="N361" s="33"/>
      <c r="O361" s="34" t="str">
        <f aca="false">IF($A361="","",N($M361)*N($N361))</f>
        <v/>
      </c>
      <c r="P361" s="34" t="str">
        <f aca="false">IF($A361="","",N($M361)+$O361)</f>
        <v/>
      </c>
      <c r="Q361" s="34" t="str">
        <f aca="false">IF($A361="","",SUMIFS('Credit Notes'!$F$6:$F$205,'Credit Notes'!$B$6:$B$205,$A361,'Credit Notes'!$H$6:$H$205,"Issued"))</f>
        <v/>
      </c>
      <c r="R361" s="34" t="str">
        <f aca="false">IF($A361="","",SUMIFS(Payments!$I$6:$I$505,Payments!$C$6:$C$505,$A361))</f>
        <v/>
      </c>
      <c r="S361" s="34" t="str">
        <f aca="false">IF($A361="","",IF($T361="Void",0,$P361-$Q361-$R361))</f>
        <v/>
      </c>
      <c r="T361" s="26"/>
      <c r="U361" s="35" t="str">
        <f aca="false">IF($A361="","",IF($T361="Void","Void",IF(OR($T361="",$T361="Draft"),"Draft",IF($T361="Disputed","Disputed",IF($S361&lt;-0.005,"Overpaid",IF($S361&lt;=0.005,"Paid",IF($R361+$Q361&gt;0.005,IF($V361&gt;0,"Part-paid, overdue","Part-paid"),IF($V361&gt;0,"Overdue","Outstanding"))))))))</f>
        <v/>
      </c>
      <c r="V361" s="36" t="str">
        <f aca="true">IF($A361="","",IF(AND(OR($T361="Issued",$T361="Disputed"),$S361&gt;0.005,$K361&lt;&gt;"",$K361&lt;TODAY()),TODAY()-$K361,0))</f>
        <v/>
      </c>
      <c r="W361" s="35" t="str">
        <f aca="false">IF($A361="","",IF(AND(OR($T361="Issued",$T361="Disputed"),$S361&gt;0.005),IF($V361&lt;=0,"Not yet due",IF($V361&lt;=30,"1 to 30 days",IF($V361&lt;=60,"31 to 60 days",IF($V361&lt;=90,"61 to 90 days","Over 90 days")))),""))</f>
        <v/>
      </c>
      <c r="X361" s="26"/>
      <c r="Y361" s="29"/>
      <c r="Z361" s="28"/>
      <c r="AA361" s="28"/>
    </row>
    <row r="362" customFormat="false" ht="15" hidden="false" customHeight="false" outlineLevel="0" collapsed="false">
      <c r="A362" s="26"/>
      <c r="B362" s="26"/>
      <c r="C362" s="27" t="str">
        <f aca="false">IF($B362="","",IFERROR(INDEX(Clients!$B$6:$B$105,MATCH($B362,Clients!$A$6:$A$105,0)),"Client not found"))</f>
        <v/>
      </c>
      <c r="D362" s="26"/>
      <c r="E362" s="26"/>
      <c r="F362" s="26"/>
      <c r="G362" s="26"/>
      <c r="H362" s="28"/>
      <c r="I362" s="29"/>
      <c r="J362" s="30" t="str">
        <f aca="false">IF($A362="","",IFERROR(IF(N(INDEX(Clients!$E$6:$E$105,MATCH($B362,Clients!$A$6:$A$105,0)))&gt;0,INDEX(Clients!$E$6:$E$105,MATCH($B362,Clients!$A$6:$A$105,0)),Dashboard!$B$6),Dashboard!$B$6))</f>
        <v/>
      </c>
      <c r="K362" s="31" t="str">
        <f aca="false">IF(OR($A362="",$I362=""),"",$I362+$J362)</f>
        <v/>
      </c>
      <c r="L362" s="26"/>
      <c r="M362" s="32"/>
      <c r="N362" s="33"/>
      <c r="O362" s="34" t="str">
        <f aca="false">IF($A362="","",N($M362)*N($N362))</f>
        <v/>
      </c>
      <c r="P362" s="34" t="str">
        <f aca="false">IF($A362="","",N($M362)+$O362)</f>
        <v/>
      </c>
      <c r="Q362" s="34" t="str">
        <f aca="false">IF($A362="","",SUMIFS('Credit Notes'!$F$6:$F$205,'Credit Notes'!$B$6:$B$205,$A362,'Credit Notes'!$H$6:$H$205,"Issued"))</f>
        <v/>
      </c>
      <c r="R362" s="34" t="str">
        <f aca="false">IF($A362="","",SUMIFS(Payments!$I$6:$I$505,Payments!$C$6:$C$505,$A362))</f>
        <v/>
      </c>
      <c r="S362" s="34" t="str">
        <f aca="false">IF($A362="","",IF($T362="Void",0,$P362-$Q362-$R362))</f>
        <v/>
      </c>
      <c r="T362" s="26"/>
      <c r="U362" s="35" t="str">
        <f aca="false">IF($A362="","",IF($T362="Void","Void",IF(OR($T362="",$T362="Draft"),"Draft",IF($T362="Disputed","Disputed",IF($S362&lt;-0.005,"Overpaid",IF($S362&lt;=0.005,"Paid",IF($R362+$Q362&gt;0.005,IF($V362&gt;0,"Part-paid, overdue","Part-paid"),IF($V362&gt;0,"Overdue","Outstanding"))))))))</f>
        <v/>
      </c>
      <c r="V362" s="36" t="str">
        <f aca="true">IF($A362="","",IF(AND(OR($T362="Issued",$T362="Disputed"),$S362&gt;0.005,$K362&lt;&gt;"",$K362&lt;TODAY()),TODAY()-$K362,0))</f>
        <v/>
      </c>
      <c r="W362" s="35" t="str">
        <f aca="false">IF($A362="","",IF(AND(OR($T362="Issued",$T362="Disputed"),$S362&gt;0.005),IF($V362&lt;=0,"Not yet due",IF($V362&lt;=30,"1 to 30 days",IF($V362&lt;=60,"31 to 60 days",IF($V362&lt;=90,"61 to 90 days","Over 90 days")))),""))</f>
        <v/>
      </c>
      <c r="X362" s="26"/>
      <c r="Y362" s="29"/>
      <c r="Z362" s="28"/>
      <c r="AA362" s="28"/>
    </row>
    <row r="363" customFormat="false" ht="15" hidden="false" customHeight="false" outlineLevel="0" collapsed="false">
      <c r="A363" s="26"/>
      <c r="B363" s="26"/>
      <c r="C363" s="27" t="str">
        <f aca="false">IF($B363="","",IFERROR(INDEX(Clients!$B$6:$B$105,MATCH($B363,Clients!$A$6:$A$105,0)),"Client not found"))</f>
        <v/>
      </c>
      <c r="D363" s="26"/>
      <c r="E363" s="26"/>
      <c r="F363" s="26"/>
      <c r="G363" s="26"/>
      <c r="H363" s="28"/>
      <c r="I363" s="29"/>
      <c r="J363" s="30" t="str">
        <f aca="false">IF($A363="","",IFERROR(IF(N(INDEX(Clients!$E$6:$E$105,MATCH($B363,Clients!$A$6:$A$105,0)))&gt;0,INDEX(Clients!$E$6:$E$105,MATCH($B363,Clients!$A$6:$A$105,0)),Dashboard!$B$6),Dashboard!$B$6))</f>
        <v/>
      </c>
      <c r="K363" s="31" t="str">
        <f aca="false">IF(OR($A363="",$I363=""),"",$I363+$J363)</f>
        <v/>
      </c>
      <c r="L363" s="26"/>
      <c r="M363" s="32"/>
      <c r="N363" s="33"/>
      <c r="O363" s="34" t="str">
        <f aca="false">IF($A363="","",N($M363)*N($N363))</f>
        <v/>
      </c>
      <c r="P363" s="34" t="str">
        <f aca="false">IF($A363="","",N($M363)+$O363)</f>
        <v/>
      </c>
      <c r="Q363" s="34" t="str">
        <f aca="false">IF($A363="","",SUMIFS('Credit Notes'!$F$6:$F$205,'Credit Notes'!$B$6:$B$205,$A363,'Credit Notes'!$H$6:$H$205,"Issued"))</f>
        <v/>
      </c>
      <c r="R363" s="34" t="str">
        <f aca="false">IF($A363="","",SUMIFS(Payments!$I$6:$I$505,Payments!$C$6:$C$505,$A363))</f>
        <v/>
      </c>
      <c r="S363" s="34" t="str">
        <f aca="false">IF($A363="","",IF($T363="Void",0,$P363-$Q363-$R363))</f>
        <v/>
      </c>
      <c r="T363" s="26"/>
      <c r="U363" s="35" t="str">
        <f aca="false">IF($A363="","",IF($T363="Void","Void",IF(OR($T363="",$T363="Draft"),"Draft",IF($T363="Disputed","Disputed",IF($S363&lt;-0.005,"Overpaid",IF($S363&lt;=0.005,"Paid",IF($R363+$Q363&gt;0.005,IF($V363&gt;0,"Part-paid, overdue","Part-paid"),IF($V363&gt;0,"Overdue","Outstanding"))))))))</f>
        <v/>
      </c>
      <c r="V363" s="36" t="str">
        <f aca="true">IF($A363="","",IF(AND(OR($T363="Issued",$T363="Disputed"),$S363&gt;0.005,$K363&lt;&gt;"",$K363&lt;TODAY()),TODAY()-$K363,0))</f>
        <v/>
      </c>
      <c r="W363" s="35" t="str">
        <f aca="false">IF($A363="","",IF(AND(OR($T363="Issued",$T363="Disputed"),$S363&gt;0.005),IF($V363&lt;=0,"Not yet due",IF($V363&lt;=30,"1 to 30 days",IF($V363&lt;=60,"31 to 60 days",IF($V363&lt;=90,"61 to 90 days","Over 90 days")))),""))</f>
        <v/>
      </c>
      <c r="X363" s="26"/>
      <c r="Y363" s="29"/>
      <c r="Z363" s="28"/>
      <c r="AA363" s="28"/>
    </row>
    <row r="364" customFormat="false" ht="15" hidden="false" customHeight="false" outlineLevel="0" collapsed="false">
      <c r="A364" s="26"/>
      <c r="B364" s="26"/>
      <c r="C364" s="27" t="str">
        <f aca="false">IF($B364="","",IFERROR(INDEX(Clients!$B$6:$B$105,MATCH($B364,Clients!$A$6:$A$105,0)),"Client not found"))</f>
        <v/>
      </c>
      <c r="D364" s="26"/>
      <c r="E364" s="26"/>
      <c r="F364" s="26"/>
      <c r="G364" s="26"/>
      <c r="H364" s="28"/>
      <c r="I364" s="29"/>
      <c r="J364" s="30" t="str">
        <f aca="false">IF($A364="","",IFERROR(IF(N(INDEX(Clients!$E$6:$E$105,MATCH($B364,Clients!$A$6:$A$105,0)))&gt;0,INDEX(Clients!$E$6:$E$105,MATCH($B364,Clients!$A$6:$A$105,0)),Dashboard!$B$6),Dashboard!$B$6))</f>
        <v/>
      </c>
      <c r="K364" s="31" t="str">
        <f aca="false">IF(OR($A364="",$I364=""),"",$I364+$J364)</f>
        <v/>
      </c>
      <c r="L364" s="26"/>
      <c r="M364" s="32"/>
      <c r="N364" s="33"/>
      <c r="O364" s="34" t="str">
        <f aca="false">IF($A364="","",N($M364)*N($N364))</f>
        <v/>
      </c>
      <c r="P364" s="34" t="str">
        <f aca="false">IF($A364="","",N($M364)+$O364)</f>
        <v/>
      </c>
      <c r="Q364" s="34" t="str">
        <f aca="false">IF($A364="","",SUMIFS('Credit Notes'!$F$6:$F$205,'Credit Notes'!$B$6:$B$205,$A364,'Credit Notes'!$H$6:$H$205,"Issued"))</f>
        <v/>
      </c>
      <c r="R364" s="34" t="str">
        <f aca="false">IF($A364="","",SUMIFS(Payments!$I$6:$I$505,Payments!$C$6:$C$505,$A364))</f>
        <v/>
      </c>
      <c r="S364" s="34" t="str">
        <f aca="false">IF($A364="","",IF($T364="Void",0,$P364-$Q364-$R364))</f>
        <v/>
      </c>
      <c r="T364" s="26"/>
      <c r="U364" s="35" t="str">
        <f aca="false">IF($A364="","",IF($T364="Void","Void",IF(OR($T364="",$T364="Draft"),"Draft",IF($T364="Disputed","Disputed",IF($S364&lt;-0.005,"Overpaid",IF($S364&lt;=0.005,"Paid",IF($R364+$Q364&gt;0.005,IF($V364&gt;0,"Part-paid, overdue","Part-paid"),IF($V364&gt;0,"Overdue","Outstanding"))))))))</f>
        <v/>
      </c>
      <c r="V364" s="36" t="str">
        <f aca="true">IF($A364="","",IF(AND(OR($T364="Issued",$T364="Disputed"),$S364&gt;0.005,$K364&lt;&gt;"",$K364&lt;TODAY()),TODAY()-$K364,0))</f>
        <v/>
      </c>
      <c r="W364" s="35" t="str">
        <f aca="false">IF($A364="","",IF(AND(OR($T364="Issued",$T364="Disputed"),$S364&gt;0.005),IF($V364&lt;=0,"Not yet due",IF($V364&lt;=30,"1 to 30 days",IF($V364&lt;=60,"31 to 60 days",IF($V364&lt;=90,"61 to 90 days","Over 90 days")))),""))</f>
        <v/>
      </c>
      <c r="X364" s="26"/>
      <c r="Y364" s="29"/>
      <c r="Z364" s="28"/>
      <c r="AA364" s="28"/>
    </row>
    <row r="365" customFormat="false" ht="15" hidden="false" customHeight="false" outlineLevel="0" collapsed="false">
      <c r="A365" s="26"/>
      <c r="B365" s="26"/>
      <c r="C365" s="27" t="str">
        <f aca="false">IF($B365="","",IFERROR(INDEX(Clients!$B$6:$B$105,MATCH($B365,Clients!$A$6:$A$105,0)),"Client not found"))</f>
        <v/>
      </c>
      <c r="D365" s="26"/>
      <c r="E365" s="26"/>
      <c r="F365" s="26"/>
      <c r="G365" s="26"/>
      <c r="H365" s="28"/>
      <c r="I365" s="29"/>
      <c r="J365" s="30" t="str">
        <f aca="false">IF($A365="","",IFERROR(IF(N(INDEX(Clients!$E$6:$E$105,MATCH($B365,Clients!$A$6:$A$105,0)))&gt;0,INDEX(Clients!$E$6:$E$105,MATCH($B365,Clients!$A$6:$A$105,0)),Dashboard!$B$6),Dashboard!$B$6))</f>
        <v/>
      </c>
      <c r="K365" s="31" t="str">
        <f aca="false">IF(OR($A365="",$I365=""),"",$I365+$J365)</f>
        <v/>
      </c>
      <c r="L365" s="26"/>
      <c r="M365" s="32"/>
      <c r="N365" s="33"/>
      <c r="O365" s="34" t="str">
        <f aca="false">IF($A365="","",N($M365)*N($N365))</f>
        <v/>
      </c>
      <c r="P365" s="34" t="str">
        <f aca="false">IF($A365="","",N($M365)+$O365)</f>
        <v/>
      </c>
      <c r="Q365" s="34" t="str">
        <f aca="false">IF($A365="","",SUMIFS('Credit Notes'!$F$6:$F$205,'Credit Notes'!$B$6:$B$205,$A365,'Credit Notes'!$H$6:$H$205,"Issued"))</f>
        <v/>
      </c>
      <c r="R365" s="34" t="str">
        <f aca="false">IF($A365="","",SUMIFS(Payments!$I$6:$I$505,Payments!$C$6:$C$505,$A365))</f>
        <v/>
      </c>
      <c r="S365" s="34" t="str">
        <f aca="false">IF($A365="","",IF($T365="Void",0,$P365-$Q365-$R365))</f>
        <v/>
      </c>
      <c r="T365" s="26"/>
      <c r="U365" s="35" t="str">
        <f aca="false">IF($A365="","",IF($T365="Void","Void",IF(OR($T365="",$T365="Draft"),"Draft",IF($T365="Disputed","Disputed",IF($S365&lt;-0.005,"Overpaid",IF($S365&lt;=0.005,"Paid",IF($R365+$Q365&gt;0.005,IF($V365&gt;0,"Part-paid, overdue","Part-paid"),IF($V365&gt;0,"Overdue","Outstanding"))))))))</f>
        <v/>
      </c>
      <c r="V365" s="36" t="str">
        <f aca="true">IF($A365="","",IF(AND(OR($T365="Issued",$T365="Disputed"),$S365&gt;0.005,$K365&lt;&gt;"",$K365&lt;TODAY()),TODAY()-$K365,0))</f>
        <v/>
      </c>
      <c r="W365" s="35" t="str">
        <f aca="false">IF($A365="","",IF(AND(OR($T365="Issued",$T365="Disputed"),$S365&gt;0.005),IF($V365&lt;=0,"Not yet due",IF($V365&lt;=30,"1 to 30 days",IF($V365&lt;=60,"31 to 60 days",IF($V365&lt;=90,"61 to 90 days","Over 90 days")))),""))</f>
        <v/>
      </c>
      <c r="X365" s="26"/>
      <c r="Y365" s="29"/>
      <c r="Z365" s="28"/>
      <c r="AA365" s="28"/>
    </row>
    <row r="366" customFormat="false" ht="15" hidden="false" customHeight="false" outlineLevel="0" collapsed="false">
      <c r="A366" s="26"/>
      <c r="B366" s="26"/>
      <c r="C366" s="27" t="str">
        <f aca="false">IF($B366="","",IFERROR(INDEX(Clients!$B$6:$B$105,MATCH($B366,Clients!$A$6:$A$105,0)),"Client not found"))</f>
        <v/>
      </c>
      <c r="D366" s="26"/>
      <c r="E366" s="26"/>
      <c r="F366" s="26"/>
      <c r="G366" s="26"/>
      <c r="H366" s="28"/>
      <c r="I366" s="29"/>
      <c r="J366" s="30" t="str">
        <f aca="false">IF($A366="","",IFERROR(IF(N(INDEX(Clients!$E$6:$E$105,MATCH($B366,Clients!$A$6:$A$105,0)))&gt;0,INDEX(Clients!$E$6:$E$105,MATCH($B366,Clients!$A$6:$A$105,0)),Dashboard!$B$6),Dashboard!$B$6))</f>
        <v/>
      </c>
      <c r="K366" s="31" t="str">
        <f aca="false">IF(OR($A366="",$I366=""),"",$I366+$J366)</f>
        <v/>
      </c>
      <c r="L366" s="26"/>
      <c r="M366" s="32"/>
      <c r="N366" s="33"/>
      <c r="O366" s="34" t="str">
        <f aca="false">IF($A366="","",N($M366)*N($N366))</f>
        <v/>
      </c>
      <c r="P366" s="34" t="str">
        <f aca="false">IF($A366="","",N($M366)+$O366)</f>
        <v/>
      </c>
      <c r="Q366" s="34" t="str">
        <f aca="false">IF($A366="","",SUMIFS('Credit Notes'!$F$6:$F$205,'Credit Notes'!$B$6:$B$205,$A366,'Credit Notes'!$H$6:$H$205,"Issued"))</f>
        <v/>
      </c>
      <c r="R366" s="34" t="str">
        <f aca="false">IF($A366="","",SUMIFS(Payments!$I$6:$I$505,Payments!$C$6:$C$505,$A366))</f>
        <v/>
      </c>
      <c r="S366" s="34" t="str">
        <f aca="false">IF($A366="","",IF($T366="Void",0,$P366-$Q366-$R366))</f>
        <v/>
      </c>
      <c r="T366" s="26"/>
      <c r="U366" s="35" t="str">
        <f aca="false">IF($A366="","",IF($T366="Void","Void",IF(OR($T366="",$T366="Draft"),"Draft",IF($T366="Disputed","Disputed",IF($S366&lt;-0.005,"Overpaid",IF($S366&lt;=0.005,"Paid",IF($R366+$Q366&gt;0.005,IF($V366&gt;0,"Part-paid, overdue","Part-paid"),IF($V366&gt;0,"Overdue","Outstanding"))))))))</f>
        <v/>
      </c>
      <c r="V366" s="36" t="str">
        <f aca="true">IF($A366="","",IF(AND(OR($T366="Issued",$T366="Disputed"),$S366&gt;0.005,$K366&lt;&gt;"",$K366&lt;TODAY()),TODAY()-$K366,0))</f>
        <v/>
      </c>
      <c r="W366" s="35" t="str">
        <f aca="false">IF($A366="","",IF(AND(OR($T366="Issued",$T366="Disputed"),$S366&gt;0.005),IF($V366&lt;=0,"Not yet due",IF($V366&lt;=30,"1 to 30 days",IF($V366&lt;=60,"31 to 60 days",IF($V366&lt;=90,"61 to 90 days","Over 90 days")))),""))</f>
        <v/>
      </c>
      <c r="X366" s="26"/>
      <c r="Y366" s="29"/>
      <c r="Z366" s="28"/>
      <c r="AA366" s="28"/>
    </row>
    <row r="367" customFormat="false" ht="15" hidden="false" customHeight="false" outlineLevel="0" collapsed="false">
      <c r="A367" s="26"/>
      <c r="B367" s="26"/>
      <c r="C367" s="27" t="str">
        <f aca="false">IF($B367="","",IFERROR(INDEX(Clients!$B$6:$B$105,MATCH($B367,Clients!$A$6:$A$105,0)),"Client not found"))</f>
        <v/>
      </c>
      <c r="D367" s="26"/>
      <c r="E367" s="26"/>
      <c r="F367" s="26"/>
      <c r="G367" s="26"/>
      <c r="H367" s="28"/>
      <c r="I367" s="29"/>
      <c r="J367" s="30" t="str">
        <f aca="false">IF($A367="","",IFERROR(IF(N(INDEX(Clients!$E$6:$E$105,MATCH($B367,Clients!$A$6:$A$105,0)))&gt;0,INDEX(Clients!$E$6:$E$105,MATCH($B367,Clients!$A$6:$A$105,0)),Dashboard!$B$6),Dashboard!$B$6))</f>
        <v/>
      </c>
      <c r="K367" s="31" t="str">
        <f aca="false">IF(OR($A367="",$I367=""),"",$I367+$J367)</f>
        <v/>
      </c>
      <c r="L367" s="26"/>
      <c r="M367" s="32"/>
      <c r="N367" s="33"/>
      <c r="O367" s="34" t="str">
        <f aca="false">IF($A367="","",N($M367)*N($N367))</f>
        <v/>
      </c>
      <c r="P367" s="34" t="str">
        <f aca="false">IF($A367="","",N($M367)+$O367)</f>
        <v/>
      </c>
      <c r="Q367" s="34" t="str">
        <f aca="false">IF($A367="","",SUMIFS('Credit Notes'!$F$6:$F$205,'Credit Notes'!$B$6:$B$205,$A367,'Credit Notes'!$H$6:$H$205,"Issued"))</f>
        <v/>
      </c>
      <c r="R367" s="34" t="str">
        <f aca="false">IF($A367="","",SUMIFS(Payments!$I$6:$I$505,Payments!$C$6:$C$505,$A367))</f>
        <v/>
      </c>
      <c r="S367" s="34" t="str">
        <f aca="false">IF($A367="","",IF($T367="Void",0,$P367-$Q367-$R367))</f>
        <v/>
      </c>
      <c r="T367" s="26"/>
      <c r="U367" s="35" t="str">
        <f aca="false">IF($A367="","",IF($T367="Void","Void",IF(OR($T367="",$T367="Draft"),"Draft",IF($T367="Disputed","Disputed",IF($S367&lt;-0.005,"Overpaid",IF($S367&lt;=0.005,"Paid",IF($R367+$Q367&gt;0.005,IF($V367&gt;0,"Part-paid, overdue","Part-paid"),IF($V367&gt;0,"Overdue","Outstanding"))))))))</f>
        <v/>
      </c>
      <c r="V367" s="36" t="str">
        <f aca="true">IF($A367="","",IF(AND(OR($T367="Issued",$T367="Disputed"),$S367&gt;0.005,$K367&lt;&gt;"",$K367&lt;TODAY()),TODAY()-$K367,0))</f>
        <v/>
      </c>
      <c r="W367" s="35" t="str">
        <f aca="false">IF($A367="","",IF(AND(OR($T367="Issued",$T367="Disputed"),$S367&gt;0.005),IF($V367&lt;=0,"Not yet due",IF($V367&lt;=30,"1 to 30 days",IF($V367&lt;=60,"31 to 60 days",IF($V367&lt;=90,"61 to 90 days","Over 90 days")))),""))</f>
        <v/>
      </c>
      <c r="X367" s="26"/>
      <c r="Y367" s="29"/>
      <c r="Z367" s="28"/>
      <c r="AA367" s="28"/>
    </row>
    <row r="368" customFormat="false" ht="15" hidden="false" customHeight="false" outlineLevel="0" collapsed="false">
      <c r="A368" s="26"/>
      <c r="B368" s="26"/>
      <c r="C368" s="27" t="str">
        <f aca="false">IF($B368="","",IFERROR(INDEX(Clients!$B$6:$B$105,MATCH($B368,Clients!$A$6:$A$105,0)),"Client not found"))</f>
        <v/>
      </c>
      <c r="D368" s="26"/>
      <c r="E368" s="26"/>
      <c r="F368" s="26"/>
      <c r="G368" s="26"/>
      <c r="H368" s="28"/>
      <c r="I368" s="29"/>
      <c r="J368" s="30" t="str">
        <f aca="false">IF($A368="","",IFERROR(IF(N(INDEX(Clients!$E$6:$E$105,MATCH($B368,Clients!$A$6:$A$105,0)))&gt;0,INDEX(Clients!$E$6:$E$105,MATCH($B368,Clients!$A$6:$A$105,0)),Dashboard!$B$6),Dashboard!$B$6))</f>
        <v/>
      </c>
      <c r="K368" s="31" t="str">
        <f aca="false">IF(OR($A368="",$I368=""),"",$I368+$J368)</f>
        <v/>
      </c>
      <c r="L368" s="26"/>
      <c r="M368" s="32"/>
      <c r="N368" s="33"/>
      <c r="O368" s="34" t="str">
        <f aca="false">IF($A368="","",N($M368)*N($N368))</f>
        <v/>
      </c>
      <c r="P368" s="34" t="str">
        <f aca="false">IF($A368="","",N($M368)+$O368)</f>
        <v/>
      </c>
      <c r="Q368" s="34" t="str">
        <f aca="false">IF($A368="","",SUMIFS('Credit Notes'!$F$6:$F$205,'Credit Notes'!$B$6:$B$205,$A368,'Credit Notes'!$H$6:$H$205,"Issued"))</f>
        <v/>
      </c>
      <c r="R368" s="34" t="str">
        <f aca="false">IF($A368="","",SUMIFS(Payments!$I$6:$I$505,Payments!$C$6:$C$505,$A368))</f>
        <v/>
      </c>
      <c r="S368" s="34" t="str">
        <f aca="false">IF($A368="","",IF($T368="Void",0,$P368-$Q368-$R368))</f>
        <v/>
      </c>
      <c r="T368" s="26"/>
      <c r="U368" s="35" t="str">
        <f aca="false">IF($A368="","",IF($T368="Void","Void",IF(OR($T368="",$T368="Draft"),"Draft",IF($T368="Disputed","Disputed",IF($S368&lt;-0.005,"Overpaid",IF($S368&lt;=0.005,"Paid",IF($R368+$Q368&gt;0.005,IF($V368&gt;0,"Part-paid, overdue","Part-paid"),IF($V368&gt;0,"Overdue","Outstanding"))))))))</f>
        <v/>
      </c>
      <c r="V368" s="36" t="str">
        <f aca="true">IF($A368="","",IF(AND(OR($T368="Issued",$T368="Disputed"),$S368&gt;0.005,$K368&lt;&gt;"",$K368&lt;TODAY()),TODAY()-$K368,0))</f>
        <v/>
      </c>
      <c r="W368" s="35" t="str">
        <f aca="false">IF($A368="","",IF(AND(OR($T368="Issued",$T368="Disputed"),$S368&gt;0.005),IF($V368&lt;=0,"Not yet due",IF($V368&lt;=30,"1 to 30 days",IF($V368&lt;=60,"31 to 60 days",IF($V368&lt;=90,"61 to 90 days","Over 90 days")))),""))</f>
        <v/>
      </c>
      <c r="X368" s="26"/>
      <c r="Y368" s="29"/>
      <c r="Z368" s="28"/>
      <c r="AA368" s="28"/>
    </row>
    <row r="369" customFormat="false" ht="15" hidden="false" customHeight="false" outlineLevel="0" collapsed="false">
      <c r="A369" s="26"/>
      <c r="B369" s="26"/>
      <c r="C369" s="27" t="str">
        <f aca="false">IF($B369="","",IFERROR(INDEX(Clients!$B$6:$B$105,MATCH($B369,Clients!$A$6:$A$105,0)),"Client not found"))</f>
        <v/>
      </c>
      <c r="D369" s="26"/>
      <c r="E369" s="26"/>
      <c r="F369" s="26"/>
      <c r="G369" s="26"/>
      <c r="H369" s="28"/>
      <c r="I369" s="29"/>
      <c r="J369" s="30" t="str">
        <f aca="false">IF($A369="","",IFERROR(IF(N(INDEX(Clients!$E$6:$E$105,MATCH($B369,Clients!$A$6:$A$105,0)))&gt;0,INDEX(Clients!$E$6:$E$105,MATCH($B369,Clients!$A$6:$A$105,0)),Dashboard!$B$6),Dashboard!$B$6))</f>
        <v/>
      </c>
      <c r="K369" s="31" t="str">
        <f aca="false">IF(OR($A369="",$I369=""),"",$I369+$J369)</f>
        <v/>
      </c>
      <c r="L369" s="26"/>
      <c r="M369" s="32"/>
      <c r="N369" s="33"/>
      <c r="O369" s="34" t="str">
        <f aca="false">IF($A369="","",N($M369)*N($N369))</f>
        <v/>
      </c>
      <c r="P369" s="34" t="str">
        <f aca="false">IF($A369="","",N($M369)+$O369)</f>
        <v/>
      </c>
      <c r="Q369" s="34" t="str">
        <f aca="false">IF($A369="","",SUMIFS('Credit Notes'!$F$6:$F$205,'Credit Notes'!$B$6:$B$205,$A369,'Credit Notes'!$H$6:$H$205,"Issued"))</f>
        <v/>
      </c>
      <c r="R369" s="34" t="str">
        <f aca="false">IF($A369="","",SUMIFS(Payments!$I$6:$I$505,Payments!$C$6:$C$505,$A369))</f>
        <v/>
      </c>
      <c r="S369" s="34" t="str">
        <f aca="false">IF($A369="","",IF($T369="Void",0,$P369-$Q369-$R369))</f>
        <v/>
      </c>
      <c r="T369" s="26"/>
      <c r="U369" s="35" t="str">
        <f aca="false">IF($A369="","",IF($T369="Void","Void",IF(OR($T369="",$T369="Draft"),"Draft",IF($T369="Disputed","Disputed",IF($S369&lt;-0.005,"Overpaid",IF($S369&lt;=0.005,"Paid",IF($R369+$Q369&gt;0.005,IF($V369&gt;0,"Part-paid, overdue","Part-paid"),IF($V369&gt;0,"Overdue","Outstanding"))))))))</f>
        <v/>
      </c>
      <c r="V369" s="36" t="str">
        <f aca="true">IF($A369="","",IF(AND(OR($T369="Issued",$T369="Disputed"),$S369&gt;0.005,$K369&lt;&gt;"",$K369&lt;TODAY()),TODAY()-$K369,0))</f>
        <v/>
      </c>
      <c r="W369" s="35" t="str">
        <f aca="false">IF($A369="","",IF(AND(OR($T369="Issued",$T369="Disputed"),$S369&gt;0.005),IF($V369&lt;=0,"Not yet due",IF($V369&lt;=30,"1 to 30 days",IF($V369&lt;=60,"31 to 60 days",IF($V369&lt;=90,"61 to 90 days","Over 90 days")))),""))</f>
        <v/>
      </c>
      <c r="X369" s="26"/>
      <c r="Y369" s="29"/>
      <c r="Z369" s="28"/>
      <c r="AA369" s="28"/>
    </row>
    <row r="370" customFormat="false" ht="15" hidden="false" customHeight="false" outlineLevel="0" collapsed="false">
      <c r="A370" s="26"/>
      <c r="B370" s="26"/>
      <c r="C370" s="27" t="str">
        <f aca="false">IF($B370="","",IFERROR(INDEX(Clients!$B$6:$B$105,MATCH($B370,Clients!$A$6:$A$105,0)),"Client not found"))</f>
        <v/>
      </c>
      <c r="D370" s="26"/>
      <c r="E370" s="26"/>
      <c r="F370" s="26"/>
      <c r="G370" s="26"/>
      <c r="H370" s="28"/>
      <c r="I370" s="29"/>
      <c r="J370" s="30" t="str">
        <f aca="false">IF($A370="","",IFERROR(IF(N(INDEX(Clients!$E$6:$E$105,MATCH($B370,Clients!$A$6:$A$105,0)))&gt;0,INDEX(Clients!$E$6:$E$105,MATCH($B370,Clients!$A$6:$A$105,0)),Dashboard!$B$6),Dashboard!$B$6))</f>
        <v/>
      </c>
      <c r="K370" s="31" t="str">
        <f aca="false">IF(OR($A370="",$I370=""),"",$I370+$J370)</f>
        <v/>
      </c>
      <c r="L370" s="26"/>
      <c r="M370" s="32"/>
      <c r="N370" s="33"/>
      <c r="O370" s="34" t="str">
        <f aca="false">IF($A370="","",N($M370)*N($N370))</f>
        <v/>
      </c>
      <c r="P370" s="34" t="str">
        <f aca="false">IF($A370="","",N($M370)+$O370)</f>
        <v/>
      </c>
      <c r="Q370" s="34" t="str">
        <f aca="false">IF($A370="","",SUMIFS('Credit Notes'!$F$6:$F$205,'Credit Notes'!$B$6:$B$205,$A370,'Credit Notes'!$H$6:$H$205,"Issued"))</f>
        <v/>
      </c>
      <c r="R370" s="34" t="str">
        <f aca="false">IF($A370="","",SUMIFS(Payments!$I$6:$I$505,Payments!$C$6:$C$505,$A370))</f>
        <v/>
      </c>
      <c r="S370" s="34" t="str">
        <f aca="false">IF($A370="","",IF($T370="Void",0,$P370-$Q370-$R370))</f>
        <v/>
      </c>
      <c r="T370" s="26"/>
      <c r="U370" s="35" t="str">
        <f aca="false">IF($A370="","",IF($T370="Void","Void",IF(OR($T370="",$T370="Draft"),"Draft",IF($T370="Disputed","Disputed",IF($S370&lt;-0.005,"Overpaid",IF($S370&lt;=0.005,"Paid",IF($R370+$Q370&gt;0.005,IF($V370&gt;0,"Part-paid, overdue","Part-paid"),IF($V370&gt;0,"Overdue","Outstanding"))))))))</f>
        <v/>
      </c>
      <c r="V370" s="36" t="str">
        <f aca="true">IF($A370="","",IF(AND(OR($T370="Issued",$T370="Disputed"),$S370&gt;0.005,$K370&lt;&gt;"",$K370&lt;TODAY()),TODAY()-$K370,0))</f>
        <v/>
      </c>
      <c r="W370" s="35" t="str">
        <f aca="false">IF($A370="","",IF(AND(OR($T370="Issued",$T370="Disputed"),$S370&gt;0.005),IF($V370&lt;=0,"Not yet due",IF($V370&lt;=30,"1 to 30 days",IF($V370&lt;=60,"31 to 60 days",IF($V370&lt;=90,"61 to 90 days","Over 90 days")))),""))</f>
        <v/>
      </c>
      <c r="X370" s="26"/>
      <c r="Y370" s="29"/>
      <c r="Z370" s="28"/>
      <c r="AA370" s="28"/>
    </row>
    <row r="371" customFormat="false" ht="15" hidden="false" customHeight="false" outlineLevel="0" collapsed="false">
      <c r="A371" s="26"/>
      <c r="B371" s="26"/>
      <c r="C371" s="27" t="str">
        <f aca="false">IF($B371="","",IFERROR(INDEX(Clients!$B$6:$B$105,MATCH($B371,Clients!$A$6:$A$105,0)),"Client not found"))</f>
        <v/>
      </c>
      <c r="D371" s="26"/>
      <c r="E371" s="26"/>
      <c r="F371" s="26"/>
      <c r="G371" s="26"/>
      <c r="H371" s="28"/>
      <c r="I371" s="29"/>
      <c r="J371" s="30" t="str">
        <f aca="false">IF($A371="","",IFERROR(IF(N(INDEX(Clients!$E$6:$E$105,MATCH($B371,Clients!$A$6:$A$105,0)))&gt;0,INDEX(Clients!$E$6:$E$105,MATCH($B371,Clients!$A$6:$A$105,0)),Dashboard!$B$6),Dashboard!$B$6))</f>
        <v/>
      </c>
      <c r="K371" s="31" t="str">
        <f aca="false">IF(OR($A371="",$I371=""),"",$I371+$J371)</f>
        <v/>
      </c>
      <c r="L371" s="26"/>
      <c r="M371" s="32"/>
      <c r="N371" s="33"/>
      <c r="O371" s="34" t="str">
        <f aca="false">IF($A371="","",N($M371)*N($N371))</f>
        <v/>
      </c>
      <c r="P371" s="34" t="str">
        <f aca="false">IF($A371="","",N($M371)+$O371)</f>
        <v/>
      </c>
      <c r="Q371" s="34" t="str">
        <f aca="false">IF($A371="","",SUMIFS('Credit Notes'!$F$6:$F$205,'Credit Notes'!$B$6:$B$205,$A371,'Credit Notes'!$H$6:$H$205,"Issued"))</f>
        <v/>
      </c>
      <c r="R371" s="34" t="str">
        <f aca="false">IF($A371="","",SUMIFS(Payments!$I$6:$I$505,Payments!$C$6:$C$505,$A371))</f>
        <v/>
      </c>
      <c r="S371" s="34" t="str">
        <f aca="false">IF($A371="","",IF($T371="Void",0,$P371-$Q371-$R371))</f>
        <v/>
      </c>
      <c r="T371" s="26"/>
      <c r="U371" s="35" t="str">
        <f aca="false">IF($A371="","",IF($T371="Void","Void",IF(OR($T371="",$T371="Draft"),"Draft",IF($T371="Disputed","Disputed",IF($S371&lt;-0.005,"Overpaid",IF($S371&lt;=0.005,"Paid",IF($R371+$Q371&gt;0.005,IF($V371&gt;0,"Part-paid, overdue","Part-paid"),IF($V371&gt;0,"Overdue","Outstanding"))))))))</f>
        <v/>
      </c>
      <c r="V371" s="36" t="str">
        <f aca="true">IF($A371="","",IF(AND(OR($T371="Issued",$T371="Disputed"),$S371&gt;0.005,$K371&lt;&gt;"",$K371&lt;TODAY()),TODAY()-$K371,0))</f>
        <v/>
      </c>
      <c r="W371" s="35" t="str">
        <f aca="false">IF($A371="","",IF(AND(OR($T371="Issued",$T371="Disputed"),$S371&gt;0.005),IF($V371&lt;=0,"Not yet due",IF($V371&lt;=30,"1 to 30 days",IF($V371&lt;=60,"31 to 60 days",IF($V371&lt;=90,"61 to 90 days","Over 90 days")))),""))</f>
        <v/>
      </c>
      <c r="X371" s="26"/>
      <c r="Y371" s="29"/>
      <c r="Z371" s="28"/>
      <c r="AA371" s="28"/>
    </row>
    <row r="372" customFormat="false" ht="15" hidden="false" customHeight="false" outlineLevel="0" collapsed="false">
      <c r="A372" s="26"/>
      <c r="B372" s="26"/>
      <c r="C372" s="27" t="str">
        <f aca="false">IF($B372="","",IFERROR(INDEX(Clients!$B$6:$B$105,MATCH($B372,Clients!$A$6:$A$105,0)),"Client not found"))</f>
        <v/>
      </c>
      <c r="D372" s="26"/>
      <c r="E372" s="26"/>
      <c r="F372" s="26"/>
      <c r="G372" s="26"/>
      <c r="H372" s="28"/>
      <c r="I372" s="29"/>
      <c r="J372" s="30" t="str">
        <f aca="false">IF($A372="","",IFERROR(IF(N(INDEX(Clients!$E$6:$E$105,MATCH($B372,Clients!$A$6:$A$105,0)))&gt;0,INDEX(Clients!$E$6:$E$105,MATCH($B372,Clients!$A$6:$A$105,0)),Dashboard!$B$6),Dashboard!$B$6))</f>
        <v/>
      </c>
      <c r="K372" s="31" t="str">
        <f aca="false">IF(OR($A372="",$I372=""),"",$I372+$J372)</f>
        <v/>
      </c>
      <c r="L372" s="26"/>
      <c r="M372" s="32"/>
      <c r="N372" s="33"/>
      <c r="O372" s="34" t="str">
        <f aca="false">IF($A372="","",N($M372)*N($N372))</f>
        <v/>
      </c>
      <c r="P372" s="34" t="str">
        <f aca="false">IF($A372="","",N($M372)+$O372)</f>
        <v/>
      </c>
      <c r="Q372" s="34" t="str">
        <f aca="false">IF($A372="","",SUMIFS('Credit Notes'!$F$6:$F$205,'Credit Notes'!$B$6:$B$205,$A372,'Credit Notes'!$H$6:$H$205,"Issued"))</f>
        <v/>
      </c>
      <c r="R372" s="34" t="str">
        <f aca="false">IF($A372="","",SUMIFS(Payments!$I$6:$I$505,Payments!$C$6:$C$505,$A372))</f>
        <v/>
      </c>
      <c r="S372" s="34" t="str">
        <f aca="false">IF($A372="","",IF($T372="Void",0,$P372-$Q372-$R372))</f>
        <v/>
      </c>
      <c r="T372" s="26"/>
      <c r="U372" s="35" t="str">
        <f aca="false">IF($A372="","",IF($T372="Void","Void",IF(OR($T372="",$T372="Draft"),"Draft",IF($T372="Disputed","Disputed",IF($S372&lt;-0.005,"Overpaid",IF($S372&lt;=0.005,"Paid",IF($R372+$Q372&gt;0.005,IF($V372&gt;0,"Part-paid, overdue","Part-paid"),IF($V372&gt;0,"Overdue","Outstanding"))))))))</f>
        <v/>
      </c>
      <c r="V372" s="36" t="str">
        <f aca="true">IF($A372="","",IF(AND(OR($T372="Issued",$T372="Disputed"),$S372&gt;0.005,$K372&lt;&gt;"",$K372&lt;TODAY()),TODAY()-$K372,0))</f>
        <v/>
      </c>
      <c r="W372" s="35" t="str">
        <f aca="false">IF($A372="","",IF(AND(OR($T372="Issued",$T372="Disputed"),$S372&gt;0.005),IF($V372&lt;=0,"Not yet due",IF($V372&lt;=30,"1 to 30 days",IF($V372&lt;=60,"31 to 60 days",IF($V372&lt;=90,"61 to 90 days","Over 90 days")))),""))</f>
        <v/>
      </c>
      <c r="X372" s="26"/>
      <c r="Y372" s="29"/>
      <c r="Z372" s="28"/>
      <c r="AA372" s="28"/>
    </row>
    <row r="373" customFormat="false" ht="15" hidden="false" customHeight="false" outlineLevel="0" collapsed="false">
      <c r="A373" s="26"/>
      <c r="B373" s="26"/>
      <c r="C373" s="27" t="str">
        <f aca="false">IF($B373="","",IFERROR(INDEX(Clients!$B$6:$B$105,MATCH($B373,Clients!$A$6:$A$105,0)),"Client not found"))</f>
        <v/>
      </c>
      <c r="D373" s="26"/>
      <c r="E373" s="26"/>
      <c r="F373" s="26"/>
      <c r="G373" s="26"/>
      <c r="H373" s="28"/>
      <c r="I373" s="29"/>
      <c r="J373" s="30" t="str">
        <f aca="false">IF($A373="","",IFERROR(IF(N(INDEX(Clients!$E$6:$E$105,MATCH($B373,Clients!$A$6:$A$105,0)))&gt;0,INDEX(Clients!$E$6:$E$105,MATCH($B373,Clients!$A$6:$A$105,0)),Dashboard!$B$6),Dashboard!$B$6))</f>
        <v/>
      </c>
      <c r="K373" s="31" t="str">
        <f aca="false">IF(OR($A373="",$I373=""),"",$I373+$J373)</f>
        <v/>
      </c>
      <c r="L373" s="26"/>
      <c r="M373" s="32"/>
      <c r="N373" s="33"/>
      <c r="O373" s="34" t="str">
        <f aca="false">IF($A373="","",N($M373)*N($N373))</f>
        <v/>
      </c>
      <c r="P373" s="34" t="str">
        <f aca="false">IF($A373="","",N($M373)+$O373)</f>
        <v/>
      </c>
      <c r="Q373" s="34" t="str">
        <f aca="false">IF($A373="","",SUMIFS('Credit Notes'!$F$6:$F$205,'Credit Notes'!$B$6:$B$205,$A373,'Credit Notes'!$H$6:$H$205,"Issued"))</f>
        <v/>
      </c>
      <c r="R373" s="34" t="str">
        <f aca="false">IF($A373="","",SUMIFS(Payments!$I$6:$I$505,Payments!$C$6:$C$505,$A373))</f>
        <v/>
      </c>
      <c r="S373" s="34" t="str">
        <f aca="false">IF($A373="","",IF($T373="Void",0,$P373-$Q373-$R373))</f>
        <v/>
      </c>
      <c r="T373" s="26"/>
      <c r="U373" s="35" t="str">
        <f aca="false">IF($A373="","",IF($T373="Void","Void",IF(OR($T373="",$T373="Draft"),"Draft",IF($T373="Disputed","Disputed",IF($S373&lt;-0.005,"Overpaid",IF($S373&lt;=0.005,"Paid",IF($R373+$Q373&gt;0.005,IF($V373&gt;0,"Part-paid, overdue","Part-paid"),IF($V373&gt;0,"Overdue","Outstanding"))))))))</f>
        <v/>
      </c>
      <c r="V373" s="36" t="str">
        <f aca="true">IF($A373="","",IF(AND(OR($T373="Issued",$T373="Disputed"),$S373&gt;0.005,$K373&lt;&gt;"",$K373&lt;TODAY()),TODAY()-$K373,0))</f>
        <v/>
      </c>
      <c r="W373" s="35" t="str">
        <f aca="false">IF($A373="","",IF(AND(OR($T373="Issued",$T373="Disputed"),$S373&gt;0.005),IF($V373&lt;=0,"Not yet due",IF($V373&lt;=30,"1 to 30 days",IF($V373&lt;=60,"31 to 60 days",IF($V373&lt;=90,"61 to 90 days","Over 90 days")))),""))</f>
        <v/>
      </c>
      <c r="X373" s="26"/>
      <c r="Y373" s="29"/>
      <c r="Z373" s="28"/>
      <c r="AA373" s="28"/>
    </row>
    <row r="374" customFormat="false" ht="15" hidden="false" customHeight="false" outlineLevel="0" collapsed="false">
      <c r="A374" s="26"/>
      <c r="B374" s="26"/>
      <c r="C374" s="27" t="str">
        <f aca="false">IF($B374="","",IFERROR(INDEX(Clients!$B$6:$B$105,MATCH($B374,Clients!$A$6:$A$105,0)),"Client not found"))</f>
        <v/>
      </c>
      <c r="D374" s="26"/>
      <c r="E374" s="26"/>
      <c r="F374" s="26"/>
      <c r="G374" s="26"/>
      <c r="H374" s="28"/>
      <c r="I374" s="29"/>
      <c r="J374" s="30" t="str">
        <f aca="false">IF($A374="","",IFERROR(IF(N(INDEX(Clients!$E$6:$E$105,MATCH($B374,Clients!$A$6:$A$105,0)))&gt;0,INDEX(Clients!$E$6:$E$105,MATCH($B374,Clients!$A$6:$A$105,0)),Dashboard!$B$6),Dashboard!$B$6))</f>
        <v/>
      </c>
      <c r="K374" s="31" t="str">
        <f aca="false">IF(OR($A374="",$I374=""),"",$I374+$J374)</f>
        <v/>
      </c>
      <c r="L374" s="26"/>
      <c r="M374" s="32"/>
      <c r="N374" s="33"/>
      <c r="O374" s="34" t="str">
        <f aca="false">IF($A374="","",N($M374)*N($N374))</f>
        <v/>
      </c>
      <c r="P374" s="34" t="str">
        <f aca="false">IF($A374="","",N($M374)+$O374)</f>
        <v/>
      </c>
      <c r="Q374" s="34" t="str">
        <f aca="false">IF($A374="","",SUMIFS('Credit Notes'!$F$6:$F$205,'Credit Notes'!$B$6:$B$205,$A374,'Credit Notes'!$H$6:$H$205,"Issued"))</f>
        <v/>
      </c>
      <c r="R374" s="34" t="str">
        <f aca="false">IF($A374="","",SUMIFS(Payments!$I$6:$I$505,Payments!$C$6:$C$505,$A374))</f>
        <v/>
      </c>
      <c r="S374" s="34" t="str">
        <f aca="false">IF($A374="","",IF($T374="Void",0,$P374-$Q374-$R374))</f>
        <v/>
      </c>
      <c r="T374" s="26"/>
      <c r="U374" s="35" t="str">
        <f aca="false">IF($A374="","",IF($T374="Void","Void",IF(OR($T374="",$T374="Draft"),"Draft",IF($T374="Disputed","Disputed",IF($S374&lt;-0.005,"Overpaid",IF($S374&lt;=0.005,"Paid",IF($R374+$Q374&gt;0.005,IF($V374&gt;0,"Part-paid, overdue","Part-paid"),IF($V374&gt;0,"Overdue","Outstanding"))))))))</f>
        <v/>
      </c>
      <c r="V374" s="36" t="str">
        <f aca="true">IF($A374="","",IF(AND(OR($T374="Issued",$T374="Disputed"),$S374&gt;0.005,$K374&lt;&gt;"",$K374&lt;TODAY()),TODAY()-$K374,0))</f>
        <v/>
      </c>
      <c r="W374" s="35" t="str">
        <f aca="false">IF($A374="","",IF(AND(OR($T374="Issued",$T374="Disputed"),$S374&gt;0.005),IF($V374&lt;=0,"Not yet due",IF($V374&lt;=30,"1 to 30 days",IF($V374&lt;=60,"31 to 60 days",IF($V374&lt;=90,"61 to 90 days","Over 90 days")))),""))</f>
        <v/>
      </c>
      <c r="X374" s="26"/>
      <c r="Y374" s="29"/>
      <c r="Z374" s="28"/>
      <c r="AA374" s="28"/>
    </row>
    <row r="375" customFormat="false" ht="15" hidden="false" customHeight="false" outlineLevel="0" collapsed="false">
      <c r="A375" s="26"/>
      <c r="B375" s="26"/>
      <c r="C375" s="27" t="str">
        <f aca="false">IF($B375="","",IFERROR(INDEX(Clients!$B$6:$B$105,MATCH($B375,Clients!$A$6:$A$105,0)),"Client not found"))</f>
        <v/>
      </c>
      <c r="D375" s="26"/>
      <c r="E375" s="26"/>
      <c r="F375" s="26"/>
      <c r="G375" s="26"/>
      <c r="H375" s="28"/>
      <c r="I375" s="29"/>
      <c r="J375" s="30" t="str">
        <f aca="false">IF($A375="","",IFERROR(IF(N(INDEX(Clients!$E$6:$E$105,MATCH($B375,Clients!$A$6:$A$105,0)))&gt;0,INDEX(Clients!$E$6:$E$105,MATCH($B375,Clients!$A$6:$A$105,0)),Dashboard!$B$6),Dashboard!$B$6))</f>
        <v/>
      </c>
      <c r="K375" s="31" t="str">
        <f aca="false">IF(OR($A375="",$I375=""),"",$I375+$J375)</f>
        <v/>
      </c>
      <c r="L375" s="26"/>
      <c r="M375" s="32"/>
      <c r="N375" s="33"/>
      <c r="O375" s="34" t="str">
        <f aca="false">IF($A375="","",N($M375)*N($N375))</f>
        <v/>
      </c>
      <c r="P375" s="34" t="str">
        <f aca="false">IF($A375="","",N($M375)+$O375)</f>
        <v/>
      </c>
      <c r="Q375" s="34" t="str">
        <f aca="false">IF($A375="","",SUMIFS('Credit Notes'!$F$6:$F$205,'Credit Notes'!$B$6:$B$205,$A375,'Credit Notes'!$H$6:$H$205,"Issued"))</f>
        <v/>
      </c>
      <c r="R375" s="34" t="str">
        <f aca="false">IF($A375="","",SUMIFS(Payments!$I$6:$I$505,Payments!$C$6:$C$505,$A375))</f>
        <v/>
      </c>
      <c r="S375" s="34" t="str">
        <f aca="false">IF($A375="","",IF($T375="Void",0,$P375-$Q375-$R375))</f>
        <v/>
      </c>
      <c r="T375" s="26"/>
      <c r="U375" s="35" t="str">
        <f aca="false">IF($A375="","",IF($T375="Void","Void",IF(OR($T375="",$T375="Draft"),"Draft",IF($T375="Disputed","Disputed",IF($S375&lt;-0.005,"Overpaid",IF($S375&lt;=0.005,"Paid",IF($R375+$Q375&gt;0.005,IF($V375&gt;0,"Part-paid, overdue","Part-paid"),IF($V375&gt;0,"Overdue","Outstanding"))))))))</f>
        <v/>
      </c>
      <c r="V375" s="36" t="str">
        <f aca="true">IF($A375="","",IF(AND(OR($T375="Issued",$T375="Disputed"),$S375&gt;0.005,$K375&lt;&gt;"",$K375&lt;TODAY()),TODAY()-$K375,0))</f>
        <v/>
      </c>
      <c r="W375" s="35" t="str">
        <f aca="false">IF($A375="","",IF(AND(OR($T375="Issued",$T375="Disputed"),$S375&gt;0.005),IF($V375&lt;=0,"Not yet due",IF($V375&lt;=30,"1 to 30 days",IF($V375&lt;=60,"31 to 60 days",IF($V375&lt;=90,"61 to 90 days","Over 90 days")))),""))</f>
        <v/>
      </c>
      <c r="X375" s="26"/>
      <c r="Y375" s="29"/>
      <c r="Z375" s="28"/>
      <c r="AA375" s="28"/>
    </row>
    <row r="376" customFormat="false" ht="15" hidden="false" customHeight="false" outlineLevel="0" collapsed="false">
      <c r="A376" s="26"/>
      <c r="B376" s="26"/>
      <c r="C376" s="27" t="str">
        <f aca="false">IF($B376="","",IFERROR(INDEX(Clients!$B$6:$B$105,MATCH($B376,Clients!$A$6:$A$105,0)),"Client not found"))</f>
        <v/>
      </c>
      <c r="D376" s="26"/>
      <c r="E376" s="26"/>
      <c r="F376" s="26"/>
      <c r="G376" s="26"/>
      <c r="H376" s="28"/>
      <c r="I376" s="29"/>
      <c r="J376" s="30" t="str">
        <f aca="false">IF($A376="","",IFERROR(IF(N(INDEX(Clients!$E$6:$E$105,MATCH($B376,Clients!$A$6:$A$105,0)))&gt;0,INDEX(Clients!$E$6:$E$105,MATCH($B376,Clients!$A$6:$A$105,0)),Dashboard!$B$6),Dashboard!$B$6))</f>
        <v/>
      </c>
      <c r="K376" s="31" t="str">
        <f aca="false">IF(OR($A376="",$I376=""),"",$I376+$J376)</f>
        <v/>
      </c>
      <c r="L376" s="26"/>
      <c r="M376" s="32"/>
      <c r="N376" s="33"/>
      <c r="O376" s="34" t="str">
        <f aca="false">IF($A376="","",N($M376)*N($N376))</f>
        <v/>
      </c>
      <c r="P376" s="34" t="str">
        <f aca="false">IF($A376="","",N($M376)+$O376)</f>
        <v/>
      </c>
      <c r="Q376" s="34" t="str">
        <f aca="false">IF($A376="","",SUMIFS('Credit Notes'!$F$6:$F$205,'Credit Notes'!$B$6:$B$205,$A376,'Credit Notes'!$H$6:$H$205,"Issued"))</f>
        <v/>
      </c>
      <c r="R376" s="34" t="str">
        <f aca="false">IF($A376="","",SUMIFS(Payments!$I$6:$I$505,Payments!$C$6:$C$505,$A376))</f>
        <v/>
      </c>
      <c r="S376" s="34" t="str">
        <f aca="false">IF($A376="","",IF($T376="Void",0,$P376-$Q376-$R376))</f>
        <v/>
      </c>
      <c r="T376" s="26"/>
      <c r="U376" s="35" t="str">
        <f aca="false">IF($A376="","",IF($T376="Void","Void",IF(OR($T376="",$T376="Draft"),"Draft",IF($T376="Disputed","Disputed",IF($S376&lt;-0.005,"Overpaid",IF($S376&lt;=0.005,"Paid",IF($R376+$Q376&gt;0.005,IF($V376&gt;0,"Part-paid, overdue","Part-paid"),IF($V376&gt;0,"Overdue","Outstanding"))))))))</f>
        <v/>
      </c>
      <c r="V376" s="36" t="str">
        <f aca="true">IF($A376="","",IF(AND(OR($T376="Issued",$T376="Disputed"),$S376&gt;0.005,$K376&lt;&gt;"",$K376&lt;TODAY()),TODAY()-$K376,0))</f>
        <v/>
      </c>
      <c r="W376" s="35" t="str">
        <f aca="false">IF($A376="","",IF(AND(OR($T376="Issued",$T376="Disputed"),$S376&gt;0.005),IF($V376&lt;=0,"Not yet due",IF($V376&lt;=30,"1 to 30 days",IF($V376&lt;=60,"31 to 60 days",IF($V376&lt;=90,"61 to 90 days","Over 90 days")))),""))</f>
        <v/>
      </c>
      <c r="X376" s="26"/>
      <c r="Y376" s="29"/>
      <c r="Z376" s="28"/>
      <c r="AA376" s="28"/>
    </row>
    <row r="377" customFormat="false" ht="15" hidden="false" customHeight="false" outlineLevel="0" collapsed="false">
      <c r="A377" s="26"/>
      <c r="B377" s="26"/>
      <c r="C377" s="27" t="str">
        <f aca="false">IF($B377="","",IFERROR(INDEX(Clients!$B$6:$B$105,MATCH($B377,Clients!$A$6:$A$105,0)),"Client not found"))</f>
        <v/>
      </c>
      <c r="D377" s="26"/>
      <c r="E377" s="26"/>
      <c r="F377" s="26"/>
      <c r="G377" s="26"/>
      <c r="H377" s="28"/>
      <c r="I377" s="29"/>
      <c r="J377" s="30" t="str">
        <f aca="false">IF($A377="","",IFERROR(IF(N(INDEX(Clients!$E$6:$E$105,MATCH($B377,Clients!$A$6:$A$105,0)))&gt;0,INDEX(Clients!$E$6:$E$105,MATCH($B377,Clients!$A$6:$A$105,0)),Dashboard!$B$6),Dashboard!$B$6))</f>
        <v/>
      </c>
      <c r="K377" s="31" t="str">
        <f aca="false">IF(OR($A377="",$I377=""),"",$I377+$J377)</f>
        <v/>
      </c>
      <c r="L377" s="26"/>
      <c r="M377" s="32"/>
      <c r="N377" s="33"/>
      <c r="O377" s="34" t="str">
        <f aca="false">IF($A377="","",N($M377)*N($N377))</f>
        <v/>
      </c>
      <c r="P377" s="34" t="str">
        <f aca="false">IF($A377="","",N($M377)+$O377)</f>
        <v/>
      </c>
      <c r="Q377" s="34" t="str">
        <f aca="false">IF($A377="","",SUMIFS('Credit Notes'!$F$6:$F$205,'Credit Notes'!$B$6:$B$205,$A377,'Credit Notes'!$H$6:$H$205,"Issued"))</f>
        <v/>
      </c>
      <c r="R377" s="34" t="str">
        <f aca="false">IF($A377="","",SUMIFS(Payments!$I$6:$I$505,Payments!$C$6:$C$505,$A377))</f>
        <v/>
      </c>
      <c r="S377" s="34" t="str">
        <f aca="false">IF($A377="","",IF($T377="Void",0,$P377-$Q377-$R377))</f>
        <v/>
      </c>
      <c r="T377" s="26"/>
      <c r="U377" s="35" t="str">
        <f aca="false">IF($A377="","",IF($T377="Void","Void",IF(OR($T377="",$T377="Draft"),"Draft",IF($T377="Disputed","Disputed",IF($S377&lt;-0.005,"Overpaid",IF($S377&lt;=0.005,"Paid",IF($R377+$Q377&gt;0.005,IF($V377&gt;0,"Part-paid, overdue","Part-paid"),IF($V377&gt;0,"Overdue","Outstanding"))))))))</f>
        <v/>
      </c>
      <c r="V377" s="36" t="str">
        <f aca="true">IF($A377="","",IF(AND(OR($T377="Issued",$T377="Disputed"),$S377&gt;0.005,$K377&lt;&gt;"",$K377&lt;TODAY()),TODAY()-$K377,0))</f>
        <v/>
      </c>
      <c r="W377" s="35" t="str">
        <f aca="false">IF($A377="","",IF(AND(OR($T377="Issued",$T377="Disputed"),$S377&gt;0.005),IF($V377&lt;=0,"Not yet due",IF($V377&lt;=30,"1 to 30 days",IF($V377&lt;=60,"31 to 60 days",IF($V377&lt;=90,"61 to 90 days","Over 90 days")))),""))</f>
        <v/>
      </c>
      <c r="X377" s="26"/>
      <c r="Y377" s="29"/>
      <c r="Z377" s="28"/>
      <c r="AA377" s="28"/>
    </row>
    <row r="378" customFormat="false" ht="15" hidden="false" customHeight="false" outlineLevel="0" collapsed="false">
      <c r="A378" s="26"/>
      <c r="B378" s="26"/>
      <c r="C378" s="27" t="str">
        <f aca="false">IF($B378="","",IFERROR(INDEX(Clients!$B$6:$B$105,MATCH($B378,Clients!$A$6:$A$105,0)),"Client not found"))</f>
        <v/>
      </c>
      <c r="D378" s="26"/>
      <c r="E378" s="26"/>
      <c r="F378" s="26"/>
      <c r="G378" s="26"/>
      <c r="H378" s="28"/>
      <c r="I378" s="29"/>
      <c r="J378" s="30" t="str">
        <f aca="false">IF($A378="","",IFERROR(IF(N(INDEX(Clients!$E$6:$E$105,MATCH($B378,Clients!$A$6:$A$105,0)))&gt;0,INDEX(Clients!$E$6:$E$105,MATCH($B378,Clients!$A$6:$A$105,0)),Dashboard!$B$6),Dashboard!$B$6))</f>
        <v/>
      </c>
      <c r="K378" s="31" t="str">
        <f aca="false">IF(OR($A378="",$I378=""),"",$I378+$J378)</f>
        <v/>
      </c>
      <c r="L378" s="26"/>
      <c r="M378" s="32"/>
      <c r="N378" s="33"/>
      <c r="O378" s="34" t="str">
        <f aca="false">IF($A378="","",N($M378)*N($N378))</f>
        <v/>
      </c>
      <c r="P378" s="34" t="str">
        <f aca="false">IF($A378="","",N($M378)+$O378)</f>
        <v/>
      </c>
      <c r="Q378" s="34" t="str">
        <f aca="false">IF($A378="","",SUMIFS('Credit Notes'!$F$6:$F$205,'Credit Notes'!$B$6:$B$205,$A378,'Credit Notes'!$H$6:$H$205,"Issued"))</f>
        <v/>
      </c>
      <c r="R378" s="34" t="str">
        <f aca="false">IF($A378="","",SUMIFS(Payments!$I$6:$I$505,Payments!$C$6:$C$505,$A378))</f>
        <v/>
      </c>
      <c r="S378" s="34" t="str">
        <f aca="false">IF($A378="","",IF($T378="Void",0,$P378-$Q378-$R378))</f>
        <v/>
      </c>
      <c r="T378" s="26"/>
      <c r="U378" s="35" t="str">
        <f aca="false">IF($A378="","",IF($T378="Void","Void",IF(OR($T378="",$T378="Draft"),"Draft",IF($T378="Disputed","Disputed",IF($S378&lt;-0.005,"Overpaid",IF($S378&lt;=0.005,"Paid",IF($R378+$Q378&gt;0.005,IF($V378&gt;0,"Part-paid, overdue","Part-paid"),IF($V378&gt;0,"Overdue","Outstanding"))))))))</f>
        <v/>
      </c>
      <c r="V378" s="36" t="str">
        <f aca="true">IF($A378="","",IF(AND(OR($T378="Issued",$T378="Disputed"),$S378&gt;0.005,$K378&lt;&gt;"",$K378&lt;TODAY()),TODAY()-$K378,0))</f>
        <v/>
      </c>
      <c r="W378" s="35" t="str">
        <f aca="false">IF($A378="","",IF(AND(OR($T378="Issued",$T378="Disputed"),$S378&gt;0.005),IF($V378&lt;=0,"Not yet due",IF($V378&lt;=30,"1 to 30 days",IF($V378&lt;=60,"31 to 60 days",IF($V378&lt;=90,"61 to 90 days","Over 90 days")))),""))</f>
        <v/>
      </c>
      <c r="X378" s="26"/>
      <c r="Y378" s="29"/>
      <c r="Z378" s="28"/>
      <c r="AA378" s="28"/>
    </row>
    <row r="379" customFormat="false" ht="15" hidden="false" customHeight="false" outlineLevel="0" collapsed="false">
      <c r="A379" s="26"/>
      <c r="B379" s="26"/>
      <c r="C379" s="27" t="str">
        <f aca="false">IF($B379="","",IFERROR(INDEX(Clients!$B$6:$B$105,MATCH($B379,Clients!$A$6:$A$105,0)),"Client not found"))</f>
        <v/>
      </c>
      <c r="D379" s="26"/>
      <c r="E379" s="26"/>
      <c r="F379" s="26"/>
      <c r="G379" s="26"/>
      <c r="H379" s="28"/>
      <c r="I379" s="29"/>
      <c r="J379" s="30" t="str">
        <f aca="false">IF($A379="","",IFERROR(IF(N(INDEX(Clients!$E$6:$E$105,MATCH($B379,Clients!$A$6:$A$105,0)))&gt;0,INDEX(Clients!$E$6:$E$105,MATCH($B379,Clients!$A$6:$A$105,0)),Dashboard!$B$6),Dashboard!$B$6))</f>
        <v/>
      </c>
      <c r="K379" s="31" t="str">
        <f aca="false">IF(OR($A379="",$I379=""),"",$I379+$J379)</f>
        <v/>
      </c>
      <c r="L379" s="26"/>
      <c r="M379" s="32"/>
      <c r="N379" s="33"/>
      <c r="O379" s="34" t="str">
        <f aca="false">IF($A379="","",N($M379)*N($N379))</f>
        <v/>
      </c>
      <c r="P379" s="34" t="str">
        <f aca="false">IF($A379="","",N($M379)+$O379)</f>
        <v/>
      </c>
      <c r="Q379" s="34" t="str">
        <f aca="false">IF($A379="","",SUMIFS('Credit Notes'!$F$6:$F$205,'Credit Notes'!$B$6:$B$205,$A379,'Credit Notes'!$H$6:$H$205,"Issued"))</f>
        <v/>
      </c>
      <c r="R379" s="34" t="str">
        <f aca="false">IF($A379="","",SUMIFS(Payments!$I$6:$I$505,Payments!$C$6:$C$505,$A379))</f>
        <v/>
      </c>
      <c r="S379" s="34" t="str">
        <f aca="false">IF($A379="","",IF($T379="Void",0,$P379-$Q379-$R379))</f>
        <v/>
      </c>
      <c r="T379" s="26"/>
      <c r="U379" s="35" t="str">
        <f aca="false">IF($A379="","",IF($T379="Void","Void",IF(OR($T379="",$T379="Draft"),"Draft",IF($T379="Disputed","Disputed",IF($S379&lt;-0.005,"Overpaid",IF($S379&lt;=0.005,"Paid",IF($R379+$Q379&gt;0.005,IF($V379&gt;0,"Part-paid, overdue","Part-paid"),IF($V379&gt;0,"Overdue","Outstanding"))))))))</f>
        <v/>
      </c>
      <c r="V379" s="36" t="str">
        <f aca="true">IF($A379="","",IF(AND(OR($T379="Issued",$T379="Disputed"),$S379&gt;0.005,$K379&lt;&gt;"",$K379&lt;TODAY()),TODAY()-$K379,0))</f>
        <v/>
      </c>
      <c r="W379" s="35" t="str">
        <f aca="false">IF($A379="","",IF(AND(OR($T379="Issued",$T379="Disputed"),$S379&gt;0.005),IF($V379&lt;=0,"Not yet due",IF($V379&lt;=30,"1 to 30 days",IF($V379&lt;=60,"31 to 60 days",IF($V379&lt;=90,"61 to 90 days","Over 90 days")))),""))</f>
        <v/>
      </c>
      <c r="X379" s="26"/>
      <c r="Y379" s="29"/>
      <c r="Z379" s="28"/>
      <c r="AA379" s="28"/>
    </row>
    <row r="380" customFormat="false" ht="15" hidden="false" customHeight="false" outlineLevel="0" collapsed="false">
      <c r="A380" s="26"/>
      <c r="B380" s="26"/>
      <c r="C380" s="27" t="str">
        <f aca="false">IF($B380="","",IFERROR(INDEX(Clients!$B$6:$B$105,MATCH($B380,Clients!$A$6:$A$105,0)),"Client not found"))</f>
        <v/>
      </c>
      <c r="D380" s="26"/>
      <c r="E380" s="26"/>
      <c r="F380" s="26"/>
      <c r="G380" s="26"/>
      <c r="H380" s="28"/>
      <c r="I380" s="29"/>
      <c r="J380" s="30" t="str">
        <f aca="false">IF($A380="","",IFERROR(IF(N(INDEX(Clients!$E$6:$E$105,MATCH($B380,Clients!$A$6:$A$105,0)))&gt;0,INDEX(Clients!$E$6:$E$105,MATCH($B380,Clients!$A$6:$A$105,0)),Dashboard!$B$6),Dashboard!$B$6))</f>
        <v/>
      </c>
      <c r="K380" s="31" t="str">
        <f aca="false">IF(OR($A380="",$I380=""),"",$I380+$J380)</f>
        <v/>
      </c>
      <c r="L380" s="26"/>
      <c r="M380" s="32"/>
      <c r="N380" s="33"/>
      <c r="O380" s="34" t="str">
        <f aca="false">IF($A380="","",N($M380)*N($N380))</f>
        <v/>
      </c>
      <c r="P380" s="34" t="str">
        <f aca="false">IF($A380="","",N($M380)+$O380)</f>
        <v/>
      </c>
      <c r="Q380" s="34" t="str">
        <f aca="false">IF($A380="","",SUMIFS('Credit Notes'!$F$6:$F$205,'Credit Notes'!$B$6:$B$205,$A380,'Credit Notes'!$H$6:$H$205,"Issued"))</f>
        <v/>
      </c>
      <c r="R380" s="34" t="str">
        <f aca="false">IF($A380="","",SUMIFS(Payments!$I$6:$I$505,Payments!$C$6:$C$505,$A380))</f>
        <v/>
      </c>
      <c r="S380" s="34" t="str">
        <f aca="false">IF($A380="","",IF($T380="Void",0,$P380-$Q380-$R380))</f>
        <v/>
      </c>
      <c r="T380" s="26"/>
      <c r="U380" s="35" t="str">
        <f aca="false">IF($A380="","",IF($T380="Void","Void",IF(OR($T380="",$T380="Draft"),"Draft",IF($T380="Disputed","Disputed",IF($S380&lt;-0.005,"Overpaid",IF($S380&lt;=0.005,"Paid",IF($R380+$Q380&gt;0.005,IF($V380&gt;0,"Part-paid, overdue","Part-paid"),IF($V380&gt;0,"Overdue","Outstanding"))))))))</f>
        <v/>
      </c>
      <c r="V380" s="36" t="str">
        <f aca="true">IF($A380="","",IF(AND(OR($T380="Issued",$T380="Disputed"),$S380&gt;0.005,$K380&lt;&gt;"",$K380&lt;TODAY()),TODAY()-$K380,0))</f>
        <v/>
      </c>
      <c r="W380" s="35" t="str">
        <f aca="false">IF($A380="","",IF(AND(OR($T380="Issued",$T380="Disputed"),$S380&gt;0.005),IF($V380&lt;=0,"Not yet due",IF($V380&lt;=30,"1 to 30 days",IF($V380&lt;=60,"31 to 60 days",IF($V380&lt;=90,"61 to 90 days","Over 90 days")))),""))</f>
        <v/>
      </c>
      <c r="X380" s="26"/>
      <c r="Y380" s="29"/>
      <c r="Z380" s="28"/>
      <c r="AA380" s="28"/>
    </row>
    <row r="381" customFormat="false" ht="15" hidden="false" customHeight="false" outlineLevel="0" collapsed="false">
      <c r="A381" s="26"/>
      <c r="B381" s="26"/>
      <c r="C381" s="27" t="str">
        <f aca="false">IF($B381="","",IFERROR(INDEX(Clients!$B$6:$B$105,MATCH($B381,Clients!$A$6:$A$105,0)),"Client not found"))</f>
        <v/>
      </c>
      <c r="D381" s="26"/>
      <c r="E381" s="26"/>
      <c r="F381" s="26"/>
      <c r="G381" s="26"/>
      <c r="H381" s="28"/>
      <c r="I381" s="29"/>
      <c r="J381" s="30" t="str">
        <f aca="false">IF($A381="","",IFERROR(IF(N(INDEX(Clients!$E$6:$E$105,MATCH($B381,Clients!$A$6:$A$105,0)))&gt;0,INDEX(Clients!$E$6:$E$105,MATCH($B381,Clients!$A$6:$A$105,0)),Dashboard!$B$6),Dashboard!$B$6))</f>
        <v/>
      </c>
      <c r="K381" s="31" t="str">
        <f aca="false">IF(OR($A381="",$I381=""),"",$I381+$J381)</f>
        <v/>
      </c>
      <c r="L381" s="26"/>
      <c r="M381" s="32"/>
      <c r="N381" s="33"/>
      <c r="O381" s="34" t="str">
        <f aca="false">IF($A381="","",N($M381)*N($N381))</f>
        <v/>
      </c>
      <c r="P381" s="34" t="str">
        <f aca="false">IF($A381="","",N($M381)+$O381)</f>
        <v/>
      </c>
      <c r="Q381" s="34" t="str">
        <f aca="false">IF($A381="","",SUMIFS('Credit Notes'!$F$6:$F$205,'Credit Notes'!$B$6:$B$205,$A381,'Credit Notes'!$H$6:$H$205,"Issued"))</f>
        <v/>
      </c>
      <c r="R381" s="34" t="str">
        <f aca="false">IF($A381="","",SUMIFS(Payments!$I$6:$I$505,Payments!$C$6:$C$505,$A381))</f>
        <v/>
      </c>
      <c r="S381" s="34" t="str">
        <f aca="false">IF($A381="","",IF($T381="Void",0,$P381-$Q381-$R381))</f>
        <v/>
      </c>
      <c r="T381" s="26"/>
      <c r="U381" s="35" t="str">
        <f aca="false">IF($A381="","",IF($T381="Void","Void",IF(OR($T381="",$T381="Draft"),"Draft",IF($T381="Disputed","Disputed",IF($S381&lt;-0.005,"Overpaid",IF($S381&lt;=0.005,"Paid",IF($R381+$Q381&gt;0.005,IF($V381&gt;0,"Part-paid, overdue","Part-paid"),IF($V381&gt;0,"Overdue","Outstanding"))))))))</f>
        <v/>
      </c>
      <c r="V381" s="36" t="str">
        <f aca="true">IF($A381="","",IF(AND(OR($T381="Issued",$T381="Disputed"),$S381&gt;0.005,$K381&lt;&gt;"",$K381&lt;TODAY()),TODAY()-$K381,0))</f>
        <v/>
      </c>
      <c r="W381" s="35" t="str">
        <f aca="false">IF($A381="","",IF(AND(OR($T381="Issued",$T381="Disputed"),$S381&gt;0.005),IF($V381&lt;=0,"Not yet due",IF($V381&lt;=30,"1 to 30 days",IF($V381&lt;=60,"31 to 60 days",IF($V381&lt;=90,"61 to 90 days","Over 90 days")))),""))</f>
        <v/>
      </c>
      <c r="X381" s="26"/>
      <c r="Y381" s="29"/>
      <c r="Z381" s="28"/>
      <c r="AA381" s="28"/>
    </row>
    <row r="382" customFormat="false" ht="15" hidden="false" customHeight="false" outlineLevel="0" collapsed="false">
      <c r="A382" s="26"/>
      <c r="B382" s="26"/>
      <c r="C382" s="27" t="str">
        <f aca="false">IF($B382="","",IFERROR(INDEX(Clients!$B$6:$B$105,MATCH($B382,Clients!$A$6:$A$105,0)),"Client not found"))</f>
        <v/>
      </c>
      <c r="D382" s="26"/>
      <c r="E382" s="26"/>
      <c r="F382" s="26"/>
      <c r="G382" s="26"/>
      <c r="H382" s="28"/>
      <c r="I382" s="29"/>
      <c r="J382" s="30" t="str">
        <f aca="false">IF($A382="","",IFERROR(IF(N(INDEX(Clients!$E$6:$E$105,MATCH($B382,Clients!$A$6:$A$105,0)))&gt;0,INDEX(Clients!$E$6:$E$105,MATCH($B382,Clients!$A$6:$A$105,0)),Dashboard!$B$6),Dashboard!$B$6))</f>
        <v/>
      </c>
      <c r="K382" s="31" t="str">
        <f aca="false">IF(OR($A382="",$I382=""),"",$I382+$J382)</f>
        <v/>
      </c>
      <c r="L382" s="26"/>
      <c r="M382" s="32"/>
      <c r="N382" s="33"/>
      <c r="O382" s="34" t="str">
        <f aca="false">IF($A382="","",N($M382)*N($N382))</f>
        <v/>
      </c>
      <c r="P382" s="34" t="str">
        <f aca="false">IF($A382="","",N($M382)+$O382)</f>
        <v/>
      </c>
      <c r="Q382" s="34" t="str">
        <f aca="false">IF($A382="","",SUMIFS('Credit Notes'!$F$6:$F$205,'Credit Notes'!$B$6:$B$205,$A382,'Credit Notes'!$H$6:$H$205,"Issued"))</f>
        <v/>
      </c>
      <c r="R382" s="34" t="str">
        <f aca="false">IF($A382="","",SUMIFS(Payments!$I$6:$I$505,Payments!$C$6:$C$505,$A382))</f>
        <v/>
      </c>
      <c r="S382" s="34" t="str">
        <f aca="false">IF($A382="","",IF($T382="Void",0,$P382-$Q382-$R382))</f>
        <v/>
      </c>
      <c r="T382" s="26"/>
      <c r="U382" s="35" t="str">
        <f aca="false">IF($A382="","",IF($T382="Void","Void",IF(OR($T382="",$T382="Draft"),"Draft",IF($T382="Disputed","Disputed",IF($S382&lt;-0.005,"Overpaid",IF($S382&lt;=0.005,"Paid",IF($R382+$Q382&gt;0.005,IF($V382&gt;0,"Part-paid, overdue","Part-paid"),IF($V382&gt;0,"Overdue","Outstanding"))))))))</f>
        <v/>
      </c>
      <c r="V382" s="36" t="str">
        <f aca="true">IF($A382="","",IF(AND(OR($T382="Issued",$T382="Disputed"),$S382&gt;0.005,$K382&lt;&gt;"",$K382&lt;TODAY()),TODAY()-$K382,0))</f>
        <v/>
      </c>
      <c r="W382" s="35" t="str">
        <f aca="false">IF($A382="","",IF(AND(OR($T382="Issued",$T382="Disputed"),$S382&gt;0.005),IF($V382&lt;=0,"Not yet due",IF($V382&lt;=30,"1 to 30 days",IF($V382&lt;=60,"31 to 60 days",IF($V382&lt;=90,"61 to 90 days","Over 90 days")))),""))</f>
        <v/>
      </c>
      <c r="X382" s="26"/>
      <c r="Y382" s="29"/>
      <c r="Z382" s="28"/>
      <c r="AA382" s="28"/>
    </row>
    <row r="383" customFormat="false" ht="15" hidden="false" customHeight="false" outlineLevel="0" collapsed="false">
      <c r="A383" s="26"/>
      <c r="B383" s="26"/>
      <c r="C383" s="27" t="str">
        <f aca="false">IF($B383="","",IFERROR(INDEX(Clients!$B$6:$B$105,MATCH($B383,Clients!$A$6:$A$105,0)),"Client not found"))</f>
        <v/>
      </c>
      <c r="D383" s="26"/>
      <c r="E383" s="26"/>
      <c r="F383" s="26"/>
      <c r="G383" s="26"/>
      <c r="H383" s="28"/>
      <c r="I383" s="29"/>
      <c r="J383" s="30" t="str">
        <f aca="false">IF($A383="","",IFERROR(IF(N(INDEX(Clients!$E$6:$E$105,MATCH($B383,Clients!$A$6:$A$105,0)))&gt;0,INDEX(Clients!$E$6:$E$105,MATCH($B383,Clients!$A$6:$A$105,0)),Dashboard!$B$6),Dashboard!$B$6))</f>
        <v/>
      </c>
      <c r="K383" s="31" t="str">
        <f aca="false">IF(OR($A383="",$I383=""),"",$I383+$J383)</f>
        <v/>
      </c>
      <c r="L383" s="26"/>
      <c r="M383" s="32"/>
      <c r="N383" s="33"/>
      <c r="O383" s="34" t="str">
        <f aca="false">IF($A383="","",N($M383)*N($N383))</f>
        <v/>
      </c>
      <c r="P383" s="34" t="str">
        <f aca="false">IF($A383="","",N($M383)+$O383)</f>
        <v/>
      </c>
      <c r="Q383" s="34" t="str">
        <f aca="false">IF($A383="","",SUMIFS('Credit Notes'!$F$6:$F$205,'Credit Notes'!$B$6:$B$205,$A383,'Credit Notes'!$H$6:$H$205,"Issued"))</f>
        <v/>
      </c>
      <c r="R383" s="34" t="str">
        <f aca="false">IF($A383="","",SUMIFS(Payments!$I$6:$I$505,Payments!$C$6:$C$505,$A383))</f>
        <v/>
      </c>
      <c r="S383" s="34" t="str">
        <f aca="false">IF($A383="","",IF($T383="Void",0,$P383-$Q383-$R383))</f>
        <v/>
      </c>
      <c r="T383" s="26"/>
      <c r="U383" s="35" t="str">
        <f aca="false">IF($A383="","",IF($T383="Void","Void",IF(OR($T383="",$T383="Draft"),"Draft",IF($T383="Disputed","Disputed",IF($S383&lt;-0.005,"Overpaid",IF($S383&lt;=0.005,"Paid",IF($R383+$Q383&gt;0.005,IF($V383&gt;0,"Part-paid, overdue","Part-paid"),IF($V383&gt;0,"Overdue","Outstanding"))))))))</f>
        <v/>
      </c>
      <c r="V383" s="36" t="str">
        <f aca="true">IF($A383="","",IF(AND(OR($T383="Issued",$T383="Disputed"),$S383&gt;0.005,$K383&lt;&gt;"",$K383&lt;TODAY()),TODAY()-$K383,0))</f>
        <v/>
      </c>
      <c r="W383" s="35" t="str">
        <f aca="false">IF($A383="","",IF(AND(OR($T383="Issued",$T383="Disputed"),$S383&gt;0.005),IF($V383&lt;=0,"Not yet due",IF($V383&lt;=30,"1 to 30 days",IF($V383&lt;=60,"31 to 60 days",IF($V383&lt;=90,"61 to 90 days","Over 90 days")))),""))</f>
        <v/>
      </c>
      <c r="X383" s="26"/>
      <c r="Y383" s="29"/>
      <c r="Z383" s="28"/>
      <c r="AA383" s="28"/>
    </row>
    <row r="384" customFormat="false" ht="15" hidden="false" customHeight="false" outlineLevel="0" collapsed="false">
      <c r="A384" s="26"/>
      <c r="B384" s="26"/>
      <c r="C384" s="27" t="str">
        <f aca="false">IF($B384="","",IFERROR(INDEX(Clients!$B$6:$B$105,MATCH($B384,Clients!$A$6:$A$105,0)),"Client not found"))</f>
        <v/>
      </c>
      <c r="D384" s="26"/>
      <c r="E384" s="26"/>
      <c r="F384" s="26"/>
      <c r="G384" s="26"/>
      <c r="H384" s="28"/>
      <c r="I384" s="29"/>
      <c r="J384" s="30" t="str">
        <f aca="false">IF($A384="","",IFERROR(IF(N(INDEX(Clients!$E$6:$E$105,MATCH($B384,Clients!$A$6:$A$105,0)))&gt;0,INDEX(Clients!$E$6:$E$105,MATCH($B384,Clients!$A$6:$A$105,0)),Dashboard!$B$6),Dashboard!$B$6))</f>
        <v/>
      </c>
      <c r="K384" s="31" t="str">
        <f aca="false">IF(OR($A384="",$I384=""),"",$I384+$J384)</f>
        <v/>
      </c>
      <c r="L384" s="26"/>
      <c r="M384" s="32"/>
      <c r="N384" s="33"/>
      <c r="O384" s="34" t="str">
        <f aca="false">IF($A384="","",N($M384)*N($N384))</f>
        <v/>
      </c>
      <c r="P384" s="34" t="str">
        <f aca="false">IF($A384="","",N($M384)+$O384)</f>
        <v/>
      </c>
      <c r="Q384" s="34" t="str">
        <f aca="false">IF($A384="","",SUMIFS('Credit Notes'!$F$6:$F$205,'Credit Notes'!$B$6:$B$205,$A384,'Credit Notes'!$H$6:$H$205,"Issued"))</f>
        <v/>
      </c>
      <c r="R384" s="34" t="str">
        <f aca="false">IF($A384="","",SUMIFS(Payments!$I$6:$I$505,Payments!$C$6:$C$505,$A384))</f>
        <v/>
      </c>
      <c r="S384" s="34" t="str">
        <f aca="false">IF($A384="","",IF($T384="Void",0,$P384-$Q384-$R384))</f>
        <v/>
      </c>
      <c r="T384" s="26"/>
      <c r="U384" s="35" t="str">
        <f aca="false">IF($A384="","",IF($T384="Void","Void",IF(OR($T384="",$T384="Draft"),"Draft",IF($T384="Disputed","Disputed",IF($S384&lt;-0.005,"Overpaid",IF($S384&lt;=0.005,"Paid",IF($R384+$Q384&gt;0.005,IF($V384&gt;0,"Part-paid, overdue","Part-paid"),IF($V384&gt;0,"Overdue","Outstanding"))))))))</f>
        <v/>
      </c>
      <c r="V384" s="36" t="str">
        <f aca="true">IF($A384="","",IF(AND(OR($T384="Issued",$T384="Disputed"),$S384&gt;0.005,$K384&lt;&gt;"",$K384&lt;TODAY()),TODAY()-$K384,0))</f>
        <v/>
      </c>
      <c r="W384" s="35" t="str">
        <f aca="false">IF($A384="","",IF(AND(OR($T384="Issued",$T384="Disputed"),$S384&gt;0.005),IF($V384&lt;=0,"Not yet due",IF($V384&lt;=30,"1 to 30 days",IF($V384&lt;=60,"31 to 60 days",IF($V384&lt;=90,"61 to 90 days","Over 90 days")))),""))</f>
        <v/>
      </c>
      <c r="X384" s="26"/>
      <c r="Y384" s="29"/>
      <c r="Z384" s="28"/>
      <c r="AA384" s="28"/>
    </row>
    <row r="385" customFormat="false" ht="15" hidden="false" customHeight="false" outlineLevel="0" collapsed="false">
      <c r="A385" s="26"/>
      <c r="B385" s="26"/>
      <c r="C385" s="27" t="str">
        <f aca="false">IF($B385="","",IFERROR(INDEX(Clients!$B$6:$B$105,MATCH($B385,Clients!$A$6:$A$105,0)),"Client not found"))</f>
        <v/>
      </c>
      <c r="D385" s="26"/>
      <c r="E385" s="26"/>
      <c r="F385" s="26"/>
      <c r="G385" s="26"/>
      <c r="H385" s="28"/>
      <c r="I385" s="29"/>
      <c r="J385" s="30" t="str">
        <f aca="false">IF($A385="","",IFERROR(IF(N(INDEX(Clients!$E$6:$E$105,MATCH($B385,Clients!$A$6:$A$105,0)))&gt;0,INDEX(Clients!$E$6:$E$105,MATCH($B385,Clients!$A$6:$A$105,0)),Dashboard!$B$6),Dashboard!$B$6))</f>
        <v/>
      </c>
      <c r="K385" s="31" t="str">
        <f aca="false">IF(OR($A385="",$I385=""),"",$I385+$J385)</f>
        <v/>
      </c>
      <c r="L385" s="26"/>
      <c r="M385" s="32"/>
      <c r="N385" s="33"/>
      <c r="O385" s="34" t="str">
        <f aca="false">IF($A385="","",N($M385)*N($N385))</f>
        <v/>
      </c>
      <c r="P385" s="34" t="str">
        <f aca="false">IF($A385="","",N($M385)+$O385)</f>
        <v/>
      </c>
      <c r="Q385" s="34" t="str">
        <f aca="false">IF($A385="","",SUMIFS('Credit Notes'!$F$6:$F$205,'Credit Notes'!$B$6:$B$205,$A385,'Credit Notes'!$H$6:$H$205,"Issued"))</f>
        <v/>
      </c>
      <c r="R385" s="34" t="str">
        <f aca="false">IF($A385="","",SUMIFS(Payments!$I$6:$I$505,Payments!$C$6:$C$505,$A385))</f>
        <v/>
      </c>
      <c r="S385" s="34" t="str">
        <f aca="false">IF($A385="","",IF($T385="Void",0,$P385-$Q385-$R385))</f>
        <v/>
      </c>
      <c r="T385" s="26"/>
      <c r="U385" s="35" t="str">
        <f aca="false">IF($A385="","",IF($T385="Void","Void",IF(OR($T385="",$T385="Draft"),"Draft",IF($T385="Disputed","Disputed",IF($S385&lt;-0.005,"Overpaid",IF($S385&lt;=0.005,"Paid",IF($R385+$Q385&gt;0.005,IF($V385&gt;0,"Part-paid, overdue","Part-paid"),IF($V385&gt;0,"Overdue","Outstanding"))))))))</f>
        <v/>
      </c>
      <c r="V385" s="36" t="str">
        <f aca="true">IF($A385="","",IF(AND(OR($T385="Issued",$T385="Disputed"),$S385&gt;0.005,$K385&lt;&gt;"",$K385&lt;TODAY()),TODAY()-$K385,0))</f>
        <v/>
      </c>
      <c r="W385" s="35" t="str">
        <f aca="false">IF($A385="","",IF(AND(OR($T385="Issued",$T385="Disputed"),$S385&gt;0.005),IF($V385&lt;=0,"Not yet due",IF($V385&lt;=30,"1 to 30 days",IF($V385&lt;=60,"31 to 60 days",IF($V385&lt;=90,"61 to 90 days","Over 90 days")))),""))</f>
        <v/>
      </c>
      <c r="X385" s="26"/>
      <c r="Y385" s="29"/>
      <c r="Z385" s="28"/>
      <c r="AA385" s="28"/>
    </row>
    <row r="386" customFormat="false" ht="15" hidden="false" customHeight="false" outlineLevel="0" collapsed="false">
      <c r="A386" s="26"/>
      <c r="B386" s="26"/>
      <c r="C386" s="27" t="str">
        <f aca="false">IF($B386="","",IFERROR(INDEX(Clients!$B$6:$B$105,MATCH($B386,Clients!$A$6:$A$105,0)),"Client not found"))</f>
        <v/>
      </c>
      <c r="D386" s="26"/>
      <c r="E386" s="26"/>
      <c r="F386" s="26"/>
      <c r="G386" s="26"/>
      <c r="H386" s="28"/>
      <c r="I386" s="29"/>
      <c r="J386" s="30" t="str">
        <f aca="false">IF($A386="","",IFERROR(IF(N(INDEX(Clients!$E$6:$E$105,MATCH($B386,Clients!$A$6:$A$105,0)))&gt;0,INDEX(Clients!$E$6:$E$105,MATCH($B386,Clients!$A$6:$A$105,0)),Dashboard!$B$6),Dashboard!$B$6))</f>
        <v/>
      </c>
      <c r="K386" s="31" t="str">
        <f aca="false">IF(OR($A386="",$I386=""),"",$I386+$J386)</f>
        <v/>
      </c>
      <c r="L386" s="26"/>
      <c r="M386" s="32"/>
      <c r="N386" s="33"/>
      <c r="O386" s="34" t="str">
        <f aca="false">IF($A386="","",N($M386)*N($N386))</f>
        <v/>
      </c>
      <c r="P386" s="34" t="str">
        <f aca="false">IF($A386="","",N($M386)+$O386)</f>
        <v/>
      </c>
      <c r="Q386" s="34" t="str">
        <f aca="false">IF($A386="","",SUMIFS('Credit Notes'!$F$6:$F$205,'Credit Notes'!$B$6:$B$205,$A386,'Credit Notes'!$H$6:$H$205,"Issued"))</f>
        <v/>
      </c>
      <c r="R386" s="34" t="str">
        <f aca="false">IF($A386="","",SUMIFS(Payments!$I$6:$I$505,Payments!$C$6:$C$505,$A386))</f>
        <v/>
      </c>
      <c r="S386" s="34" t="str">
        <f aca="false">IF($A386="","",IF($T386="Void",0,$P386-$Q386-$R386))</f>
        <v/>
      </c>
      <c r="T386" s="26"/>
      <c r="U386" s="35" t="str">
        <f aca="false">IF($A386="","",IF($T386="Void","Void",IF(OR($T386="",$T386="Draft"),"Draft",IF($T386="Disputed","Disputed",IF($S386&lt;-0.005,"Overpaid",IF($S386&lt;=0.005,"Paid",IF($R386+$Q386&gt;0.005,IF($V386&gt;0,"Part-paid, overdue","Part-paid"),IF($V386&gt;0,"Overdue","Outstanding"))))))))</f>
        <v/>
      </c>
      <c r="V386" s="36" t="str">
        <f aca="true">IF($A386="","",IF(AND(OR($T386="Issued",$T386="Disputed"),$S386&gt;0.005,$K386&lt;&gt;"",$K386&lt;TODAY()),TODAY()-$K386,0))</f>
        <v/>
      </c>
      <c r="W386" s="35" t="str">
        <f aca="false">IF($A386="","",IF(AND(OR($T386="Issued",$T386="Disputed"),$S386&gt;0.005),IF($V386&lt;=0,"Not yet due",IF($V386&lt;=30,"1 to 30 days",IF($V386&lt;=60,"31 to 60 days",IF($V386&lt;=90,"61 to 90 days","Over 90 days")))),""))</f>
        <v/>
      </c>
      <c r="X386" s="26"/>
      <c r="Y386" s="29"/>
      <c r="Z386" s="28"/>
      <c r="AA386" s="28"/>
    </row>
    <row r="387" customFormat="false" ht="15" hidden="false" customHeight="false" outlineLevel="0" collapsed="false">
      <c r="A387" s="26"/>
      <c r="B387" s="26"/>
      <c r="C387" s="27" t="str">
        <f aca="false">IF($B387="","",IFERROR(INDEX(Clients!$B$6:$B$105,MATCH($B387,Clients!$A$6:$A$105,0)),"Client not found"))</f>
        <v/>
      </c>
      <c r="D387" s="26"/>
      <c r="E387" s="26"/>
      <c r="F387" s="26"/>
      <c r="G387" s="26"/>
      <c r="H387" s="28"/>
      <c r="I387" s="29"/>
      <c r="J387" s="30" t="str">
        <f aca="false">IF($A387="","",IFERROR(IF(N(INDEX(Clients!$E$6:$E$105,MATCH($B387,Clients!$A$6:$A$105,0)))&gt;0,INDEX(Clients!$E$6:$E$105,MATCH($B387,Clients!$A$6:$A$105,0)),Dashboard!$B$6),Dashboard!$B$6))</f>
        <v/>
      </c>
      <c r="K387" s="31" t="str">
        <f aca="false">IF(OR($A387="",$I387=""),"",$I387+$J387)</f>
        <v/>
      </c>
      <c r="L387" s="26"/>
      <c r="M387" s="32"/>
      <c r="N387" s="33"/>
      <c r="O387" s="34" t="str">
        <f aca="false">IF($A387="","",N($M387)*N($N387))</f>
        <v/>
      </c>
      <c r="P387" s="34" t="str">
        <f aca="false">IF($A387="","",N($M387)+$O387)</f>
        <v/>
      </c>
      <c r="Q387" s="34" t="str">
        <f aca="false">IF($A387="","",SUMIFS('Credit Notes'!$F$6:$F$205,'Credit Notes'!$B$6:$B$205,$A387,'Credit Notes'!$H$6:$H$205,"Issued"))</f>
        <v/>
      </c>
      <c r="R387" s="34" t="str">
        <f aca="false">IF($A387="","",SUMIFS(Payments!$I$6:$I$505,Payments!$C$6:$C$505,$A387))</f>
        <v/>
      </c>
      <c r="S387" s="34" t="str">
        <f aca="false">IF($A387="","",IF($T387="Void",0,$P387-$Q387-$R387))</f>
        <v/>
      </c>
      <c r="T387" s="26"/>
      <c r="U387" s="35" t="str">
        <f aca="false">IF($A387="","",IF($T387="Void","Void",IF(OR($T387="",$T387="Draft"),"Draft",IF($T387="Disputed","Disputed",IF($S387&lt;-0.005,"Overpaid",IF($S387&lt;=0.005,"Paid",IF($R387+$Q387&gt;0.005,IF($V387&gt;0,"Part-paid, overdue","Part-paid"),IF($V387&gt;0,"Overdue","Outstanding"))))))))</f>
        <v/>
      </c>
      <c r="V387" s="36" t="str">
        <f aca="true">IF($A387="","",IF(AND(OR($T387="Issued",$T387="Disputed"),$S387&gt;0.005,$K387&lt;&gt;"",$K387&lt;TODAY()),TODAY()-$K387,0))</f>
        <v/>
      </c>
      <c r="W387" s="35" t="str">
        <f aca="false">IF($A387="","",IF(AND(OR($T387="Issued",$T387="Disputed"),$S387&gt;0.005),IF($V387&lt;=0,"Not yet due",IF($V387&lt;=30,"1 to 30 days",IF($V387&lt;=60,"31 to 60 days",IF($V387&lt;=90,"61 to 90 days","Over 90 days")))),""))</f>
        <v/>
      </c>
      <c r="X387" s="26"/>
      <c r="Y387" s="29"/>
      <c r="Z387" s="28"/>
      <c r="AA387" s="28"/>
    </row>
    <row r="388" customFormat="false" ht="15" hidden="false" customHeight="false" outlineLevel="0" collapsed="false">
      <c r="A388" s="26"/>
      <c r="B388" s="26"/>
      <c r="C388" s="27" t="str">
        <f aca="false">IF($B388="","",IFERROR(INDEX(Clients!$B$6:$B$105,MATCH($B388,Clients!$A$6:$A$105,0)),"Client not found"))</f>
        <v/>
      </c>
      <c r="D388" s="26"/>
      <c r="E388" s="26"/>
      <c r="F388" s="26"/>
      <c r="G388" s="26"/>
      <c r="H388" s="28"/>
      <c r="I388" s="29"/>
      <c r="J388" s="30" t="str">
        <f aca="false">IF($A388="","",IFERROR(IF(N(INDEX(Clients!$E$6:$E$105,MATCH($B388,Clients!$A$6:$A$105,0)))&gt;0,INDEX(Clients!$E$6:$E$105,MATCH($B388,Clients!$A$6:$A$105,0)),Dashboard!$B$6),Dashboard!$B$6))</f>
        <v/>
      </c>
      <c r="K388" s="31" t="str">
        <f aca="false">IF(OR($A388="",$I388=""),"",$I388+$J388)</f>
        <v/>
      </c>
      <c r="L388" s="26"/>
      <c r="M388" s="32"/>
      <c r="N388" s="33"/>
      <c r="O388" s="34" t="str">
        <f aca="false">IF($A388="","",N($M388)*N($N388))</f>
        <v/>
      </c>
      <c r="P388" s="34" t="str">
        <f aca="false">IF($A388="","",N($M388)+$O388)</f>
        <v/>
      </c>
      <c r="Q388" s="34" t="str">
        <f aca="false">IF($A388="","",SUMIFS('Credit Notes'!$F$6:$F$205,'Credit Notes'!$B$6:$B$205,$A388,'Credit Notes'!$H$6:$H$205,"Issued"))</f>
        <v/>
      </c>
      <c r="R388" s="34" t="str">
        <f aca="false">IF($A388="","",SUMIFS(Payments!$I$6:$I$505,Payments!$C$6:$C$505,$A388))</f>
        <v/>
      </c>
      <c r="S388" s="34" t="str">
        <f aca="false">IF($A388="","",IF($T388="Void",0,$P388-$Q388-$R388))</f>
        <v/>
      </c>
      <c r="T388" s="26"/>
      <c r="U388" s="35" t="str">
        <f aca="false">IF($A388="","",IF($T388="Void","Void",IF(OR($T388="",$T388="Draft"),"Draft",IF($T388="Disputed","Disputed",IF($S388&lt;-0.005,"Overpaid",IF($S388&lt;=0.005,"Paid",IF($R388+$Q388&gt;0.005,IF($V388&gt;0,"Part-paid, overdue","Part-paid"),IF($V388&gt;0,"Overdue","Outstanding"))))))))</f>
        <v/>
      </c>
      <c r="V388" s="36" t="str">
        <f aca="true">IF($A388="","",IF(AND(OR($T388="Issued",$T388="Disputed"),$S388&gt;0.005,$K388&lt;&gt;"",$K388&lt;TODAY()),TODAY()-$K388,0))</f>
        <v/>
      </c>
      <c r="W388" s="35" t="str">
        <f aca="false">IF($A388="","",IF(AND(OR($T388="Issued",$T388="Disputed"),$S388&gt;0.005),IF($V388&lt;=0,"Not yet due",IF($V388&lt;=30,"1 to 30 days",IF($V388&lt;=60,"31 to 60 days",IF($V388&lt;=90,"61 to 90 days","Over 90 days")))),""))</f>
        <v/>
      </c>
      <c r="X388" s="26"/>
      <c r="Y388" s="29"/>
      <c r="Z388" s="28"/>
      <c r="AA388" s="28"/>
    </row>
    <row r="389" customFormat="false" ht="15" hidden="false" customHeight="false" outlineLevel="0" collapsed="false">
      <c r="A389" s="26"/>
      <c r="B389" s="26"/>
      <c r="C389" s="27" t="str">
        <f aca="false">IF($B389="","",IFERROR(INDEX(Clients!$B$6:$B$105,MATCH($B389,Clients!$A$6:$A$105,0)),"Client not found"))</f>
        <v/>
      </c>
      <c r="D389" s="26"/>
      <c r="E389" s="26"/>
      <c r="F389" s="26"/>
      <c r="G389" s="26"/>
      <c r="H389" s="28"/>
      <c r="I389" s="29"/>
      <c r="J389" s="30" t="str">
        <f aca="false">IF($A389="","",IFERROR(IF(N(INDEX(Clients!$E$6:$E$105,MATCH($B389,Clients!$A$6:$A$105,0)))&gt;0,INDEX(Clients!$E$6:$E$105,MATCH($B389,Clients!$A$6:$A$105,0)),Dashboard!$B$6),Dashboard!$B$6))</f>
        <v/>
      </c>
      <c r="K389" s="31" t="str">
        <f aca="false">IF(OR($A389="",$I389=""),"",$I389+$J389)</f>
        <v/>
      </c>
      <c r="L389" s="26"/>
      <c r="M389" s="32"/>
      <c r="N389" s="33"/>
      <c r="O389" s="34" t="str">
        <f aca="false">IF($A389="","",N($M389)*N($N389))</f>
        <v/>
      </c>
      <c r="P389" s="34" t="str">
        <f aca="false">IF($A389="","",N($M389)+$O389)</f>
        <v/>
      </c>
      <c r="Q389" s="34" t="str">
        <f aca="false">IF($A389="","",SUMIFS('Credit Notes'!$F$6:$F$205,'Credit Notes'!$B$6:$B$205,$A389,'Credit Notes'!$H$6:$H$205,"Issued"))</f>
        <v/>
      </c>
      <c r="R389" s="34" t="str">
        <f aca="false">IF($A389="","",SUMIFS(Payments!$I$6:$I$505,Payments!$C$6:$C$505,$A389))</f>
        <v/>
      </c>
      <c r="S389" s="34" t="str">
        <f aca="false">IF($A389="","",IF($T389="Void",0,$P389-$Q389-$R389))</f>
        <v/>
      </c>
      <c r="T389" s="26"/>
      <c r="U389" s="35" t="str">
        <f aca="false">IF($A389="","",IF($T389="Void","Void",IF(OR($T389="",$T389="Draft"),"Draft",IF($T389="Disputed","Disputed",IF($S389&lt;-0.005,"Overpaid",IF($S389&lt;=0.005,"Paid",IF($R389+$Q389&gt;0.005,IF($V389&gt;0,"Part-paid, overdue","Part-paid"),IF($V389&gt;0,"Overdue","Outstanding"))))))))</f>
        <v/>
      </c>
      <c r="V389" s="36" t="str">
        <f aca="true">IF($A389="","",IF(AND(OR($T389="Issued",$T389="Disputed"),$S389&gt;0.005,$K389&lt;&gt;"",$K389&lt;TODAY()),TODAY()-$K389,0))</f>
        <v/>
      </c>
      <c r="W389" s="35" t="str">
        <f aca="false">IF($A389="","",IF(AND(OR($T389="Issued",$T389="Disputed"),$S389&gt;0.005),IF($V389&lt;=0,"Not yet due",IF($V389&lt;=30,"1 to 30 days",IF($V389&lt;=60,"31 to 60 days",IF($V389&lt;=90,"61 to 90 days","Over 90 days")))),""))</f>
        <v/>
      </c>
      <c r="X389" s="26"/>
      <c r="Y389" s="29"/>
      <c r="Z389" s="28"/>
      <c r="AA389" s="28"/>
    </row>
    <row r="390" customFormat="false" ht="15" hidden="false" customHeight="false" outlineLevel="0" collapsed="false">
      <c r="A390" s="26"/>
      <c r="B390" s="26"/>
      <c r="C390" s="27" t="str">
        <f aca="false">IF($B390="","",IFERROR(INDEX(Clients!$B$6:$B$105,MATCH($B390,Clients!$A$6:$A$105,0)),"Client not found"))</f>
        <v/>
      </c>
      <c r="D390" s="26"/>
      <c r="E390" s="26"/>
      <c r="F390" s="26"/>
      <c r="G390" s="26"/>
      <c r="H390" s="28"/>
      <c r="I390" s="29"/>
      <c r="J390" s="30" t="str">
        <f aca="false">IF($A390="","",IFERROR(IF(N(INDEX(Clients!$E$6:$E$105,MATCH($B390,Clients!$A$6:$A$105,0)))&gt;0,INDEX(Clients!$E$6:$E$105,MATCH($B390,Clients!$A$6:$A$105,0)),Dashboard!$B$6),Dashboard!$B$6))</f>
        <v/>
      </c>
      <c r="K390" s="31" t="str">
        <f aca="false">IF(OR($A390="",$I390=""),"",$I390+$J390)</f>
        <v/>
      </c>
      <c r="L390" s="26"/>
      <c r="M390" s="32"/>
      <c r="N390" s="33"/>
      <c r="O390" s="34" t="str">
        <f aca="false">IF($A390="","",N($M390)*N($N390))</f>
        <v/>
      </c>
      <c r="P390" s="34" t="str">
        <f aca="false">IF($A390="","",N($M390)+$O390)</f>
        <v/>
      </c>
      <c r="Q390" s="34" t="str">
        <f aca="false">IF($A390="","",SUMIFS('Credit Notes'!$F$6:$F$205,'Credit Notes'!$B$6:$B$205,$A390,'Credit Notes'!$H$6:$H$205,"Issued"))</f>
        <v/>
      </c>
      <c r="R390" s="34" t="str">
        <f aca="false">IF($A390="","",SUMIFS(Payments!$I$6:$I$505,Payments!$C$6:$C$505,$A390))</f>
        <v/>
      </c>
      <c r="S390" s="34" t="str">
        <f aca="false">IF($A390="","",IF($T390="Void",0,$P390-$Q390-$R390))</f>
        <v/>
      </c>
      <c r="T390" s="26"/>
      <c r="U390" s="35" t="str">
        <f aca="false">IF($A390="","",IF($T390="Void","Void",IF(OR($T390="",$T390="Draft"),"Draft",IF($T390="Disputed","Disputed",IF($S390&lt;-0.005,"Overpaid",IF($S390&lt;=0.005,"Paid",IF($R390+$Q390&gt;0.005,IF($V390&gt;0,"Part-paid, overdue","Part-paid"),IF($V390&gt;0,"Overdue","Outstanding"))))))))</f>
        <v/>
      </c>
      <c r="V390" s="36" t="str">
        <f aca="true">IF($A390="","",IF(AND(OR($T390="Issued",$T390="Disputed"),$S390&gt;0.005,$K390&lt;&gt;"",$K390&lt;TODAY()),TODAY()-$K390,0))</f>
        <v/>
      </c>
      <c r="W390" s="35" t="str">
        <f aca="false">IF($A390="","",IF(AND(OR($T390="Issued",$T390="Disputed"),$S390&gt;0.005),IF($V390&lt;=0,"Not yet due",IF($V390&lt;=30,"1 to 30 days",IF($V390&lt;=60,"31 to 60 days",IF($V390&lt;=90,"61 to 90 days","Over 90 days")))),""))</f>
        <v/>
      </c>
      <c r="X390" s="26"/>
      <c r="Y390" s="29"/>
      <c r="Z390" s="28"/>
      <c r="AA390" s="28"/>
    </row>
    <row r="391" customFormat="false" ht="15" hidden="false" customHeight="false" outlineLevel="0" collapsed="false">
      <c r="A391" s="26"/>
      <c r="B391" s="26"/>
      <c r="C391" s="27" t="str">
        <f aca="false">IF($B391="","",IFERROR(INDEX(Clients!$B$6:$B$105,MATCH($B391,Clients!$A$6:$A$105,0)),"Client not found"))</f>
        <v/>
      </c>
      <c r="D391" s="26"/>
      <c r="E391" s="26"/>
      <c r="F391" s="26"/>
      <c r="G391" s="26"/>
      <c r="H391" s="28"/>
      <c r="I391" s="29"/>
      <c r="J391" s="30" t="str">
        <f aca="false">IF($A391="","",IFERROR(IF(N(INDEX(Clients!$E$6:$E$105,MATCH($B391,Clients!$A$6:$A$105,0)))&gt;0,INDEX(Clients!$E$6:$E$105,MATCH($B391,Clients!$A$6:$A$105,0)),Dashboard!$B$6),Dashboard!$B$6))</f>
        <v/>
      </c>
      <c r="K391" s="31" t="str">
        <f aca="false">IF(OR($A391="",$I391=""),"",$I391+$J391)</f>
        <v/>
      </c>
      <c r="L391" s="26"/>
      <c r="M391" s="32"/>
      <c r="N391" s="33"/>
      <c r="O391" s="34" t="str">
        <f aca="false">IF($A391="","",N($M391)*N($N391))</f>
        <v/>
      </c>
      <c r="P391" s="34" t="str">
        <f aca="false">IF($A391="","",N($M391)+$O391)</f>
        <v/>
      </c>
      <c r="Q391" s="34" t="str">
        <f aca="false">IF($A391="","",SUMIFS('Credit Notes'!$F$6:$F$205,'Credit Notes'!$B$6:$B$205,$A391,'Credit Notes'!$H$6:$H$205,"Issued"))</f>
        <v/>
      </c>
      <c r="R391" s="34" t="str">
        <f aca="false">IF($A391="","",SUMIFS(Payments!$I$6:$I$505,Payments!$C$6:$C$505,$A391))</f>
        <v/>
      </c>
      <c r="S391" s="34" t="str">
        <f aca="false">IF($A391="","",IF($T391="Void",0,$P391-$Q391-$R391))</f>
        <v/>
      </c>
      <c r="T391" s="26"/>
      <c r="U391" s="35" t="str">
        <f aca="false">IF($A391="","",IF($T391="Void","Void",IF(OR($T391="",$T391="Draft"),"Draft",IF($T391="Disputed","Disputed",IF($S391&lt;-0.005,"Overpaid",IF($S391&lt;=0.005,"Paid",IF($R391+$Q391&gt;0.005,IF($V391&gt;0,"Part-paid, overdue","Part-paid"),IF($V391&gt;0,"Overdue","Outstanding"))))))))</f>
        <v/>
      </c>
      <c r="V391" s="36" t="str">
        <f aca="true">IF($A391="","",IF(AND(OR($T391="Issued",$T391="Disputed"),$S391&gt;0.005,$K391&lt;&gt;"",$K391&lt;TODAY()),TODAY()-$K391,0))</f>
        <v/>
      </c>
      <c r="W391" s="35" t="str">
        <f aca="false">IF($A391="","",IF(AND(OR($T391="Issued",$T391="Disputed"),$S391&gt;0.005),IF($V391&lt;=0,"Not yet due",IF($V391&lt;=30,"1 to 30 days",IF($V391&lt;=60,"31 to 60 days",IF($V391&lt;=90,"61 to 90 days","Over 90 days")))),""))</f>
        <v/>
      </c>
      <c r="X391" s="26"/>
      <c r="Y391" s="29"/>
      <c r="Z391" s="28"/>
      <c r="AA391" s="28"/>
    </row>
    <row r="392" customFormat="false" ht="15" hidden="false" customHeight="false" outlineLevel="0" collapsed="false">
      <c r="A392" s="26"/>
      <c r="B392" s="26"/>
      <c r="C392" s="27" t="str">
        <f aca="false">IF($B392="","",IFERROR(INDEX(Clients!$B$6:$B$105,MATCH($B392,Clients!$A$6:$A$105,0)),"Client not found"))</f>
        <v/>
      </c>
      <c r="D392" s="26"/>
      <c r="E392" s="26"/>
      <c r="F392" s="26"/>
      <c r="G392" s="26"/>
      <c r="H392" s="28"/>
      <c r="I392" s="29"/>
      <c r="J392" s="30" t="str">
        <f aca="false">IF($A392="","",IFERROR(IF(N(INDEX(Clients!$E$6:$E$105,MATCH($B392,Clients!$A$6:$A$105,0)))&gt;0,INDEX(Clients!$E$6:$E$105,MATCH($B392,Clients!$A$6:$A$105,0)),Dashboard!$B$6),Dashboard!$B$6))</f>
        <v/>
      </c>
      <c r="K392" s="31" t="str">
        <f aca="false">IF(OR($A392="",$I392=""),"",$I392+$J392)</f>
        <v/>
      </c>
      <c r="L392" s="26"/>
      <c r="M392" s="32"/>
      <c r="N392" s="33"/>
      <c r="O392" s="34" t="str">
        <f aca="false">IF($A392="","",N($M392)*N($N392))</f>
        <v/>
      </c>
      <c r="P392" s="34" t="str">
        <f aca="false">IF($A392="","",N($M392)+$O392)</f>
        <v/>
      </c>
      <c r="Q392" s="34" t="str">
        <f aca="false">IF($A392="","",SUMIFS('Credit Notes'!$F$6:$F$205,'Credit Notes'!$B$6:$B$205,$A392,'Credit Notes'!$H$6:$H$205,"Issued"))</f>
        <v/>
      </c>
      <c r="R392" s="34" t="str">
        <f aca="false">IF($A392="","",SUMIFS(Payments!$I$6:$I$505,Payments!$C$6:$C$505,$A392))</f>
        <v/>
      </c>
      <c r="S392" s="34" t="str">
        <f aca="false">IF($A392="","",IF($T392="Void",0,$P392-$Q392-$R392))</f>
        <v/>
      </c>
      <c r="T392" s="26"/>
      <c r="U392" s="35" t="str">
        <f aca="false">IF($A392="","",IF($T392="Void","Void",IF(OR($T392="",$T392="Draft"),"Draft",IF($T392="Disputed","Disputed",IF($S392&lt;-0.005,"Overpaid",IF($S392&lt;=0.005,"Paid",IF($R392+$Q392&gt;0.005,IF($V392&gt;0,"Part-paid, overdue","Part-paid"),IF($V392&gt;0,"Overdue","Outstanding"))))))))</f>
        <v/>
      </c>
      <c r="V392" s="36" t="str">
        <f aca="true">IF($A392="","",IF(AND(OR($T392="Issued",$T392="Disputed"),$S392&gt;0.005,$K392&lt;&gt;"",$K392&lt;TODAY()),TODAY()-$K392,0))</f>
        <v/>
      </c>
      <c r="W392" s="35" t="str">
        <f aca="false">IF($A392="","",IF(AND(OR($T392="Issued",$T392="Disputed"),$S392&gt;0.005),IF($V392&lt;=0,"Not yet due",IF($V392&lt;=30,"1 to 30 days",IF($V392&lt;=60,"31 to 60 days",IF($V392&lt;=90,"61 to 90 days","Over 90 days")))),""))</f>
        <v/>
      </c>
      <c r="X392" s="26"/>
      <c r="Y392" s="29"/>
      <c r="Z392" s="28"/>
      <c r="AA392" s="28"/>
    </row>
    <row r="393" customFormat="false" ht="15" hidden="false" customHeight="false" outlineLevel="0" collapsed="false">
      <c r="A393" s="26"/>
      <c r="B393" s="26"/>
      <c r="C393" s="27" t="str">
        <f aca="false">IF($B393="","",IFERROR(INDEX(Clients!$B$6:$B$105,MATCH($B393,Clients!$A$6:$A$105,0)),"Client not found"))</f>
        <v/>
      </c>
      <c r="D393" s="26"/>
      <c r="E393" s="26"/>
      <c r="F393" s="26"/>
      <c r="G393" s="26"/>
      <c r="H393" s="28"/>
      <c r="I393" s="29"/>
      <c r="J393" s="30" t="str">
        <f aca="false">IF($A393="","",IFERROR(IF(N(INDEX(Clients!$E$6:$E$105,MATCH($B393,Clients!$A$6:$A$105,0)))&gt;0,INDEX(Clients!$E$6:$E$105,MATCH($B393,Clients!$A$6:$A$105,0)),Dashboard!$B$6),Dashboard!$B$6))</f>
        <v/>
      </c>
      <c r="K393" s="31" t="str">
        <f aca="false">IF(OR($A393="",$I393=""),"",$I393+$J393)</f>
        <v/>
      </c>
      <c r="L393" s="26"/>
      <c r="M393" s="32"/>
      <c r="N393" s="33"/>
      <c r="O393" s="34" t="str">
        <f aca="false">IF($A393="","",N($M393)*N($N393))</f>
        <v/>
      </c>
      <c r="P393" s="34" t="str">
        <f aca="false">IF($A393="","",N($M393)+$O393)</f>
        <v/>
      </c>
      <c r="Q393" s="34" t="str">
        <f aca="false">IF($A393="","",SUMIFS('Credit Notes'!$F$6:$F$205,'Credit Notes'!$B$6:$B$205,$A393,'Credit Notes'!$H$6:$H$205,"Issued"))</f>
        <v/>
      </c>
      <c r="R393" s="34" t="str">
        <f aca="false">IF($A393="","",SUMIFS(Payments!$I$6:$I$505,Payments!$C$6:$C$505,$A393))</f>
        <v/>
      </c>
      <c r="S393" s="34" t="str">
        <f aca="false">IF($A393="","",IF($T393="Void",0,$P393-$Q393-$R393))</f>
        <v/>
      </c>
      <c r="T393" s="26"/>
      <c r="U393" s="35" t="str">
        <f aca="false">IF($A393="","",IF($T393="Void","Void",IF(OR($T393="",$T393="Draft"),"Draft",IF($T393="Disputed","Disputed",IF($S393&lt;-0.005,"Overpaid",IF($S393&lt;=0.005,"Paid",IF($R393+$Q393&gt;0.005,IF($V393&gt;0,"Part-paid, overdue","Part-paid"),IF($V393&gt;0,"Overdue","Outstanding"))))))))</f>
        <v/>
      </c>
      <c r="V393" s="36" t="str">
        <f aca="true">IF($A393="","",IF(AND(OR($T393="Issued",$T393="Disputed"),$S393&gt;0.005,$K393&lt;&gt;"",$K393&lt;TODAY()),TODAY()-$K393,0))</f>
        <v/>
      </c>
      <c r="W393" s="35" t="str">
        <f aca="false">IF($A393="","",IF(AND(OR($T393="Issued",$T393="Disputed"),$S393&gt;0.005),IF($V393&lt;=0,"Not yet due",IF($V393&lt;=30,"1 to 30 days",IF($V393&lt;=60,"31 to 60 days",IF($V393&lt;=90,"61 to 90 days","Over 90 days")))),""))</f>
        <v/>
      </c>
      <c r="X393" s="26"/>
      <c r="Y393" s="29"/>
      <c r="Z393" s="28"/>
      <c r="AA393" s="28"/>
    </row>
    <row r="394" customFormat="false" ht="15" hidden="false" customHeight="false" outlineLevel="0" collapsed="false">
      <c r="A394" s="26"/>
      <c r="B394" s="26"/>
      <c r="C394" s="27" t="str">
        <f aca="false">IF($B394="","",IFERROR(INDEX(Clients!$B$6:$B$105,MATCH($B394,Clients!$A$6:$A$105,0)),"Client not found"))</f>
        <v/>
      </c>
      <c r="D394" s="26"/>
      <c r="E394" s="26"/>
      <c r="F394" s="26"/>
      <c r="G394" s="26"/>
      <c r="H394" s="28"/>
      <c r="I394" s="29"/>
      <c r="J394" s="30" t="str">
        <f aca="false">IF($A394="","",IFERROR(IF(N(INDEX(Clients!$E$6:$E$105,MATCH($B394,Clients!$A$6:$A$105,0)))&gt;0,INDEX(Clients!$E$6:$E$105,MATCH($B394,Clients!$A$6:$A$105,0)),Dashboard!$B$6),Dashboard!$B$6))</f>
        <v/>
      </c>
      <c r="K394" s="31" t="str">
        <f aca="false">IF(OR($A394="",$I394=""),"",$I394+$J394)</f>
        <v/>
      </c>
      <c r="L394" s="26"/>
      <c r="M394" s="32"/>
      <c r="N394" s="33"/>
      <c r="O394" s="34" t="str">
        <f aca="false">IF($A394="","",N($M394)*N($N394))</f>
        <v/>
      </c>
      <c r="P394" s="34" t="str">
        <f aca="false">IF($A394="","",N($M394)+$O394)</f>
        <v/>
      </c>
      <c r="Q394" s="34" t="str">
        <f aca="false">IF($A394="","",SUMIFS('Credit Notes'!$F$6:$F$205,'Credit Notes'!$B$6:$B$205,$A394,'Credit Notes'!$H$6:$H$205,"Issued"))</f>
        <v/>
      </c>
      <c r="R394" s="34" t="str">
        <f aca="false">IF($A394="","",SUMIFS(Payments!$I$6:$I$505,Payments!$C$6:$C$505,$A394))</f>
        <v/>
      </c>
      <c r="S394" s="34" t="str">
        <f aca="false">IF($A394="","",IF($T394="Void",0,$P394-$Q394-$R394))</f>
        <v/>
      </c>
      <c r="T394" s="26"/>
      <c r="U394" s="35" t="str">
        <f aca="false">IF($A394="","",IF($T394="Void","Void",IF(OR($T394="",$T394="Draft"),"Draft",IF($T394="Disputed","Disputed",IF($S394&lt;-0.005,"Overpaid",IF($S394&lt;=0.005,"Paid",IF($R394+$Q394&gt;0.005,IF($V394&gt;0,"Part-paid, overdue","Part-paid"),IF($V394&gt;0,"Overdue","Outstanding"))))))))</f>
        <v/>
      </c>
      <c r="V394" s="36" t="str">
        <f aca="true">IF($A394="","",IF(AND(OR($T394="Issued",$T394="Disputed"),$S394&gt;0.005,$K394&lt;&gt;"",$K394&lt;TODAY()),TODAY()-$K394,0))</f>
        <v/>
      </c>
      <c r="W394" s="35" t="str">
        <f aca="false">IF($A394="","",IF(AND(OR($T394="Issued",$T394="Disputed"),$S394&gt;0.005),IF($V394&lt;=0,"Not yet due",IF($V394&lt;=30,"1 to 30 days",IF($V394&lt;=60,"31 to 60 days",IF($V394&lt;=90,"61 to 90 days","Over 90 days")))),""))</f>
        <v/>
      </c>
      <c r="X394" s="26"/>
      <c r="Y394" s="29"/>
      <c r="Z394" s="28"/>
      <c r="AA394" s="28"/>
    </row>
    <row r="395" customFormat="false" ht="15" hidden="false" customHeight="false" outlineLevel="0" collapsed="false">
      <c r="A395" s="26"/>
      <c r="B395" s="26"/>
      <c r="C395" s="27" t="str">
        <f aca="false">IF($B395="","",IFERROR(INDEX(Clients!$B$6:$B$105,MATCH($B395,Clients!$A$6:$A$105,0)),"Client not found"))</f>
        <v/>
      </c>
      <c r="D395" s="26"/>
      <c r="E395" s="26"/>
      <c r="F395" s="26"/>
      <c r="G395" s="26"/>
      <c r="H395" s="28"/>
      <c r="I395" s="29"/>
      <c r="J395" s="30" t="str">
        <f aca="false">IF($A395="","",IFERROR(IF(N(INDEX(Clients!$E$6:$E$105,MATCH($B395,Clients!$A$6:$A$105,0)))&gt;0,INDEX(Clients!$E$6:$E$105,MATCH($B395,Clients!$A$6:$A$105,0)),Dashboard!$B$6),Dashboard!$B$6))</f>
        <v/>
      </c>
      <c r="K395" s="31" t="str">
        <f aca="false">IF(OR($A395="",$I395=""),"",$I395+$J395)</f>
        <v/>
      </c>
      <c r="L395" s="26"/>
      <c r="M395" s="32"/>
      <c r="N395" s="33"/>
      <c r="O395" s="34" t="str">
        <f aca="false">IF($A395="","",N($M395)*N($N395))</f>
        <v/>
      </c>
      <c r="P395" s="34" t="str">
        <f aca="false">IF($A395="","",N($M395)+$O395)</f>
        <v/>
      </c>
      <c r="Q395" s="34" t="str">
        <f aca="false">IF($A395="","",SUMIFS('Credit Notes'!$F$6:$F$205,'Credit Notes'!$B$6:$B$205,$A395,'Credit Notes'!$H$6:$H$205,"Issued"))</f>
        <v/>
      </c>
      <c r="R395" s="34" t="str">
        <f aca="false">IF($A395="","",SUMIFS(Payments!$I$6:$I$505,Payments!$C$6:$C$505,$A395))</f>
        <v/>
      </c>
      <c r="S395" s="34" t="str">
        <f aca="false">IF($A395="","",IF($T395="Void",0,$P395-$Q395-$R395))</f>
        <v/>
      </c>
      <c r="T395" s="26"/>
      <c r="U395" s="35" t="str">
        <f aca="false">IF($A395="","",IF($T395="Void","Void",IF(OR($T395="",$T395="Draft"),"Draft",IF($T395="Disputed","Disputed",IF($S395&lt;-0.005,"Overpaid",IF($S395&lt;=0.005,"Paid",IF($R395+$Q395&gt;0.005,IF($V395&gt;0,"Part-paid, overdue","Part-paid"),IF($V395&gt;0,"Overdue","Outstanding"))))))))</f>
        <v/>
      </c>
      <c r="V395" s="36" t="str">
        <f aca="true">IF($A395="","",IF(AND(OR($T395="Issued",$T395="Disputed"),$S395&gt;0.005,$K395&lt;&gt;"",$K395&lt;TODAY()),TODAY()-$K395,0))</f>
        <v/>
      </c>
      <c r="W395" s="35" t="str">
        <f aca="false">IF($A395="","",IF(AND(OR($T395="Issued",$T395="Disputed"),$S395&gt;0.005),IF($V395&lt;=0,"Not yet due",IF($V395&lt;=30,"1 to 30 days",IF($V395&lt;=60,"31 to 60 days",IF($V395&lt;=90,"61 to 90 days","Over 90 days")))),""))</f>
        <v/>
      </c>
      <c r="X395" s="26"/>
      <c r="Y395" s="29"/>
      <c r="Z395" s="28"/>
      <c r="AA395" s="28"/>
    </row>
    <row r="396" customFormat="false" ht="15" hidden="false" customHeight="false" outlineLevel="0" collapsed="false">
      <c r="A396" s="26"/>
      <c r="B396" s="26"/>
      <c r="C396" s="27" t="str">
        <f aca="false">IF($B396="","",IFERROR(INDEX(Clients!$B$6:$B$105,MATCH($B396,Clients!$A$6:$A$105,0)),"Client not found"))</f>
        <v/>
      </c>
      <c r="D396" s="26"/>
      <c r="E396" s="26"/>
      <c r="F396" s="26"/>
      <c r="G396" s="26"/>
      <c r="H396" s="28"/>
      <c r="I396" s="29"/>
      <c r="J396" s="30" t="str">
        <f aca="false">IF($A396="","",IFERROR(IF(N(INDEX(Clients!$E$6:$E$105,MATCH($B396,Clients!$A$6:$A$105,0)))&gt;0,INDEX(Clients!$E$6:$E$105,MATCH($B396,Clients!$A$6:$A$105,0)),Dashboard!$B$6),Dashboard!$B$6))</f>
        <v/>
      </c>
      <c r="K396" s="31" t="str">
        <f aca="false">IF(OR($A396="",$I396=""),"",$I396+$J396)</f>
        <v/>
      </c>
      <c r="L396" s="26"/>
      <c r="M396" s="32"/>
      <c r="N396" s="33"/>
      <c r="O396" s="34" t="str">
        <f aca="false">IF($A396="","",N($M396)*N($N396))</f>
        <v/>
      </c>
      <c r="P396" s="34" t="str">
        <f aca="false">IF($A396="","",N($M396)+$O396)</f>
        <v/>
      </c>
      <c r="Q396" s="34" t="str">
        <f aca="false">IF($A396="","",SUMIFS('Credit Notes'!$F$6:$F$205,'Credit Notes'!$B$6:$B$205,$A396,'Credit Notes'!$H$6:$H$205,"Issued"))</f>
        <v/>
      </c>
      <c r="R396" s="34" t="str">
        <f aca="false">IF($A396="","",SUMIFS(Payments!$I$6:$I$505,Payments!$C$6:$C$505,$A396))</f>
        <v/>
      </c>
      <c r="S396" s="34" t="str">
        <f aca="false">IF($A396="","",IF($T396="Void",0,$P396-$Q396-$R396))</f>
        <v/>
      </c>
      <c r="T396" s="26"/>
      <c r="U396" s="35" t="str">
        <f aca="false">IF($A396="","",IF($T396="Void","Void",IF(OR($T396="",$T396="Draft"),"Draft",IF($T396="Disputed","Disputed",IF($S396&lt;-0.005,"Overpaid",IF($S396&lt;=0.005,"Paid",IF($R396+$Q396&gt;0.005,IF($V396&gt;0,"Part-paid, overdue","Part-paid"),IF($V396&gt;0,"Overdue","Outstanding"))))))))</f>
        <v/>
      </c>
      <c r="V396" s="36" t="str">
        <f aca="true">IF($A396="","",IF(AND(OR($T396="Issued",$T396="Disputed"),$S396&gt;0.005,$K396&lt;&gt;"",$K396&lt;TODAY()),TODAY()-$K396,0))</f>
        <v/>
      </c>
      <c r="W396" s="35" t="str">
        <f aca="false">IF($A396="","",IF(AND(OR($T396="Issued",$T396="Disputed"),$S396&gt;0.005),IF($V396&lt;=0,"Not yet due",IF($V396&lt;=30,"1 to 30 days",IF($V396&lt;=60,"31 to 60 days",IF($V396&lt;=90,"61 to 90 days","Over 90 days")))),""))</f>
        <v/>
      </c>
      <c r="X396" s="26"/>
      <c r="Y396" s="29"/>
      <c r="Z396" s="28"/>
      <c r="AA396" s="28"/>
    </row>
    <row r="397" customFormat="false" ht="15" hidden="false" customHeight="false" outlineLevel="0" collapsed="false">
      <c r="A397" s="26"/>
      <c r="B397" s="26"/>
      <c r="C397" s="27" t="str">
        <f aca="false">IF($B397="","",IFERROR(INDEX(Clients!$B$6:$B$105,MATCH($B397,Clients!$A$6:$A$105,0)),"Client not found"))</f>
        <v/>
      </c>
      <c r="D397" s="26"/>
      <c r="E397" s="26"/>
      <c r="F397" s="26"/>
      <c r="G397" s="26"/>
      <c r="H397" s="28"/>
      <c r="I397" s="29"/>
      <c r="J397" s="30" t="str">
        <f aca="false">IF($A397="","",IFERROR(IF(N(INDEX(Clients!$E$6:$E$105,MATCH($B397,Clients!$A$6:$A$105,0)))&gt;0,INDEX(Clients!$E$6:$E$105,MATCH($B397,Clients!$A$6:$A$105,0)),Dashboard!$B$6),Dashboard!$B$6))</f>
        <v/>
      </c>
      <c r="K397" s="31" t="str">
        <f aca="false">IF(OR($A397="",$I397=""),"",$I397+$J397)</f>
        <v/>
      </c>
      <c r="L397" s="26"/>
      <c r="M397" s="32"/>
      <c r="N397" s="33"/>
      <c r="O397" s="34" t="str">
        <f aca="false">IF($A397="","",N($M397)*N($N397))</f>
        <v/>
      </c>
      <c r="P397" s="34" t="str">
        <f aca="false">IF($A397="","",N($M397)+$O397)</f>
        <v/>
      </c>
      <c r="Q397" s="34" t="str">
        <f aca="false">IF($A397="","",SUMIFS('Credit Notes'!$F$6:$F$205,'Credit Notes'!$B$6:$B$205,$A397,'Credit Notes'!$H$6:$H$205,"Issued"))</f>
        <v/>
      </c>
      <c r="R397" s="34" t="str">
        <f aca="false">IF($A397="","",SUMIFS(Payments!$I$6:$I$505,Payments!$C$6:$C$505,$A397))</f>
        <v/>
      </c>
      <c r="S397" s="34" t="str">
        <f aca="false">IF($A397="","",IF($T397="Void",0,$P397-$Q397-$R397))</f>
        <v/>
      </c>
      <c r="T397" s="26"/>
      <c r="U397" s="35" t="str">
        <f aca="false">IF($A397="","",IF($T397="Void","Void",IF(OR($T397="",$T397="Draft"),"Draft",IF($T397="Disputed","Disputed",IF($S397&lt;-0.005,"Overpaid",IF($S397&lt;=0.005,"Paid",IF($R397+$Q397&gt;0.005,IF($V397&gt;0,"Part-paid, overdue","Part-paid"),IF($V397&gt;0,"Overdue","Outstanding"))))))))</f>
        <v/>
      </c>
      <c r="V397" s="36" t="str">
        <f aca="true">IF($A397="","",IF(AND(OR($T397="Issued",$T397="Disputed"),$S397&gt;0.005,$K397&lt;&gt;"",$K397&lt;TODAY()),TODAY()-$K397,0))</f>
        <v/>
      </c>
      <c r="W397" s="35" t="str">
        <f aca="false">IF($A397="","",IF(AND(OR($T397="Issued",$T397="Disputed"),$S397&gt;0.005),IF($V397&lt;=0,"Not yet due",IF($V397&lt;=30,"1 to 30 days",IF($V397&lt;=60,"31 to 60 days",IF($V397&lt;=90,"61 to 90 days","Over 90 days")))),""))</f>
        <v/>
      </c>
      <c r="X397" s="26"/>
      <c r="Y397" s="29"/>
      <c r="Z397" s="28"/>
      <c r="AA397" s="28"/>
    </row>
    <row r="398" customFormat="false" ht="15" hidden="false" customHeight="false" outlineLevel="0" collapsed="false">
      <c r="A398" s="26"/>
      <c r="B398" s="26"/>
      <c r="C398" s="27" t="str">
        <f aca="false">IF($B398="","",IFERROR(INDEX(Clients!$B$6:$B$105,MATCH($B398,Clients!$A$6:$A$105,0)),"Client not found"))</f>
        <v/>
      </c>
      <c r="D398" s="26"/>
      <c r="E398" s="26"/>
      <c r="F398" s="26"/>
      <c r="G398" s="26"/>
      <c r="H398" s="28"/>
      <c r="I398" s="29"/>
      <c r="J398" s="30" t="str">
        <f aca="false">IF($A398="","",IFERROR(IF(N(INDEX(Clients!$E$6:$E$105,MATCH($B398,Clients!$A$6:$A$105,0)))&gt;0,INDEX(Clients!$E$6:$E$105,MATCH($B398,Clients!$A$6:$A$105,0)),Dashboard!$B$6),Dashboard!$B$6))</f>
        <v/>
      </c>
      <c r="K398" s="31" t="str">
        <f aca="false">IF(OR($A398="",$I398=""),"",$I398+$J398)</f>
        <v/>
      </c>
      <c r="L398" s="26"/>
      <c r="M398" s="32"/>
      <c r="N398" s="33"/>
      <c r="O398" s="34" t="str">
        <f aca="false">IF($A398="","",N($M398)*N($N398))</f>
        <v/>
      </c>
      <c r="P398" s="34" t="str">
        <f aca="false">IF($A398="","",N($M398)+$O398)</f>
        <v/>
      </c>
      <c r="Q398" s="34" t="str">
        <f aca="false">IF($A398="","",SUMIFS('Credit Notes'!$F$6:$F$205,'Credit Notes'!$B$6:$B$205,$A398,'Credit Notes'!$H$6:$H$205,"Issued"))</f>
        <v/>
      </c>
      <c r="R398" s="34" t="str">
        <f aca="false">IF($A398="","",SUMIFS(Payments!$I$6:$I$505,Payments!$C$6:$C$505,$A398))</f>
        <v/>
      </c>
      <c r="S398" s="34" t="str">
        <f aca="false">IF($A398="","",IF($T398="Void",0,$P398-$Q398-$R398))</f>
        <v/>
      </c>
      <c r="T398" s="26"/>
      <c r="U398" s="35" t="str">
        <f aca="false">IF($A398="","",IF($T398="Void","Void",IF(OR($T398="",$T398="Draft"),"Draft",IF($T398="Disputed","Disputed",IF($S398&lt;-0.005,"Overpaid",IF($S398&lt;=0.005,"Paid",IF($R398+$Q398&gt;0.005,IF($V398&gt;0,"Part-paid, overdue","Part-paid"),IF($V398&gt;0,"Overdue","Outstanding"))))))))</f>
        <v/>
      </c>
      <c r="V398" s="36" t="str">
        <f aca="true">IF($A398="","",IF(AND(OR($T398="Issued",$T398="Disputed"),$S398&gt;0.005,$K398&lt;&gt;"",$K398&lt;TODAY()),TODAY()-$K398,0))</f>
        <v/>
      </c>
      <c r="W398" s="35" t="str">
        <f aca="false">IF($A398="","",IF(AND(OR($T398="Issued",$T398="Disputed"),$S398&gt;0.005),IF($V398&lt;=0,"Not yet due",IF($V398&lt;=30,"1 to 30 days",IF($V398&lt;=60,"31 to 60 days",IF($V398&lt;=90,"61 to 90 days","Over 90 days")))),""))</f>
        <v/>
      </c>
      <c r="X398" s="26"/>
      <c r="Y398" s="29"/>
      <c r="Z398" s="28"/>
      <c r="AA398" s="28"/>
    </row>
    <row r="399" customFormat="false" ht="15" hidden="false" customHeight="false" outlineLevel="0" collapsed="false">
      <c r="A399" s="26"/>
      <c r="B399" s="26"/>
      <c r="C399" s="27" t="str">
        <f aca="false">IF($B399="","",IFERROR(INDEX(Clients!$B$6:$B$105,MATCH($B399,Clients!$A$6:$A$105,0)),"Client not found"))</f>
        <v/>
      </c>
      <c r="D399" s="26"/>
      <c r="E399" s="26"/>
      <c r="F399" s="26"/>
      <c r="G399" s="26"/>
      <c r="H399" s="28"/>
      <c r="I399" s="29"/>
      <c r="J399" s="30" t="str">
        <f aca="false">IF($A399="","",IFERROR(IF(N(INDEX(Clients!$E$6:$E$105,MATCH($B399,Clients!$A$6:$A$105,0)))&gt;0,INDEX(Clients!$E$6:$E$105,MATCH($B399,Clients!$A$6:$A$105,0)),Dashboard!$B$6),Dashboard!$B$6))</f>
        <v/>
      </c>
      <c r="K399" s="31" t="str">
        <f aca="false">IF(OR($A399="",$I399=""),"",$I399+$J399)</f>
        <v/>
      </c>
      <c r="L399" s="26"/>
      <c r="M399" s="32"/>
      <c r="N399" s="33"/>
      <c r="O399" s="34" t="str">
        <f aca="false">IF($A399="","",N($M399)*N($N399))</f>
        <v/>
      </c>
      <c r="P399" s="34" t="str">
        <f aca="false">IF($A399="","",N($M399)+$O399)</f>
        <v/>
      </c>
      <c r="Q399" s="34" t="str">
        <f aca="false">IF($A399="","",SUMIFS('Credit Notes'!$F$6:$F$205,'Credit Notes'!$B$6:$B$205,$A399,'Credit Notes'!$H$6:$H$205,"Issued"))</f>
        <v/>
      </c>
      <c r="R399" s="34" t="str">
        <f aca="false">IF($A399="","",SUMIFS(Payments!$I$6:$I$505,Payments!$C$6:$C$505,$A399))</f>
        <v/>
      </c>
      <c r="S399" s="34" t="str">
        <f aca="false">IF($A399="","",IF($T399="Void",0,$P399-$Q399-$R399))</f>
        <v/>
      </c>
      <c r="T399" s="26"/>
      <c r="U399" s="35" t="str">
        <f aca="false">IF($A399="","",IF($T399="Void","Void",IF(OR($T399="",$T399="Draft"),"Draft",IF($T399="Disputed","Disputed",IF($S399&lt;-0.005,"Overpaid",IF($S399&lt;=0.005,"Paid",IF($R399+$Q399&gt;0.005,IF($V399&gt;0,"Part-paid, overdue","Part-paid"),IF($V399&gt;0,"Overdue","Outstanding"))))))))</f>
        <v/>
      </c>
      <c r="V399" s="36" t="str">
        <f aca="true">IF($A399="","",IF(AND(OR($T399="Issued",$T399="Disputed"),$S399&gt;0.005,$K399&lt;&gt;"",$K399&lt;TODAY()),TODAY()-$K399,0))</f>
        <v/>
      </c>
      <c r="W399" s="35" t="str">
        <f aca="false">IF($A399="","",IF(AND(OR($T399="Issued",$T399="Disputed"),$S399&gt;0.005),IF($V399&lt;=0,"Not yet due",IF($V399&lt;=30,"1 to 30 days",IF($V399&lt;=60,"31 to 60 days",IF($V399&lt;=90,"61 to 90 days","Over 90 days")))),""))</f>
        <v/>
      </c>
      <c r="X399" s="26"/>
      <c r="Y399" s="29"/>
      <c r="Z399" s="28"/>
      <c r="AA399" s="28"/>
    </row>
    <row r="400" customFormat="false" ht="15" hidden="false" customHeight="false" outlineLevel="0" collapsed="false">
      <c r="A400" s="26"/>
      <c r="B400" s="26"/>
      <c r="C400" s="27" t="str">
        <f aca="false">IF($B400="","",IFERROR(INDEX(Clients!$B$6:$B$105,MATCH($B400,Clients!$A$6:$A$105,0)),"Client not found"))</f>
        <v/>
      </c>
      <c r="D400" s="26"/>
      <c r="E400" s="26"/>
      <c r="F400" s="26"/>
      <c r="G400" s="26"/>
      <c r="H400" s="28"/>
      <c r="I400" s="29"/>
      <c r="J400" s="30" t="str">
        <f aca="false">IF($A400="","",IFERROR(IF(N(INDEX(Clients!$E$6:$E$105,MATCH($B400,Clients!$A$6:$A$105,0)))&gt;0,INDEX(Clients!$E$6:$E$105,MATCH($B400,Clients!$A$6:$A$105,0)),Dashboard!$B$6),Dashboard!$B$6))</f>
        <v/>
      </c>
      <c r="K400" s="31" t="str">
        <f aca="false">IF(OR($A400="",$I400=""),"",$I400+$J400)</f>
        <v/>
      </c>
      <c r="L400" s="26"/>
      <c r="M400" s="32"/>
      <c r="N400" s="33"/>
      <c r="O400" s="34" t="str">
        <f aca="false">IF($A400="","",N($M400)*N($N400))</f>
        <v/>
      </c>
      <c r="P400" s="34" t="str">
        <f aca="false">IF($A400="","",N($M400)+$O400)</f>
        <v/>
      </c>
      <c r="Q400" s="34" t="str">
        <f aca="false">IF($A400="","",SUMIFS('Credit Notes'!$F$6:$F$205,'Credit Notes'!$B$6:$B$205,$A400,'Credit Notes'!$H$6:$H$205,"Issued"))</f>
        <v/>
      </c>
      <c r="R400" s="34" t="str">
        <f aca="false">IF($A400="","",SUMIFS(Payments!$I$6:$I$505,Payments!$C$6:$C$505,$A400))</f>
        <v/>
      </c>
      <c r="S400" s="34" t="str">
        <f aca="false">IF($A400="","",IF($T400="Void",0,$P400-$Q400-$R400))</f>
        <v/>
      </c>
      <c r="T400" s="26"/>
      <c r="U400" s="35" t="str">
        <f aca="false">IF($A400="","",IF($T400="Void","Void",IF(OR($T400="",$T400="Draft"),"Draft",IF($T400="Disputed","Disputed",IF($S400&lt;-0.005,"Overpaid",IF($S400&lt;=0.005,"Paid",IF($R400+$Q400&gt;0.005,IF($V400&gt;0,"Part-paid, overdue","Part-paid"),IF($V400&gt;0,"Overdue","Outstanding"))))))))</f>
        <v/>
      </c>
      <c r="V400" s="36" t="str">
        <f aca="true">IF($A400="","",IF(AND(OR($T400="Issued",$T400="Disputed"),$S400&gt;0.005,$K400&lt;&gt;"",$K400&lt;TODAY()),TODAY()-$K400,0))</f>
        <v/>
      </c>
      <c r="W400" s="35" t="str">
        <f aca="false">IF($A400="","",IF(AND(OR($T400="Issued",$T400="Disputed"),$S400&gt;0.005),IF($V400&lt;=0,"Not yet due",IF($V400&lt;=30,"1 to 30 days",IF($V400&lt;=60,"31 to 60 days",IF($V400&lt;=90,"61 to 90 days","Over 90 days")))),""))</f>
        <v/>
      </c>
      <c r="X400" s="26"/>
      <c r="Y400" s="29"/>
      <c r="Z400" s="28"/>
      <c r="AA400" s="28"/>
    </row>
    <row r="401" customFormat="false" ht="15" hidden="false" customHeight="false" outlineLevel="0" collapsed="false">
      <c r="A401" s="26"/>
      <c r="B401" s="26"/>
      <c r="C401" s="27" t="str">
        <f aca="false">IF($B401="","",IFERROR(INDEX(Clients!$B$6:$B$105,MATCH($B401,Clients!$A$6:$A$105,0)),"Client not found"))</f>
        <v/>
      </c>
      <c r="D401" s="26"/>
      <c r="E401" s="26"/>
      <c r="F401" s="26"/>
      <c r="G401" s="26"/>
      <c r="H401" s="28"/>
      <c r="I401" s="29"/>
      <c r="J401" s="30" t="str">
        <f aca="false">IF($A401="","",IFERROR(IF(N(INDEX(Clients!$E$6:$E$105,MATCH($B401,Clients!$A$6:$A$105,0)))&gt;0,INDEX(Clients!$E$6:$E$105,MATCH($B401,Clients!$A$6:$A$105,0)),Dashboard!$B$6),Dashboard!$B$6))</f>
        <v/>
      </c>
      <c r="K401" s="31" t="str">
        <f aca="false">IF(OR($A401="",$I401=""),"",$I401+$J401)</f>
        <v/>
      </c>
      <c r="L401" s="26"/>
      <c r="M401" s="32"/>
      <c r="N401" s="33"/>
      <c r="O401" s="34" t="str">
        <f aca="false">IF($A401="","",N($M401)*N($N401))</f>
        <v/>
      </c>
      <c r="P401" s="34" t="str">
        <f aca="false">IF($A401="","",N($M401)+$O401)</f>
        <v/>
      </c>
      <c r="Q401" s="34" t="str">
        <f aca="false">IF($A401="","",SUMIFS('Credit Notes'!$F$6:$F$205,'Credit Notes'!$B$6:$B$205,$A401,'Credit Notes'!$H$6:$H$205,"Issued"))</f>
        <v/>
      </c>
      <c r="R401" s="34" t="str">
        <f aca="false">IF($A401="","",SUMIFS(Payments!$I$6:$I$505,Payments!$C$6:$C$505,$A401))</f>
        <v/>
      </c>
      <c r="S401" s="34" t="str">
        <f aca="false">IF($A401="","",IF($T401="Void",0,$P401-$Q401-$R401))</f>
        <v/>
      </c>
      <c r="T401" s="26"/>
      <c r="U401" s="35" t="str">
        <f aca="false">IF($A401="","",IF($T401="Void","Void",IF(OR($T401="",$T401="Draft"),"Draft",IF($T401="Disputed","Disputed",IF($S401&lt;-0.005,"Overpaid",IF($S401&lt;=0.005,"Paid",IF($R401+$Q401&gt;0.005,IF($V401&gt;0,"Part-paid, overdue","Part-paid"),IF($V401&gt;0,"Overdue","Outstanding"))))))))</f>
        <v/>
      </c>
      <c r="V401" s="36" t="str">
        <f aca="true">IF($A401="","",IF(AND(OR($T401="Issued",$T401="Disputed"),$S401&gt;0.005,$K401&lt;&gt;"",$K401&lt;TODAY()),TODAY()-$K401,0))</f>
        <v/>
      </c>
      <c r="W401" s="35" t="str">
        <f aca="false">IF($A401="","",IF(AND(OR($T401="Issued",$T401="Disputed"),$S401&gt;0.005),IF($V401&lt;=0,"Not yet due",IF($V401&lt;=30,"1 to 30 days",IF($V401&lt;=60,"31 to 60 days",IF($V401&lt;=90,"61 to 90 days","Over 90 days")))),""))</f>
        <v/>
      </c>
      <c r="X401" s="26"/>
      <c r="Y401" s="29"/>
      <c r="Z401" s="28"/>
      <c r="AA401" s="28"/>
    </row>
    <row r="402" customFormat="false" ht="15" hidden="false" customHeight="false" outlineLevel="0" collapsed="false">
      <c r="A402" s="26"/>
      <c r="B402" s="26"/>
      <c r="C402" s="27" t="str">
        <f aca="false">IF($B402="","",IFERROR(INDEX(Clients!$B$6:$B$105,MATCH($B402,Clients!$A$6:$A$105,0)),"Client not found"))</f>
        <v/>
      </c>
      <c r="D402" s="26"/>
      <c r="E402" s="26"/>
      <c r="F402" s="26"/>
      <c r="G402" s="26"/>
      <c r="H402" s="28"/>
      <c r="I402" s="29"/>
      <c r="J402" s="30" t="str">
        <f aca="false">IF($A402="","",IFERROR(IF(N(INDEX(Clients!$E$6:$E$105,MATCH($B402,Clients!$A$6:$A$105,0)))&gt;0,INDEX(Clients!$E$6:$E$105,MATCH($B402,Clients!$A$6:$A$105,0)),Dashboard!$B$6),Dashboard!$B$6))</f>
        <v/>
      </c>
      <c r="K402" s="31" t="str">
        <f aca="false">IF(OR($A402="",$I402=""),"",$I402+$J402)</f>
        <v/>
      </c>
      <c r="L402" s="26"/>
      <c r="M402" s="32"/>
      <c r="N402" s="33"/>
      <c r="O402" s="34" t="str">
        <f aca="false">IF($A402="","",N($M402)*N($N402))</f>
        <v/>
      </c>
      <c r="P402" s="34" t="str">
        <f aca="false">IF($A402="","",N($M402)+$O402)</f>
        <v/>
      </c>
      <c r="Q402" s="34" t="str">
        <f aca="false">IF($A402="","",SUMIFS('Credit Notes'!$F$6:$F$205,'Credit Notes'!$B$6:$B$205,$A402,'Credit Notes'!$H$6:$H$205,"Issued"))</f>
        <v/>
      </c>
      <c r="R402" s="34" t="str">
        <f aca="false">IF($A402="","",SUMIFS(Payments!$I$6:$I$505,Payments!$C$6:$C$505,$A402))</f>
        <v/>
      </c>
      <c r="S402" s="34" t="str">
        <f aca="false">IF($A402="","",IF($T402="Void",0,$P402-$Q402-$R402))</f>
        <v/>
      </c>
      <c r="T402" s="26"/>
      <c r="U402" s="35" t="str">
        <f aca="false">IF($A402="","",IF($T402="Void","Void",IF(OR($T402="",$T402="Draft"),"Draft",IF($T402="Disputed","Disputed",IF($S402&lt;-0.005,"Overpaid",IF($S402&lt;=0.005,"Paid",IF($R402+$Q402&gt;0.005,IF($V402&gt;0,"Part-paid, overdue","Part-paid"),IF($V402&gt;0,"Overdue","Outstanding"))))))))</f>
        <v/>
      </c>
      <c r="V402" s="36" t="str">
        <f aca="true">IF($A402="","",IF(AND(OR($T402="Issued",$T402="Disputed"),$S402&gt;0.005,$K402&lt;&gt;"",$K402&lt;TODAY()),TODAY()-$K402,0))</f>
        <v/>
      </c>
      <c r="W402" s="35" t="str">
        <f aca="false">IF($A402="","",IF(AND(OR($T402="Issued",$T402="Disputed"),$S402&gt;0.005),IF($V402&lt;=0,"Not yet due",IF($V402&lt;=30,"1 to 30 days",IF($V402&lt;=60,"31 to 60 days",IF($V402&lt;=90,"61 to 90 days","Over 90 days")))),""))</f>
        <v/>
      </c>
      <c r="X402" s="26"/>
      <c r="Y402" s="29"/>
      <c r="Z402" s="28"/>
      <c r="AA402" s="28"/>
    </row>
    <row r="403" customFormat="false" ht="15" hidden="false" customHeight="false" outlineLevel="0" collapsed="false">
      <c r="A403" s="26"/>
      <c r="B403" s="26"/>
      <c r="C403" s="27" t="str">
        <f aca="false">IF($B403="","",IFERROR(INDEX(Clients!$B$6:$B$105,MATCH($B403,Clients!$A$6:$A$105,0)),"Client not found"))</f>
        <v/>
      </c>
      <c r="D403" s="26"/>
      <c r="E403" s="26"/>
      <c r="F403" s="26"/>
      <c r="G403" s="26"/>
      <c r="H403" s="28"/>
      <c r="I403" s="29"/>
      <c r="J403" s="30" t="str">
        <f aca="false">IF($A403="","",IFERROR(IF(N(INDEX(Clients!$E$6:$E$105,MATCH($B403,Clients!$A$6:$A$105,0)))&gt;0,INDEX(Clients!$E$6:$E$105,MATCH($B403,Clients!$A$6:$A$105,0)),Dashboard!$B$6),Dashboard!$B$6))</f>
        <v/>
      </c>
      <c r="K403" s="31" t="str">
        <f aca="false">IF(OR($A403="",$I403=""),"",$I403+$J403)</f>
        <v/>
      </c>
      <c r="L403" s="26"/>
      <c r="M403" s="32"/>
      <c r="N403" s="33"/>
      <c r="O403" s="34" t="str">
        <f aca="false">IF($A403="","",N($M403)*N($N403))</f>
        <v/>
      </c>
      <c r="P403" s="34" t="str">
        <f aca="false">IF($A403="","",N($M403)+$O403)</f>
        <v/>
      </c>
      <c r="Q403" s="34" t="str">
        <f aca="false">IF($A403="","",SUMIFS('Credit Notes'!$F$6:$F$205,'Credit Notes'!$B$6:$B$205,$A403,'Credit Notes'!$H$6:$H$205,"Issued"))</f>
        <v/>
      </c>
      <c r="R403" s="34" t="str">
        <f aca="false">IF($A403="","",SUMIFS(Payments!$I$6:$I$505,Payments!$C$6:$C$505,$A403))</f>
        <v/>
      </c>
      <c r="S403" s="34" t="str">
        <f aca="false">IF($A403="","",IF($T403="Void",0,$P403-$Q403-$R403))</f>
        <v/>
      </c>
      <c r="T403" s="26"/>
      <c r="U403" s="35" t="str">
        <f aca="false">IF($A403="","",IF($T403="Void","Void",IF(OR($T403="",$T403="Draft"),"Draft",IF($T403="Disputed","Disputed",IF($S403&lt;-0.005,"Overpaid",IF($S403&lt;=0.005,"Paid",IF($R403+$Q403&gt;0.005,IF($V403&gt;0,"Part-paid, overdue","Part-paid"),IF($V403&gt;0,"Overdue","Outstanding"))))))))</f>
        <v/>
      </c>
      <c r="V403" s="36" t="str">
        <f aca="true">IF($A403="","",IF(AND(OR($T403="Issued",$T403="Disputed"),$S403&gt;0.005,$K403&lt;&gt;"",$K403&lt;TODAY()),TODAY()-$K403,0))</f>
        <v/>
      </c>
      <c r="W403" s="35" t="str">
        <f aca="false">IF($A403="","",IF(AND(OR($T403="Issued",$T403="Disputed"),$S403&gt;0.005),IF($V403&lt;=0,"Not yet due",IF($V403&lt;=30,"1 to 30 days",IF($V403&lt;=60,"31 to 60 days",IF($V403&lt;=90,"61 to 90 days","Over 90 days")))),""))</f>
        <v/>
      </c>
      <c r="X403" s="26"/>
      <c r="Y403" s="29"/>
      <c r="Z403" s="28"/>
      <c r="AA403" s="28"/>
    </row>
    <row r="404" customFormat="false" ht="15" hidden="false" customHeight="false" outlineLevel="0" collapsed="false">
      <c r="A404" s="26"/>
      <c r="B404" s="26"/>
      <c r="C404" s="27" t="str">
        <f aca="false">IF($B404="","",IFERROR(INDEX(Clients!$B$6:$B$105,MATCH($B404,Clients!$A$6:$A$105,0)),"Client not found"))</f>
        <v/>
      </c>
      <c r="D404" s="26"/>
      <c r="E404" s="26"/>
      <c r="F404" s="26"/>
      <c r="G404" s="26"/>
      <c r="H404" s="28"/>
      <c r="I404" s="29"/>
      <c r="J404" s="30" t="str">
        <f aca="false">IF($A404="","",IFERROR(IF(N(INDEX(Clients!$E$6:$E$105,MATCH($B404,Clients!$A$6:$A$105,0)))&gt;0,INDEX(Clients!$E$6:$E$105,MATCH($B404,Clients!$A$6:$A$105,0)),Dashboard!$B$6),Dashboard!$B$6))</f>
        <v/>
      </c>
      <c r="K404" s="31" t="str">
        <f aca="false">IF(OR($A404="",$I404=""),"",$I404+$J404)</f>
        <v/>
      </c>
      <c r="L404" s="26"/>
      <c r="M404" s="32"/>
      <c r="N404" s="33"/>
      <c r="O404" s="34" t="str">
        <f aca="false">IF($A404="","",N($M404)*N($N404))</f>
        <v/>
      </c>
      <c r="P404" s="34" t="str">
        <f aca="false">IF($A404="","",N($M404)+$O404)</f>
        <v/>
      </c>
      <c r="Q404" s="34" t="str">
        <f aca="false">IF($A404="","",SUMIFS('Credit Notes'!$F$6:$F$205,'Credit Notes'!$B$6:$B$205,$A404,'Credit Notes'!$H$6:$H$205,"Issued"))</f>
        <v/>
      </c>
      <c r="R404" s="34" t="str">
        <f aca="false">IF($A404="","",SUMIFS(Payments!$I$6:$I$505,Payments!$C$6:$C$505,$A404))</f>
        <v/>
      </c>
      <c r="S404" s="34" t="str">
        <f aca="false">IF($A404="","",IF($T404="Void",0,$P404-$Q404-$R404))</f>
        <v/>
      </c>
      <c r="T404" s="26"/>
      <c r="U404" s="35" t="str">
        <f aca="false">IF($A404="","",IF($T404="Void","Void",IF(OR($T404="",$T404="Draft"),"Draft",IF($T404="Disputed","Disputed",IF($S404&lt;-0.005,"Overpaid",IF($S404&lt;=0.005,"Paid",IF($R404+$Q404&gt;0.005,IF($V404&gt;0,"Part-paid, overdue","Part-paid"),IF($V404&gt;0,"Overdue","Outstanding"))))))))</f>
        <v/>
      </c>
      <c r="V404" s="36" t="str">
        <f aca="true">IF($A404="","",IF(AND(OR($T404="Issued",$T404="Disputed"),$S404&gt;0.005,$K404&lt;&gt;"",$K404&lt;TODAY()),TODAY()-$K404,0))</f>
        <v/>
      </c>
      <c r="W404" s="35" t="str">
        <f aca="false">IF($A404="","",IF(AND(OR($T404="Issued",$T404="Disputed"),$S404&gt;0.005),IF($V404&lt;=0,"Not yet due",IF($V404&lt;=30,"1 to 30 days",IF($V404&lt;=60,"31 to 60 days",IF($V404&lt;=90,"61 to 90 days","Over 90 days")))),""))</f>
        <v/>
      </c>
      <c r="X404" s="26"/>
      <c r="Y404" s="29"/>
      <c r="Z404" s="28"/>
      <c r="AA404" s="28"/>
    </row>
    <row r="405" customFormat="false" ht="15" hidden="false" customHeight="false" outlineLevel="0" collapsed="false">
      <c r="A405" s="26"/>
      <c r="B405" s="26"/>
      <c r="C405" s="27" t="str">
        <f aca="false">IF($B405="","",IFERROR(INDEX(Clients!$B$6:$B$105,MATCH($B405,Clients!$A$6:$A$105,0)),"Client not found"))</f>
        <v/>
      </c>
      <c r="D405" s="26"/>
      <c r="E405" s="26"/>
      <c r="F405" s="26"/>
      <c r="G405" s="26"/>
      <c r="H405" s="28"/>
      <c r="I405" s="29"/>
      <c r="J405" s="30" t="str">
        <f aca="false">IF($A405="","",IFERROR(IF(N(INDEX(Clients!$E$6:$E$105,MATCH($B405,Clients!$A$6:$A$105,0)))&gt;0,INDEX(Clients!$E$6:$E$105,MATCH($B405,Clients!$A$6:$A$105,0)),Dashboard!$B$6),Dashboard!$B$6))</f>
        <v/>
      </c>
      <c r="K405" s="31" t="str">
        <f aca="false">IF(OR($A405="",$I405=""),"",$I405+$J405)</f>
        <v/>
      </c>
      <c r="L405" s="26"/>
      <c r="M405" s="32"/>
      <c r="N405" s="33"/>
      <c r="O405" s="34" t="str">
        <f aca="false">IF($A405="","",N($M405)*N($N405))</f>
        <v/>
      </c>
      <c r="P405" s="34" t="str">
        <f aca="false">IF($A405="","",N($M405)+$O405)</f>
        <v/>
      </c>
      <c r="Q405" s="34" t="str">
        <f aca="false">IF($A405="","",SUMIFS('Credit Notes'!$F$6:$F$205,'Credit Notes'!$B$6:$B$205,$A405,'Credit Notes'!$H$6:$H$205,"Issued"))</f>
        <v/>
      </c>
      <c r="R405" s="34" t="str">
        <f aca="false">IF($A405="","",SUMIFS(Payments!$I$6:$I$505,Payments!$C$6:$C$505,$A405))</f>
        <v/>
      </c>
      <c r="S405" s="34" t="str">
        <f aca="false">IF($A405="","",IF($T405="Void",0,$P405-$Q405-$R405))</f>
        <v/>
      </c>
      <c r="T405" s="26"/>
      <c r="U405" s="35" t="str">
        <f aca="false">IF($A405="","",IF($T405="Void","Void",IF(OR($T405="",$T405="Draft"),"Draft",IF($T405="Disputed","Disputed",IF($S405&lt;-0.005,"Overpaid",IF($S405&lt;=0.005,"Paid",IF($R405+$Q405&gt;0.005,IF($V405&gt;0,"Part-paid, overdue","Part-paid"),IF($V405&gt;0,"Overdue","Outstanding"))))))))</f>
        <v/>
      </c>
      <c r="V405" s="36" t="str">
        <f aca="true">IF($A405="","",IF(AND(OR($T405="Issued",$T405="Disputed"),$S405&gt;0.005,$K405&lt;&gt;"",$K405&lt;TODAY()),TODAY()-$K405,0))</f>
        <v/>
      </c>
      <c r="W405" s="35" t="str">
        <f aca="false">IF($A405="","",IF(AND(OR($T405="Issued",$T405="Disputed"),$S405&gt;0.005),IF($V405&lt;=0,"Not yet due",IF($V405&lt;=30,"1 to 30 days",IF($V405&lt;=60,"31 to 60 days",IF($V405&lt;=90,"61 to 90 days","Over 90 days")))),""))</f>
        <v/>
      </c>
      <c r="X405" s="26"/>
      <c r="Y405" s="29"/>
      <c r="Z405" s="28"/>
      <c r="AA405" s="28"/>
    </row>
    <row r="406" customFormat="false" ht="15" hidden="false" customHeight="false" outlineLevel="0" collapsed="false">
      <c r="A406" s="26"/>
      <c r="B406" s="26"/>
      <c r="C406" s="27" t="str">
        <f aca="false">IF($B406="","",IFERROR(INDEX(Clients!$B$6:$B$105,MATCH($B406,Clients!$A$6:$A$105,0)),"Client not found"))</f>
        <v/>
      </c>
      <c r="D406" s="26"/>
      <c r="E406" s="26"/>
      <c r="F406" s="26"/>
      <c r="G406" s="26"/>
      <c r="H406" s="28"/>
      <c r="I406" s="29"/>
      <c r="J406" s="30" t="str">
        <f aca="false">IF($A406="","",IFERROR(IF(N(INDEX(Clients!$E$6:$E$105,MATCH($B406,Clients!$A$6:$A$105,0)))&gt;0,INDEX(Clients!$E$6:$E$105,MATCH($B406,Clients!$A$6:$A$105,0)),Dashboard!$B$6),Dashboard!$B$6))</f>
        <v/>
      </c>
      <c r="K406" s="31" t="str">
        <f aca="false">IF(OR($A406="",$I406=""),"",$I406+$J406)</f>
        <v/>
      </c>
      <c r="L406" s="26"/>
      <c r="M406" s="32"/>
      <c r="N406" s="33"/>
      <c r="O406" s="34" t="str">
        <f aca="false">IF($A406="","",N($M406)*N($N406))</f>
        <v/>
      </c>
      <c r="P406" s="34" t="str">
        <f aca="false">IF($A406="","",N($M406)+$O406)</f>
        <v/>
      </c>
      <c r="Q406" s="34" t="str">
        <f aca="false">IF($A406="","",SUMIFS('Credit Notes'!$F$6:$F$205,'Credit Notes'!$B$6:$B$205,$A406,'Credit Notes'!$H$6:$H$205,"Issued"))</f>
        <v/>
      </c>
      <c r="R406" s="34" t="str">
        <f aca="false">IF($A406="","",SUMIFS(Payments!$I$6:$I$505,Payments!$C$6:$C$505,$A406))</f>
        <v/>
      </c>
      <c r="S406" s="34" t="str">
        <f aca="false">IF($A406="","",IF($T406="Void",0,$P406-$Q406-$R406))</f>
        <v/>
      </c>
      <c r="T406" s="26"/>
      <c r="U406" s="35" t="str">
        <f aca="false">IF($A406="","",IF($T406="Void","Void",IF(OR($T406="",$T406="Draft"),"Draft",IF($T406="Disputed","Disputed",IF($S406&lt;-0.005,"Overpaid",IF($S406&lt;=0.005,"Paid",IF($R406+$Q406&gt;0.005,IF($V406&gt;0,"Part-paid, overdue","Part-paid"),IF($V406&gt;0,"Overdue","Outstanding"))))))))</f>
        <v/>
      </c>
      <c r="V406" s="36" t="str">
        <f aca="true">IF($A406="","",IF(AND(OR($T406="Issued",$T406="Disputed"),$S406&gt;0.005,$K406&lt;&gt;"",$K406&lt;TODAY()),TODAY()-$K406,0))</f>
        <v/>
      </c>
      <c r="W406" s="35" t="str">
        <f aca="false">IF($A406="","",IF(AND(OR($T406="Issued",$T406="Disputed"),$S406&gt;0.005),IF($V406&lt;=0,"Not yet due",IF($V406&lt;=30,"1 to 30 days",IF($V406&lt;=60,"31 to 60 days",IF($V406&lt;=90,"61 to 90 days","Over 90 days")))),""))</f>
        <v/>
      </c>
      <c r="X406" s="26"/>
      <c r="Y406" s="29"/>
      <c r="Z406" s="28"/>
      <c r="AA406" s="28"/>
    </row>
    <row r="407" customFormat="false" ht="15" hidden="false" customHeight="false" outlineLevel="0" collapsed="false">
      <c r="A407" s="26"/>
      <c r="B407" s="26"/>
      <c r="C407" s="27" t="str">
        <f aca="false">IF($B407="","",IFERROR(INDEX(Clients!$B$6:$B$105,MATCH($B407,Clients!$A$6:$A$105,0)),"Client not found"))</f>
        <v/>
      </c>
      <c r="D407" s="26"/>
      <c r="E407" s="26"/>
      <c r="F407" s="26"/>
      <c r="G407" s="26"/>
      <c r="H407" s="28"/>
      <c r="I407" s="29"/>
      <c r="J407" s="30" t="str">
        <f aca="false">IF($A407="","",IFERROR(IF(N(INDEX(Clients!$E$6:$E$105,MATCH($B407,Clients!$A$6:$A$105,0)))&gt;0,INDEX(Clients!$E$6:$E$105,MATCH($B407,Clients!$A$6:$A$105,0)),Dashboard!$B$6),Dashboard!$B$6))</f>
        <v/>
      </c>
      <c r="K407" s="31" t="str">
        <f aca="false">IF(OR($A407="",$I407=""),"",$I407+$J407)</f>
        <v/>
      </c>
      <c r="L407" s="26"/>
      <c r="M407" s="32"/>
      <c r="N407" s="33"/>
      <c r="O407" s="34" t="str">
        <f aca="false">IF($A407="","",N($M407)*N($N407))</f>
        <v/>
      </c>
      <c r="P407" s="34" t="str">
        <f aca="false">IF($A407="","",N($M407)+$O407)</f>
        <v/>
      </c>
      <c r="Q407" s="34" t="str">
        <f aca="false">IF($A407="","",SUMIFS('Credit Notes'!$F$6:$F$205,'Credit Notes'!$B$6:$B$205,$A407,'Credit Notes'!$H$6:$H$205,"Issued"))</f>
        <v/>
      </c>
      <c r="R407" s="34" t="str">
        <f aca="false">IF($A407="","",SUMIFS(Payments!$I$6:$I$505,Payments!$C$6:$C$505,$A407))</f>
        <v/>
      </c>
      <c r="S407" s="34" t="str">
        <f aca="false">IF($A407="","",IF($T407="Void",0,$P407-$Q407-$R407))</f>
        <v/>
      </c>
      <c r="T407" s="26"/>
      <c r="U407" s="35" t="str">
        <f aca="false">IF($A407="","",IF($T407="Void","Void",IF(OR($T407="",$T407="Draft"),"Draft",IF($T407="Disputed","Disputed",IF($S407&lt;-0.005,"Overpaid",IF($S407&lt;=0.005,"Paid",IF($R407+$Q407&gt;0.005,IF($V407&gt;0,"Part-paid, overdue","Part-paid"),IF($V407&gt;0,"Overdue","Outstanding"))))))))</f>
        <v/>
      </c>
      <c r="V407" s="36" t="str">
        <f aca="true">IF($A407="","",IF(AND(OR($T407="Issued",$T407="Disputed"),$S407&gt;0.005,$K407&lt;&gt;"",$K407&lt;TODAY()),TODAY()-$K407,0))</f>
        <v/>
      </c>
      <c r="W407" s="35" t="str">
        <f aca="false">IF($A407="","",IF(AND(OR($T407="Issued",$T407="Disputed"),$S407&gt;0.005),IF($V407&lt;=0,"Not yet due",IF($V407&lt;=30,"1 to 30 days",IF($V407&lt;=60,"31 to 60 days",IF($V407&lt;=90,"61 to 90 days","Over 90 days")))),""))</f>
        <v/>
      </c>
      <c r="X407" s="26"/>
      <c r="Y407" s="29"/>
      <c r="Z407" s="28"/>
      <c r="AA407" s="28"/>
    </row>
    <row r="408" customFormat="false" ht="15" hidden="false" customHeight="false" outlineLevel="0" collapsed="false">
      <c r="A408" s="26"/>
      <c r="B408" s="26"/>
      <c r="C408" s="27" t="str">
        <f aca="false">IF($B408="","",IFERROR(INDEX(Clients!$B$6:$B$105,MATCH($B408,Clients!$A$6:$A$105,0)),"Client not found"))</f>
        <v/>
      </c>
      <c r="D408" s="26"/>
      <c r="E408" s="26"/>
      <c r="F408" s="26"/>
      <c r="G408" s="26"/>
      <c r="H408" s="28"/>
      <c r="I408" s="29"/>
      <c r="J408" s="30" t="str">
        <f aca="false">IF($A408="","",IFERROR(IF(N(INDEX(Clients!$E$6:$E$105,MATCH($B408,Clients!$A$6:$A$105,0)))&gt;0,INDEX(Clients!$E$6:$E$105,MATCH($B408,Clients!$A$6:$A$105,0)),Dashboard!$B$6),Dashboard!$B$6))</f>
        <v/>
      </c>
      <c r="K408" s="31" t="str">
        <f aca="false">IF(OR($A408="",$I408=""),"",$I408+$J408)</f>
        <v/>
      </c>
      <c r="L408" s="26"/>
      <c r="M408" s="32"/>
      <c r="N408" s="33"/>
      <c r="O408" s="34" t="str">
        <f aca="false">IF($A408="","",N($M408)*N($N408))</f>
        <v/>
      </c>
      <c r="P408" s="34" t="str">
        <f aca="false">IF($A408="","",N($M408)+$O408)</f>
        <v/>
      </c>
      <c r="Q408" s="34" t="str">
        <f aca="false">IF($A408="","",SUMIFS('Credit Notes'!$F$6:$F$205,'Credit Notes'!$B$6:$B$205,$A408,'Credit Notes'!$H$6:$H$205,"Issued"))</f>
        <v/>
      </c>
      <c r="R408" s="34" t="str">
        <f aca="false">IF($A408="","",SUMIFS(Payments!$I$6:$I$505,Payments!$C$6:$C$505,$A408))</f>
        <v/>
      </c>
      <c r="S408" s="34" t="str">
        <f aca="false">IF($A408="","",IF($T408="Void",0,$P408-$Q408-$R408))</f>
        <v/>
      </c>
      <c r="T408" s="26"/>
      <c r="U408" s="35" t="str">
        <f aca="false">IF($A408="","",IF($T408="Void","Void",IF(OR($T408="",$T408="Draft"),"Draft",IF($T408="Disputed","Disputed",IF($S408&lt;-0.005,"Overpaid",IF($S408&lt;=0.005,"Paid",IF($R408+$Q408&gt;0.005,IF($V408&gt;0,"Part-paid, overdue","Part-paid"),IF($V408&gt;0,"Overdue","Outstanding"))))))))</f>
        <v/>
      </c>
      <c r="V408" s="36" t="str">
        <f aca="true">IF($A408="","",IF(AND(OR($T408="Issued",$T408="Disputed"),$S408&gt;0.005,$K408&lt;&gt;"",$K408&lt;TODAY()),TODAY()-$K408,0))</f>
        <v/>
      </c>
      <c r="W408" s="35" t="str">
        <f aca="false">IF($A408="","",IF(AND(OR($T408="Issued",$T408="Disputed"),$S408&gt;0.005),IF($V408&lt;=0,"Not yet due",IF($V408&lt;=30,"1 to 30 days",IF($V408&lt;=60,"31 to 60 days",IF($V408&lt;=90,"61 to 90 days","Over 90 days")))),""))</f>
        <v/>
      </c>
      <c r="X408" s="26"/>
      <c r="Y408" s="29"/>
      <c r="Z408" s="28"/>
      <c r="AA408" s="28"/>
    </row>
    <row r="409" customFormat="false" ht="15" hidden="false" customHeight="false" outlineLevel="0" collapsed="false">
      <c r="A409" s="26"/>
      <c r="B409" s="26"/>
      <c r="C409" s="27" t="str">
        <f aca="false">IF($B409="","",IFERROR(INDEX(Clients!$B$6:$B$105,MATCH($B409,Clients!$A$6:$A$105,0)),"Client not found"))</f>
        <v/>
      </c>
      <c r="D409" s="26"/>
      <c r="E409" s="26"/>
      <c r="F409" s="26"/>
      <c r="G409" s="26"/>
      <c r="H409" s="28"/>
      <c r="I409" s="29"/>
      <c r="J409" s="30" t="str">
        <f aca="false">IF($A409="","",IFERROR(IF(N(INDEX(Clients!$E$6:$E$105,MATCH($B409,Clients!$A$6:$A$105,0)))&gt;0,INDEX(Clients!$E$6:$E$105,MATCH($B409,Clients!$A$6:$A$105,0)),Dashboard!$B$6),Dashboard!$B$6))</f>
        <v/>
      </c>
      <c r="K409" s="31" t="str">
        <f aca="false">IF(OR($A409="",$I409=""),"",$I409+$J409)</f>
        <v/>
      </c>
      <c r="L409" s="26"/>
      <c r="M409" s="32"/>
      <c r="N409" s="33"/>
      <c r="O409" s="34" t="str">
        <f aca="false">IF($A409="","",N($M409)*N($N409))</f>
        <v/>
      </c>
      <c r="P409" s="34" t="str">
        <f aca="false">IF($A409="","",N($M409)+$O409)</f>
        <v/>
      </c>
      <c r="Q409" s="34" t="str">
        <f aca="false">IF($A409="","",SUMIFS('Credit Notes'!$F$6:$F$205,'Credit Notes'!$B$6:$B$205,$A409,'Credit Notes'!$H$6:$H$205,"Issued"))</f>
        <v/>
      </c>
      <c r="R409" s="34" t="str">
        <f aca="false">IF($A409="","",SUMIFS(Payments!$I$6:$I$505,Payments!$C$6:$C$505,$A409))</f>
        <v/>
      </c>
      <c r="S409" s="34" t="str">
        <f aca="false">IF($A409="","",IF($T409="Void",0,$P409-$Q409-$R409))</f>
        <v/>
      </c>
      <c r="T409" s="26"/>
      <c r="U409" s="35" t="str">
        <f aca="false">IF($A409="","",IF($T409="Void","Void",IF(OR($T409="",$T409="Draft"),"Draft",IF($T409="Disputed","Disputed",IF($S409&lt;-0.005,"Overpaid",IF($S409&lt;=0.005,"Paid",IF($R409+$Q409&gt;0.005,IF($V409&gt;0,"Part-paid, overdue","Part-paid"),IF($V409&gt;0,"Overdue","Outstanding"))))))))</f>
        <v/>
      </c>
      <c r="V409" s="36" t="str">
        <f aca="true">IF($A409="","",IF(AND(OR($T409="Issued",$T409="Disputed"),$S409&gt;0.005,$K409&lt;&gt;"",$K409&lt;TODAY()),TODAY()-$K409,0))</f>
        <v/>
      </c>
      <c r="W409" s="35" t="str">
        <f aca="false">IF($A409="","",IF(AND(OR($T409="Issued",$T409="Disputed"),$S409&gt;0.005),IF($V409&lt;=0,"Not yet due",IF($V409&lt;=30,"1 to 30 days",IF($V409&lt;=60,"31 to 60 days",IF($V409&lt;=90,"61 to 90 days","Over 90 days")))),""))</f>
        <v/>
      </c>
      <c r="X409" s="26"/>
      <c r="Y409" s="29"/>
      <c r="Z409" s="28"/>
      <c r="AA409" s="28"/>
    </row>
    <row r="410" customFormat="false" ht="15" hidden="false" customHeight="false" outlineLevel="0" collapsed="false">
      <c r="A410" s="26"/>
      <c r="B410" s="26"/>
      <c r="C410" s="27" t="str">
        <f aca="false">IF($B410="","",IFERROR(INDEX(Clients!$B$6:$B$105,MATCH($B410,Clients!$A$6:$A$105,0)),"Client not found"))</f>
        <v/>
      </c>
      <c r="D410" s="26"/>
      <c r="E410" s="26"/>
      <c r="F410" s="26"/>
      <c r="G410" s="26"/>
      <c r="H410" s="28"/>
      <c r="I410" s="29"/>
      <c r="J410" s="30" t="str">
        <f aca="false">IF($A410="","",IFERROR(IF(N(INDEX(Clients!$E$6:$E$105,MATCH($B410,Clients!$A$6:$A$105,0)))&gt;0,INDEX(Clients!$E$6:$E$105,MATCH($B410,Clients!$A$6:$A$105,0)),Dashboard!$B$6),Dashboard!$B$6))</f>
        <v/>
      </c>
      <c r="K410" s="31" t="str">
        <f aca="false">IF(OR($A410="",$I410=""),"",$I410+$J410)</f>
        <v/>
      </c>
      <c r="L410" s="26"/>
      <c r="M410" s="32"/>
      <c r="N410" s="33"/>
      <c r="O410" s="34" t="str">
        <f aca="false">IF($A410="","",N($M410)*N($N410))</f>
        <v/>
      </c>
      <c r="P410" s="34" t="str">
        <f aca="false">IF($A410="","",N($M410)+$O410)</f>
        <v/>
      </c>
      <c r="Q410" s="34" t="str">
        <f aca="false">IF($A410="","",SUMIFS('Credit Notes'!$F$6:$F$205,'Credit Notes'!$B$6:$B$205,$A410,'Credit Notes'!$H$6:$H$205,"Issued"))</f>
        <v/>
      </c>
      <c r="R410" s="34" t="str">
        <f aca="false">IF($A410="","",SUMIFS(Payments!$I$6:$I$505,Payments!$C$6:$C$505,$A410))</f>
        <v/>
      </c>
      <c r="S410" s="34" t="str">
        <f aca="false">IF($A410="","",IF($T410="Void",0,$P410-$Q410-$R410))</f>
        <v/>
      </c>
      <c r="T410" s="26"/>
      <c r="U410" s="35" t="str">
        <f aca="false">IF($A410="","",IF($T410="Void","Void",IF(OR($T410="",$T410="Draft"),"Draft",IF($T410="Disputed","Disputed",IF($S410&lt;-0.005,"Overpaid",IF($S410&lt;=0.005,"Paid",IF($R410+$Q410&gt;0.005,IF($V410&gt;0,"Part-paid, overdue","Part-paid"),IF($V410&gt;0,"Overdue","Outstanding"))))))))</f>
        <v/>
      </c>
      <c r="V410" s="36" t="str">
        <f aca="true">IF($A410="","",IF(AND(OR($T410="Issued",$T410="Disputed"),$S410&gt;0.005,$K410&lt;&gt;"",$K410&lt;TODAY()),TODAY()-$K410,0))</f>
        <v/>
      </c>
      <c r="W410" s="35" t="str">
        <f aca="false">IF($A410="","",IF(AND(OR($T410="Issued",$T410="Disputed"),$S410&gt;0.005),IF($V410&lt;=0,"Not yet due",IF($V410&lt;=30,"1 to 30 days",IF($V410&lt;=60,"31 to 60 days",IF($V410&lt;=90,"61 to 90 days","Over 90 days")))),""))</f>
        <v/>
      </c>
      <c r="X410" s="26"/>
      <c r="Y410" s="29"/>
      <c r="Z410" s="28"/>
      <c r="AA410" s="28"/>
    </row>
    <row r="411" customFormat="false" ht="15" hidden="false" customHeight="false" outlineLevel="0" collapsed="false">
      <c r="A411" s="26"/>
      <c r="B411" s="26"/>
      <c r="C411" s="27" t="str">
        <f aca="false">IF($B411="","",IFERROR(INDEX(Clients!$B$6:$B$105,MATCH($B411,Clients!$A$6:$A$105,0)),"Client not found"))</f>
        <v/>
      </c>
      <c r="D411" s="26"/>
      <c r="E411" s="26"/>
      <c r="F411" s="26"/>
      <c r="G411" s="26"/>
      <c r="H411" s="28"/>
      <c r="I411" s="29"/>
      <c r="J411" s="30" t="str">
        <f aca="false">IF($A411="","",IFERROR(IF(N(INDEX(Clients!$E$6:$E$105,MATCH($B411,Clients!$A$6:$A$105,0)))&gt;0,INDEX(Clients!$E$6:$E$105,MATCH($B411,Clients!$A$6:$A$105,0)),Dashboard!$B$6),Dashboard!$B$6))</f>
        <v/>
      </c>
      <c r="K411" s="31" t="str">
        <f aca="false">IF(OR($A411="",$I411=""),"",$I411+$J411)</f>
        <v/>
      </c>
      <c r="L411" s="26"/>
      <c r="M411" s="32"/>
      <c r="N411" s="33"/>
      <c r="O411" s="34" t="str">
        <f aca="false">IF($A411="","",N($M411)*N($N411))</f>
        <v/>
      </c>
      <c r="P411" s="34" t="str">
        <f aca="false">IF($A411="","",N($M411)+$O411)</f>
        <v/>
      </c>
      <c r="Q411" s="34" t="str">
        <f aca="false">IF($A411="","",SUMIFS('Credit Notes'!$F$6:$F$205,'Credit Notes'!$B$6:$B$205,$A411,'Credit Notes'!$H$6:$H$205,"Issued"))</f>
        <v/>
      </c>
      <c r="R411" s="34" t="str">
        <f aca="false">IF($A411="","",SUMIFS(Payments!$I$6:$I$505,Payments!$C$6:$C$505,$A411))</f>
        <v/>
      </c>
      <c r="S411" s="34" t="str">
        <f aca="false">IF($A411="","",IF($T411="Void",0,$P411-$Q411-$R411))</f>
        <v/>
      </c>
      <c r="T411" s="26"/>
      <c r="U411" s="35" t="str">
        <f aca="false">IF($A411="","",IF($T411="Void","Void",IF(OR($T411="",$T411="Draft"),"Draft",IF($T411="Disputed","Disputed",IF($S411&lt;-0.005,"Overpaid",IF($S411&lt;=0.005,"Paid",IF($R411+$Q411&gt;0.005,IF($V411&gt;0,"Part-paid, overdue","Part-paid"),IF($V411&gt;0,"Overdue","Outstanding"))))))))</f>
        <v/>
      </c>
      <c r="V411" s="36" t="str">
        <f aca="true">IF($A411="","",IF(AND(OR($T411="Issued",$T411="Disputed"),$S411&gt;0.005,$K411&lt;&gt;"",$K411&lt;TODAY()),TODAY()-$K411,0))</f>
        <v/>
      </c>
      <c r="W411" s="35" t="str">
        <f aca="false">IF($A411="","",IF(AND(OR($T411="Issued",$T411="Disputed"),$S411&gt;0.005),IF($V411&lt;=0,"Not yet due",IF($V411&lt;=30,"1 to 30 days",IF($V411&lt;=60,"31 to 60 days",IF($V411&lt;=90,"61 to 90 days","Over 90 days")))),""))</f>
        <v/>
      </c>
      <c r="X411" s="26"/>
      <c r="Y411" s="29"/>
      <c r="Z411" s="28"/>
      <c r="AA411" s="28"/>
    </row>
    <row r="412" customFormat="false" ht="15" hidden="false" customHeight="false" outlineLevel="0" collapsed="false">
      <c r="A412" s="26"/>
      <c r="B412" s="26"/>
      <c r="C412" s="27" t="str">
        <f aca="false">IF($B412="","",IFERROR(INDEX(Clients!$B$6:$B$105,MATCH($B412,Clients!$A$6:$A$105,0)),"Client not found"))</f>
        <v/>
      </c>
      <c r="D412" s="26"/>
      <c r="E412" s="26"/>
      <c r="F412" s="26"/>
      <c r="G412" s="26"/>
      <c r="H412" s="28"/>
      <c r="I412" s="29"/>
      <c r="J412" s="30" t="str">
        <f aca="false">IF($A412="","",IFERROR(IF(N(INDEX(Clients!$E$6:$E$105,MATCH($B412,Clients!$A$6:$A$105,0)))&gt;0,INDEX(Clients!$E$6:$E$105,MATCH($B412,Clients!$A$6:$A$105,0)),Dashboard!$B$6),Dashboard!$B$6))</f>
        <v/>
      </c>
      <c r="K412" s="31" t="str">
        <f aca="false">IF(OR($A412="",$I412=""),"",$I412+$J412)</f>
        <v/>
      </c>
      <c r="L412" s="26"/>
      <c r="M412" s="32"/>
      <c r="N412" s="33"/>
      <c r="O412" s="34" t="str">
        <f aca="false">IF($A412="","",N($M412)*N($N412))</f>
        <v/>
      </c>
      <c r="P412" s="34" t="str">
        <f aca="false">IF($A412="","",N($M412)+$O412)</f>
        <v/>
      </c>
      <c r="Q412" s="34" t="str">
        <f aca="false">IF($A412="","",SUMIFS('Credit Notes'!$F$6:$F$205,'Credit Notes'!$B$6:$B$205,$A412,'Credit Notes'!$H$6:$H$205,"Issued"))</f>
        <v/>
      </c>
      <c r="R412" s="34" t="str">
        <f aca="false">IF($A412="","",SUMIFS(Payments!$I$6:$I$505,Payments!$C$6:$C$505,$A412))</f>
        <v/>
      </c>
      <c r="S412" s="34" t="str">
        <f aca="false">IF($A412="","",IF($T412="Void",0,$P412-$Q412-$R412))</f>
        <v/>
      </c>
      <c r="T412" s="26"/>
      <c r="U412" s="35" t="str">
        <f aca="false">IF($A412="","",IF($T412="Void","Void",IF(OR($T412="",$T412="Draft"),"Draft",IF($T412="Disputed","Disputed",IF($S412&lt;-0.005,"Overpaid",IF($S412&lt;=0.005,"Paid",IF($R412+$Q412&gt;0.005,IF($V412&gt;0,"Part-paid, overdue","Part-paid"),IF($V412&gt;0,"Overdue","Outstanding"))))))))</f>
        <v/>
      </c>
      <c r="V412" s="36" t="str">
        <f aca="true">IF($A412="","",IF(AND(OR($T412="Issued",$T412="Disputed"),$S412&gt;0.005,$K412&lt;&gt;"",$K412&lt;TODAY()),TODAY()-$K412,0))</f>
        <v/>
      </c>
      <c r="W412" s="35" t="str">
        <f aca="false">IF($A412="","",IF(AND(OR($T412="Issued",$T412="Disputed"),$S412&gt;0.005),IF($V412&lt;=0,"Not yet due",IF($V412&lt;=30,"1 to 30 days",IF($V412&lt;=60,"31 to 60 days",IF($V412&lt;=90,"61 to 90 days","Over 90 days")))),""))</f>
        <v/>
      </c>
      <c r="X412" s="26"/>
      <c r="Y412" s="29"/>
      <c r="Z412" s="28"/>
      <c r="AA412" s="28"/>
    </row>
    <row r="413" customFormat="false" ht="15" hidden="false" customHeight="false" outlineLevel="0" collapsed="false">
      <c r="A413" s="26"/>
      <c r="B413" s="26"/>
      <c r="C413" s="27" t="str">
        <f aca="false">IF($B413="","",IFERROR(INDEX(Clients!$B$6:$B$105,MATCH($B413,Clients!$A$6:$A$105,0)),"Client not found"))</f>
        <v/>
      </c>
      <c r="D413" s="26"/>
      <c r="E413" s="26"/>
      <c r="F413" s="26"/>
      <c r="G413" s="26"/>
      <c r="H413" s="28"/>
      <c r="I413" s="29"/>
      <c r="J413" s="30" t="str">
        <f aca="false">IF($A413="","",IFERROR(IF(N(INDEX(Clients!$E$6:$E$105,MATCH($B413,Clients!$A$6:$A$105,0)))&gt;0,INDEX(Clients!$E$6:$E$105,MATCH($B413,Clients!$A$6:$A$105,0)),Dashboard!$B$6),Dashboard!$B$6))</f>
        <v/>
      </c>
      <c r="K413" s="31" t="str">
        <f aca="false">IF(OR($A413="",$I413=""),"",$I413+$J413)</f>
        <v/>
      </c>
      <c r="L413" s="26"/>
      <c r="M413" s="32"/>
      <c r="N413" s="33"/>
      <c r="O413" s="34" t="str">
        <f aca="false">IF($A413="","",N($M413)*N($N413))</f>
        <v/>
      </c>
      <c r="P413" s="34" t="str">
        <f aca="false">IF($A413="","",N($M413)+$O413)</f>
        <v/>
      </c>
      <c r="Q413" s="34" t="str">
        <f aca="false">IF($A413="","",SUMIFS('Credit Notes'!$F$6:$F$205,'Credit Notes'!$B$6:$B$205,$A413,'Credit Notes'!$H$6:$H$205,"Issued"))</f>
        <v/>
      </c>
      <c r="R413" s="34" t="str">
        <f aca="false">IF($A413="","",SUMIFS(Payments!$I$6:$I$505,Payments!$C$6:$C$505,$A413))</f>
        <v/>
      </c>
      <c r="S413" s="34" t="str">
        <f aca="false">IF($A413="","",IF($T413="Void",0,$P413-$Q413-$R413))</f>
        <v/>
      </c>
      <c r="T413" s="26"/>
      <c r="U413" s="35" t="str">
        <f aca="false">IF($A413="","",IF($T413="Void","Void",IF(OR($T413="",$T413="Draft"),"Draft",IF($T413="Disputed","Disputed",IF($S413&lt;-0.005,"Overpaid",IF($S413&lt;=0.005,"Paid",IF($R413+$Q413&gt;0.005,IF($V413&gt;0,"Part-paid, overdue","Part-paid"),IF($V413&gt;0,"Overdue","Outstanding"))))))))</f>
        <v/>
      </c>
      <c r="V413" s="36" t="str">
        <f aca="true">IF($A413="","",IF(AND(OR($T413="Issued",$T413="Disputed"),$S413&gt;0.005,$K413&lt;&gt;"",$K413&lt;TODAY()),TODAY()-$K413,0))</f>
        <v/>
      </c>
      <c r="W413" s="35" t="str">
        <f aca="false">IF($A413="","",IF(AND(OR($T413="Issued",$T413="Disputed"),$S413&gt;0.005),IF($V413&lt;=0,"Not yet due",IF($V413&lt;=30,"1 to 30 days",IF($V413&lt;=60,"31 to 60 days",IF($V413&lt;=90,"61 to 90 days","Over 90 days")))),""))</f>
        <v/>
      </c>
      <c r="X413" s="26"/>
      <c r="Y413" s="29"/>
      <c r="Z413" s="28"/>
      <c r="AA413" s="28"/>
    </row>
    <row r="414" customFormat="false" ht="15" hidden="false" customHeight="false" outlineLevel="0" collapsed="false">
      <c r="A414" s="26"/>
      <c r="B414" s="26"/>
      <c r="C414" s="27" t="str">
        <f aca="false">IF($B414="","",IFERROR(INDEX(Clients!$B$6:$B$105,MATCH($B414,Clients!$A$6:$A$105,0)),"Client not found"))</f>
        <v/>
      </c>
      <c r="D414" s="26"/>
      <c r="E414" s="26"/>
      <c r="F414" s="26"/>
      <c r="G414" s="26"/>
      <c r="H414" s="28"/>
      <c r="I414" s="29"/>
      <c r="J414" s="30" t="str">
        <f aca="false">IF($A414="","",IFERROR(IF(N(INDEX(Clients!$E$6:$E$105,MATCH($B414,Clients!$A$6:$A$105,0)))&gt;0,INDEX(Clients!$E$6:$E$105,MATCH($B414,Clients!$A$6:$A$105,0)),Dashboard!$B$6),Dashboard!$B$6))</f>
        <v/>
      </c>
      <c r="K414" s="31" t="str">
        <f aca="false">IF(OR($A414="",$I414=""),"",$I414+$J414)</f>
        <v/>
      </c>
      <c r="L414" s="26"/>
      <c r="M414" s="32"/>
      <c r="N414" s="33"/>
      <c r="O414" s="34" t="str">
        <f aca="false">IF($A414="","",N($M414)*N($N414))</f>
        <v/>
      </c>
      <c r="P414" s="34" t="str">
        <f aca="false">IF($A414="","",N($M414)+$O414)</f>
        <v/>
      </c>
      <c r="Q414" s="34" t="str">
        <f aca="false">IF($A414="","",SUMIFS('Credit Notes'!$F$6:$F$205,'Credit Notes'!$B$6:$B$205,$A414,'Credit Notes'!$H$6:$H$205,"Issued"))</f>
        <v/>
      </c>
      <c r="R414" s="34" t="str">
        <f aca="false">IF($A414="","",SUMIFS(Payments!$I$6:$I$505,Payments!$C$6:$C$505,$A414))</f>
        <v/>
      </c>
      <c r="S414" s="34" t="str">
        <f aca="false">IF($A414="","",IF($T414="Void",0,$P414-$Q414-$R414))</f>
        <v/>
      </c>
      <c r="T414" s="26"/>
      <c r="U414" s="35" t="str">
        <f aca="false">IF($A414="","",IF($T414="Void","Void",IF(OR($T414="",$T414="Draft"),"Draft",IF($T414="Disputed","Disputed",IF($S414&lt;-0.005,"Overpaid",IF($S414&lt;=0.005,"Paid",IF($R414+$Q414&gt;0.005,IF($V414&gt;0,"Part-paid, overdue","Part-paid"),IF($V414&gt;0,"Overdue","Outstanding"))))))))</f>
        <v/>
      </c>
      <c r="V414" s="36" t="str">
        <f aca="true">IF($A414="","",IF(AND(OR($T414="Issued",$T414="Disputed"),$S414&gt;0.005,$K414&lt;&gt;"",$K414&lt;TODAY()),TODAY()-$K414,0))</f>
        <v/>
      </c>
      <c r="W414" s="35" t="str">
        <f aca="false">IF($A414="","",IF(AND(OR($T414="Issued",$T414="Disputed"),$S414&gt;0.005),IF($V414&lt;=0,"Not yet due",IF($V414&lt;=30,"1 to 30 days",IF($V414&lt;=60,"31 to 60 days",IF($V414&lt;=90,"61 to 90 days","Over 90 days")))),""))</f>
        <v/>
      </c>
      <c r="X414" s="26"/>
      <c r="Y414" s="29"/>
      <c r="Z414" s="28"/>
      <c r="AA414" s="28"/>
    </row>
    <row r="415" customFormat="false" ht="15" hidden="false" customHeight="false" outlineLevel="0" collapsed="false">
      <c r="A415" s="26"/>
      <c r="B415" s="26"/>
      <c r="C415" s="27" t="str">
        <f aca="false">IF($B415="","",IFERROR(INDEX(Clients!$B$6:$B$105,MATCH($B415,Clients!$A$6:$A$105,0)),"Client not found"))</f>
        <v/>
      </c>
      <c r="D415" s="26"/>
      <c r="E415" s="26"/>
      <c r="F415" s="26"/>
      <c r="G415" s="26"/>
      <c r="H415" s="28"/>
      <c r="I415" s="29"/>
      <c r="J415" s="30" t="str">
        <f aca="false">IF($A415="","",IFERROR(IF(N(INDEX(Clients!$E$6:$E$105,MATCH($B415,Clients!$A$6:$A$105,0)))&gt;0,INDEX(Clients!$E$6:$E$105,MATCH($B415,Clients!$A$6:$A$105,0)),Dashboard!$B$6),Dashboard!$B$6))</f>
        <v/>
      </c>
      <c r="K415" s="31" t="str">
        <f aca="false">IF(OR($A415="",$I415=""),"",$I415+$J415)</f>
        <v/>
      </c>
      <c r="L415" s="26"/>
      <c r="M415" s="32"/>
      <c r="N415" s="33"/>
      <c r="O415" s="34" t="str">
        <f aca="false">IF($A415="","",N($M415)*N($N415))</f>
        <v/>
      </c>
      <c r="P415" s="34" t="str">
        <f aca="false">IF($A415="","",N($M415)+$O415)</f>
        <v/>
      </c>
      <c r="Q415" s="34" t="str">
        <f aca="false">IF($A415="","",SUMIFS('Credit Notes'!$F$6:$F$205,'Credit Notes'!$B$6:$B$205,$A415,'Credit Notes'!$H$6:$H$205,"Issued"))</f>
        <v/>
      </c>
      <c r="R415" s="34" t="str">
        <f aca="false">IF($A415="","",SUMIFS(Payments!$I$6:$I$505,Payments!$C$6:$C$505,$A415))</f>
        <v/>
      </c>
      <c r="S415" s="34" t="str">
        <f aca="false">IF($A415="","",IF($T415="Void",0,$P415-$Q415-$R415))</f>
        <v/>
      </c>
      <c r="T415" s="26"/>
      <c r="U415" s="35" t="str">
        <f aca="false">IF($A415="","",IF($T415="Void","Void",IF(OR($T415="",$T415="Draft"),"Draft",IF($T415="Disputed","Disputed",IF($S415&lt;-0.005,"Overpaid",IF($S415&lt;=0.005,"Paid",IF($R415+$Q415&gt;0.005,IF($V415&gt;0,"Part-paid, overdue","Part-paid"),IF($V415&gt;0,"Overdue","Outstanding"))))))))</f>
        <v/>
      </c>
      <c r="V415" s="36" t="str">
        <f aca="true">IF($A415="","",IF(AND(OR($T415="Issued",$T415="Disputed"),$S415&gt;0.005,$K415&lt;&gt;"",$K415&lt;TODAY()),TODAY()-$K415,0))</f>
        <v/>
      </c>
      <c r="W415" s="35" t="str">
        <f aca="false">IF($A415="","",IF(AND(OR($T415="Issued",$T415="Disputed"),$S415&gt;0.005),IF($V415&lt;=0,"Not yet due",IF($V415&lt;=30,"1 to 30 days",IF($V415&lt;=60,"31 to 60 days",IF($V415&lt;=90,"61 to 90 days","Over 90 days")))),""))</f>
        <v/>
      </c>
      <c r="X415" s="26"/>
      <c r="Y415" s="29"/>
      <c r="Z415" s="28"/>
      <c r="AA415" s="28"/>
    </row>
    <row r="416" customFormat="false" ht="15" hidden="false" customHeight="false" outlineLevel="0" collapsed="false">
      <c r="A416" s="26"/>
      <c r="B416" s="26"/>
      <c r="C416" s="27" t="str">
        <f aca="false">IF($B416="","",IFERROR(INDEX(Clients!$B$6:$B$105,MATCH($B416,Clients!$A$6:$A$105,0)),"Client not found"))</f>
        <v/>
      </c>
      <c r="D416" s="26"/>
      <c r="E416" s="26"/>
      <c r="F416" s="26"/>
      <c r="G416" s="26"/>
      <c r="H416" s="28"/>
      <c r="I416" s="29"/>
      <c r="J416" s="30" t="str">
        <f aca="false">IF($A416="","",IFERROR(IF(N(INDEX(Clients!$E$6:$E$105,MATCH($B416,Clients!$A$6:$A$105,0)))&gt;0,INDEX(Clients!$E$6:$E$105,MATCH($B416,Clients!$A$6:$A$105,0)),Dashboard!$B$6),Dashboard!$B$6))</f>
        <v/>
      </c>
      <c r="K416" s="31" t="str">
        <f aca="false">IF(OR($A416="",$I416=""),"",$I416+$J416)</f>
        <v/>
      </c>
      <c r="L416" s="26"/>
      <c r="M416" s="32"/>
      <c r="N416" s="33"/>
      <c r="O416" s="34" t="str">
        <f aca="false">IF($A416="","",N($M416)*N($N416))</f>
        <v/>
      </c>
      <c r="P416" s="34" t="str">
        <f aca="false">IF($A416="","",N($M416)+$O416)</f>
        <v/>
      </c>
      <c r="Q416" s="34" t="str">
        <f aca="false">IF($A416="","",SUMIFS('Credit Notes'!$F$6:$F$205,'Credit Notes'!$B$6:$B$205,$A416,'Credit Notes'!$H$6:$H$205,"Issued"))</f>
        <v/>
      </c>
      <c r="R416" s="34" t="str">
        <f aca="false">IF($A416="","",SUMIFS(Payments!$I$6:$I$505,Payments!$C$6:$C$505,$A416))</f>
        <v/>
      </c>
      <c r="S416" s="34" t="str">
        <f aca="false">IF($A416="","",IF($T416="Void",0,$P416-$Q416-$R416))</f>
        <v/>
      </c>
      <c r="T416" s="26"/>
      <c r="U416" s="35" t="str">
        <f aca="false">IF($A416="","",IF($T416="Void","Void",IF(OR($T416="",$T416="Draft"),"Draft",IF($T416="Disputed","Disputed",IF($S416&lt;-0.005,"Overpaid",IF($S416&lt;=0.005,"Paid",IF($R416+$Q416&gt;0.005,IF($V416&gt;0,"Part-paid, overdue","Part-paid"),IF($V416&gt;0,"Overdue","Outstanding"))))))))</f>
        <v/>
      </c>
      <c r="V416" s="36" t="str">
        <f aca="true">IF($A416="","",IF(AND(OR($T416="Issued",$T416="Disputed"),$S416&gt;0.005,$K416&lt;&gt;"",$K416&lt;TODAY()),TODAY()-$K416,0))</f>
        <v/>
      </c>
      <c r="W416" s="35" t="str">
        <f aca="false">IF($A416="","",IF(AND(OR($T416="Issued",$T416="Disputed"),$S416&gt;0.005),IF($V416&lt;=0,"Not yet due",IF($V416&lt;=30,"1 to 30 days",IF($V416&lt;=60,"31 to 60 days",IF($V416&lt;=90,"61 to 90 days","Over 90 days")))),""))</f>
        <v/>
      </c>
      <c r="X416" s="26"/>
      <c r="Y416" s="29"/>
      <c r="Z416" s="28"/>
      <c r="AA416" s="28"/>
    </row>
    <row r="417" customFormat="false" ht="15" hidden="false" customHeight="false" outlineLevel="0" collapsed="false">
      <c r="A417" s="26"/>
      <c r="B417" s="26"/>
      <c r="C417" s="27" t="str">
        <f aca="false">IF($B417="","",IFERROR(INDEX(Clients!$B$6:$B$105,MATCH($B417,Clients!$A$6:$A$105,0)),"Client not found"))</f>
        <v/>
      </c>
      <c r="D417" s="26"/>
      <c r="E417" s="26"/>
      <c r="F417" s="26"/>
      <c r="G417" s="26"/>
      <c r="H417" s="28"/>
      <c r="I417" s="29"/>
      <c r="J417" s="30" t="str">
        <f aca="false">IF($A417="","",IFERROR(IF(N(INDEX(Clients!$E$6:$E$105,MATCH($B417,Clients!$A$6:$A$105,0)))&gt;0,INDEX(Clients!$E$6:$E$105,MATCH($B417,Clients!$A$6:$A$105,0)),Dashboard!$B$6),Dashboard!$B$6))</f>
        <v/>
      </c>
      <c r="K417" s="31" t="str">
        <f aca="false">IF(OR($A417="",$I417=""),"",$I417+$J417)</f>
        <v/>
      </c>
      <c r="L417" s="26"/>
      <c r="M417" s="32"/>
      <c r="N417" s="33"/>
      <c r="O417" s="34" t="str">
        <f aca="false">IF($A417="","",N($M417)*N($N417))</f>
        <v/>
      </c>
      <c r="P417" s="34" t="str">
        <f aca="false">IF($A417="","",N($M417)+$O417)</f>
        <v/>
      </c>
      <c r="Q417" s="34" t="str">
        <f aca="false">IF($A417="","",SUMIFS('Credit Notes'!$F$6:$F$205,'Credit Notes'!$B$6:$B$205,$A417,'Credit Notes'!$H$6:$H$205,"Issued"))</f>
        <v/>
      </c>
      <c r="R417" s="34" t="str">
        <f aca="false">IF($A417="","",SUMIFS(Payments!$I$6:$I$505,Payments!$C$6:$C$505,$A417))</f>
        <v/>
      </c>
      <c r="S417" s="34" t="str">
        <f aca="false">IF($A417="","",IF($T417="Void",0,$P417-$Q417-$R417))</f>
        <v/>
      </c>
      <c r="T417" s="26"/>
      <c r="U417" s="35" t="str">
        <f aca="false">IF($A417="","",IF($T417="Void","Void",IF(OR($T417="",$T417="Draft"),"Draft",IF($T417="Disputed","Disputed",IF($S417&lt;-0.005,"Overpaid",IF($S417&lt;=0.005,"Paid",IF($R417+$Q417&gt;0.005,IF($V417&gt;0,"Part-paid, overdue","Part-paid"),IF($V417&gt;0,"Overdue","Outstanding"))))))))</f>
        <v/>
      </c>
      <c r="V417" s="36" t="str">
        <f aca="true">IF($A417="","",IF(AND(OR($T417="Issued",$T417="Disputed"),$S417&gt;0.005,$K417&lt;&gt;"",$K417&lt;TODAY()),TODAY()-$K417,0))</f>
        <v/>
      </c>
      <c r="W417" s="35" t="str">
        <f aca="false">IF($A417="","",IF(AND(OR($T417="Issued",$T417="Disputed"),$S417&gt;0.005),IF($V417&lt;=0,"Not yet due",IF($V417&lt;=30,"1 to 30 days",IF($V417&lt;=60,"31 to 60 days",IF($V417&lt;=90,"61 to 90 days","Over 90 days")))),""))</f>
        <v/>
      </c>
      <c r="X417" s="26"/>
      <c r="Y417" s="29"/>
      <c r="Z417" s="28"/>
      <c r="AA417" s="28"/>
    </row>
    <row r="418" customFormat="false" ht="15" hidden="false" customHeight="false" outlineLevel="0" collapsed="false">
      <c r="A418" s="26"/>
      <c r="B418" s="26"/>
      <c r="C418" s="27" t="str">
        <f aca="false">IF($B418="","",IFERROR(INDEX(Clients!$B$6:$B$105,MATCH($B418,Clients!$A$6:$A$105,0)),"Client not found"))</f>
        <v/>
      </c>
      <c r="D418" s="26"/>
      <c r="E418" s="26"/>
      <c r="F418" s="26"/>
      <c r="G418" s="26"/>
      <c r="H418" s="28"/>
      <c r="I418" s="29"/>
      <c r="J418" s="30" t="str">
        <f aca="false">IF($A418="","",IFERROR(IF(N(INDEX(Clients!$E$6:$E$105,MATCH($B418,Clients!$A$6:$A$105,0)))&gt;0,INDEX(Clients!$E$6:$E$105,MATCH($B418,Clients!$A$6:$A$105,0)),Dashboard!$B$6),Dashboard!$B$6))</f>
        <v/>
      </c>
      <c r="K418" s="31" t="str">
        <f aca="false">IF(OR($A418="",$I418=""),"",$I418+$J418)</f>
        <v/>
      </c>
      <c r="L418" s="26"/>
      <c r="M418" s="32"/>
      <c r="N418" s="33"/>
      <c r="O418" s="34" t="str">
        <f aca="false">IF($A418="","",N($M418)*N($N418))</f>
        <v/>
      </c>
      <c r="P418" s="34" t="str">
        <f aca="false">IF($A418="","",N($M418)+$O418)</f>
        <v/>
      </c>
      <c r="Q418" s="34" t="str">
        <f aca="false">IF($A418="","",SUMIFS('Credit Notes'!$F$6:$F$205,'Credit Notes'!$B$6:$B$205,$A418,'Credit Notes'!$H$6:$H$205,"Issued"))</f>
        <v/>
      </c>
      <c r="R418" s="34" t="str">
        <f aca="false">IF($A418="","",SUMIFS(Payments!$I$6:$I$505,Payments!$C$6:$C$505,$A418))</f>
        <v/>
      </c>
      <c r="S418" s="34" t="str">
        <f aca="false">IF($A418="","",IF($T418="Void",0,$P418-$Q418-$R418))</f>
        <v/>
      </c>
      <c r="T418" s="26"/>
      <c r="U418" s="35" t="str">
        <f aca="false">IF($A418="","",IF($T418="Void","Void",IF(OR($T418="",$T418="Draft"),"Draft",IF($T418="Disputed","Disputed",IF($S418&lt;-0.005,"Overpaid",IF($S418&lt;=0.005,"Paid",IF($R418+$Q418&gt;0.005,IF($V418&gt;0,"Part-paid, overdue","Part-paid"),IF($V418&gt;0,"Overdue","Outstanding"))))))))</f>
        <v/>
      </c>
      <c r="V418" s="36" t="str">
        <f aca="true">IF($A418="","",IF(AND(OR($T418="Issued",$T418="Disputed"),$S418&gt;0.005,$K418&lt;&gt;"",$K418&lt;TODAY()),TODAY()-$K418,0))</f>
        <v/>
      </c>
      <c r="W418" s="35" t="str">
        <f aca="false">IF($A418="","",IF(AND(OR($T418="Issued",$T418="Disputed"),$S418&gt;0.005),IF($V418&lt;=0,"Not yet due",IF($V418&lt;=30,"1 to 30 days",IF($V418&lt;=60,"31 to 60 days",IF($V418&lt;=90,"61 to 90 days","Over 90 days")))),""))</f>
        <v/>
      </c>
      <c r="X418" s="26"/>
      <c r="Y418" s="29"/>
      <c r="Z418" s="28"/>
      <c r="AA418" s="28"/>
    </row>
    <row r="419" customFormat="false" ht="15" hidden="false" customHeight="false" outlineLevel="0" collapsed="false">
      <c r="A419" s="26"/>
      <c r="B419" s="26"/>
      <c r="C419" s="27" t="str">
        <f aca="false">IF($B419="","",IFERROR(INDEX(Clients!$B$6:$B$105,MATCH($B419,Clients!$A$6:$A$105,0)),"Client not found"))</f>
        <v/>
      </c>
      <c r="D419" s="26"/>
      <c r="E419" s="26"/>
      <c r="F419" s="26"/>
      <c r="G419" s="26"/>
      <c r="H419" s="28"/>
      <c r="I419" s="29"/>
      <c r="J419" s="30" t="str">
        <f aca="false">IF($A419="","",IFERROR(IF(N(INDEX(Clients!$E$6:$E$105,MATCH($B419,Clients!$A$6:$A$105,0)))&gt;0,INDEX(Clients!$E$6:$E$105,MATCH($B419,Clients!$A$6:$A$105,0)),Dashboard!$B$6),Dashboard!$B$6))</f>
        <v/>
      </c>
      <c r="K419" s="31" t="str">
        <f aca="false">IF(OR($A419="",$I419=""),"",$I419+$J419)</f>
        <v/>
      </c>
      <c r="L419" s="26"/>
      <c r="M419" s="32"/>
      <c r="N419" s="33"/>
      <c r="O419" s="34" t="str">
        <f aca="false">IF($A419="","",N($M419)*N($N419))</f>
        <v/>
      </c>
      <c r="P419" s="34" t="str">
        <f aca="false">IF($A419="","",N($M419)+$O419)</f>
        <v/>
      </c>
      <c r="Q419" s="34" t="str">
        <f aca="false">IF($A419="","",SUMIFS('Credit Notes'!$F$6:$F$205,'Credit Notes'!$B$6:$B$205,$A419,'Credit Notes'!$H$6:$H$205,"Issued"))</f>
        <v/>
      </c>
      <c r="R419" s="34" t="str">
        <f aca="false">IF($A419="","",SUMIFS(Payments!$I$6:$I$505,Payments!$C$6:$C$505,$A419))</f>
        <v/>
      </c>
      <c r="S419" s="34" t="str">
        <f aca="false">IF($A419="","",IF($T419="Void",0,$P419-$Q419-$R419))</f>
        <v/>
      </c>
      <c r="T419" s="26"/>
      <c r="U419" s="35" t="str">
        <f aca="false">IF($A419="","",IF($T419="Void","Void",IF(OR($T419="",$T419="Draft"),"Draft",IF($T419="Disputed","Disputed",IF($S419&lt;-0.005,"Overpaid",IF($S419&lt;=0.005,"Paid",IF($R419+$Q419&gt;0.005,IF($V419&gt;0,"Part-paid, overdue","Part-paid"),IF($V419&gt;0,"Overdue","Outstanding"))))))))</f>
        <v/>
      </c>
      <c r="V419" s="36" t="str">
        <f aca="true">IF($A419="","",IF(AND(OR($T419="Issued",$T419="Disputed"),$S419&gt;0.005,$K419&lt;&gt;"",$K419&lt;TODAY()),TODAY()-$K419,0))</f>
        <v/>
      </c>
      <c r="W419" s="35" t="str">
        <f aca="false">IF($A419="","",IF(AND(OR($T419="Issued",$T419="Disputed"),$S419&gt;0.005),IF($V419&lt;=0,"Not yet due",IF($V419&lt;=30,"1 to 30 days",IF($V419&lt;=60,"31 to 60 days",IF($V419&lt;=90,"61 to 90 days","Over 90 days")))),""))</f>
        <v/>
      </c>
      <c r="X419" s="26"/>
      <c r="Y419" s="29"/>
      <c r="Z419" s="28"/>
      <c r="AA419" s="28"/>
    </row>
    <row r="420" customFormat="false" ht="15" hidden="false" customHeight="false" outlineLevel="0" collapsed="false">
      <c r="A420" s="26"/>
      <c r="B420" s="26"/>
      <c r="C420" s="27" t="str">
        <f aca="false">IF($B420="","",IFERROR(INDEX(Clients!$B$6:$B$105,MATCH($B420,Clients!$A$6:$A$105,0)),"Client not found"))</f>
        <v/>
      </c>
      <c r="D420" s="26"/>
      <c r="E420" s="26"/>
      <c r="F420" s="26"/>
      <c r="G420" s="26"/>
      <c r="H420" s="28"/>
      <c r="I420" s="29"/>
      <c r="J420" s="30" t="str">
        <f aca="false">IF($A420="","",IFERROR(IF(N(INDEX(Clients!$E$6:$E$105,MATCH($B420,Clients!$A$6:$A$105,0)))&gt;0,INDEX(Clients!$E$6:$E$105,MATCH($B420,Clients!$A$6:$A$105,0)),Dashboard!$B$6),Dashboard!$B$6))</f>
        <v/>
      </c>
      <c r="K420" s="31" t="str">
        <f aca="false">IF(OR($A420="",$I420=""),"",$I420+$J420)</f>
        <v/>
      </c>
      <c r="L420" s="26"/>
      <c r="M420" s="32"/>
      <c r="N420" s="33"/>
      <c r="O420" s="34" t="str">
        <f aca="false">IF($A420="","",N($M420)*N($N420))</f>
        <v/>
      </c>
      <c r="P420" s="34" t="str">
        <f aca="false">IF($A420="","",N($M420)+$O420)</f>
        <v/>
      </c>
      <c r="Q420" s="34" t="str">
        <f aca="false">IF($A420="","",SUMIFS('Credit Notes'!$F$6:$F$205,'Credit Notes'!$B$6:$B$205,$A420,'Credit Notes'!$H$6:$H$205,"Issued"))</f>
        <v/>
      </c>
      <c r="R420" s="34" t="str">
        <f aca="false">IF($A420="","",SUMIFS(Payments!$I$6:$I$505,Payments!$C$6:$C$505,$A420))</f>
        <v/>
      </c>
      <c r="S420" s="34" t="str">
        <f aca="false">IF($A420="","",IF($T420="Void",0,$P420-$Q420-$R420))</f>
        <v/>
      </c>
      <c r="T420" s="26"/>
      <c r="U420" s="35" t="str">
        <f aca="false">IF($A420="","",IF($T420="Void","Void",IF(OR($T420="",$T420="Draft"),"Draft",IF($T420="Disputed","Disputed",IF($S420&lt;-0.005,"Overpaid",IF($S420&lt;=0.005,"Paid",IF($R420+$Q420&gt;0.005,IF($V420&gt;0,"Part-paid, overdue","Part-paid"),IF($V420&gt;0,"Overdue","Outstanding"))))))))</f>
        <v/>
      </c>
      <c r="V420" s="36" t="str">
        <f aca="true">IF($A420="","",IF(AND(OR($T420="Issued",$T420="Disputed"),$S420&gt;0.005,$K420&lt;&gt;"",$K420&lt;TODAY()),TODAY()-$K420,0))</f>
        <v/>
      </c>
      <c r="W420" s="35" t="str">
        <f aca="false">IF($A420="","",IF(AND(OR($T420="Issued",$T420="Disputed"),$S420&gt;0.005),IF($V420&lt;=0,"Not yet due",IF($V420&lt;=30,"1 to 30 days",IF($V420&lt;=60,"31 to 60 days",IF($V420&lt;=90,"61 to 90 days","Over 90 days")))),""))</f>
        <v/>
      </c>
      <c r="X420" s="26"/>
      <c r="Y420" s="29"/>
      <c r="Z420" s="28"/>
      <c r="AA420" s="28"/>
    </row>
    <row r="421" customFormat="false" ht="15" hidden="false" customHeight="false" outlineLevel="0" collapsed="false">
      <c r="A421" s="26"/>
      <c r="B421" s="26"/>
      <c r="C421" s="27" t="str">
        <f aca="false">IF($B421="","",IFERROR(INDEX(Clients!$B$6:$B$105,MATCH($B421,Clients!$A$6:$A$105,0)),"Client not found"))</f>
        <v/>
      </c>
      <c r="D421" s="26"/>
      <c r="E421" s="26"/>
      <c r="F421" s="26"/>
      <c r="G421" s="26"/>
      <c r="H421" s="28"/>
      <c r="I421" s="29"/>
      <c r="J421" s="30" t="str">
        <f aca="false">IF($A421="","",IFERROR(IF(N(INDEX(Clients!$E$6:$E$105,MATCH($B421,Clients!$A$6:$A$105,0)))&gt;0,INDEX(Clients!$E$6:$E$105,MATCH($B421,Clients!$A$6:$A$105,0)),Dashboard!$B$6),Dashboard!$B$6))</f>
        <v/>
      </c>
      <c r="K421" s="31" t="str">
        <f aca="false">IF(OR($A421="",$I421=""),"",$I421+$J421)</f>
        <v/>
      </c>
      <c r="L421" s="26"/>
      <c r="M421" s="32"/>
      <c r="N421" s="33"/>
      <c r="O421" s="34" t="str">
        <f aca="false">IF($A421="","",N($M421)*N($N421))</f>
        <v/>
      </c>
      <c r="P421" s="34" t="str">
        <f aca="false">IF($A421="","",N($M421)+$O421)</f>
        <v/>
      </c>
      <c r="Q421" s="34" t="str">
        <f aca="false">IF($A421="","",SUMIFS('Credit Notes'!$F$6:$F$205,'Credit Notes'!$B$6:$B$205,$A421,'Credit Notes'!$H$6:$H$205,"Issued"))</f>
        <v/>
      </c>
      <c r="R421" s="34" t="str">
        <f aca="false">IF($A421="","",SUMIFS(Payments!$I$6:$I$505,Payments!$C$6:$C$505,$A421))</f>
        <v/>
      </c>
      <c r="S421" s="34" t="str">
        <f aca="false">IF($A421="","",IF($T421="Void",0,$P421-$Q421-$R421))</f>
        <v/>
      </c>
      <c r="T421" s="26"/>
      <c r="U421" s="35" t="str">
        <f aca="false">IF($A421="","",IF($T421="Void","Void",IF(OR($T421="",$T421="Draft"),"Draft",IF($T421="Disputed","Disputed",IF($S421&lt;-0.005,"Overpaid",IF($S421&lt;=0.005,"Paid",IF($R421+$Q421&gt;0.005,IF($V421&gt;0,"Part-paid, overdue","Part-paid"),IF($V421&gt;0,"Overdue","Outstanding"))))))))</f>
        <v/>
      </c>
      <c r="V421" s="36" t="str">
        <f aca="true">IF($A421="","",IF(AND(OR($T421="Issued",$T421="Disputed"),$S421&gt;0.005,$K421&lt;&gt;"",$K421&lt;TODAY()),TODAY()-$K421,0))</f>
        <v/>
      </c>
      <c r="W421" s="35" t="str">
        <f aca="false">IF($A421="","",IF(AND(OR($T421="Issued",$T421="Disputed"),$S421&gt;0.005),IF($V421&lt;=0,"Not yet due",IF($V421&lt;=30,"1 to 30 days",IF($V421&lt;=60,"31 to 60 days",IF($V421&lt;=90,"61 to 90 days","Over 90 days")))),""))</f>
        <v/>
      </c>
      <c r="X421" s="26"/>
      <c r="Y421" s="29"/>
      <c r="Z421" s="28"/>
      <c r="AA421" s="28"/>
    </row>
    <row r="422" customFormat="false" ht="15" hidden="false" customHeight="false" outlineLevel="0" collapsed="false">
      <c r="A422" s="26"/>
      <c r="B422" s="26"/>
      <c r="C422" s="27" t="str">
        <f aca="false">IF($B422="","",IFERROR(INDEX(Clients!$B$6:$B$105,MATCH($B422,Clients!$A$6:$A$105,0)),"Client not found"))</f>
        <v/>
      </c>
      <c r="D422" s="26"/>
      <c r="E422" s="26"/>
      <c r="F422" s="26"/>
      <c r="G422" s="26"/>
      <c r="H422" s="28"/>
      <c r="I422" s="29"/>
      <c r="J422" s="30" t="str">
        <f aca="false">IF($A422="","",IFERROR(IF(N(INDEX(Clients!$E$6:$E$105,MATCH($B422,Clients!$A$6:$A$105,0)))&gt;0,INDEX(Clients!$E$6:$E$105,MATCH($B422,Clients!$A$6:$A$105,0)),Dashboard!$B$6),Dashboard!$B$6))</f>
        <v/>
      </c>
      <c r="K422" s="31" t="str">
        <f aca="false">IF(OR($A422="",$I422=""),"",$I422+$J422)</f>
        <v/>
      </c>
      <c r="L422" s="26"/>
      <c r="M422" s="32"/>
      <c r="N422" s="33"/>
      <c r="O422" s="34" t="str">
        <f aca="false">IF($A422="","",N($M422)*N($N422))</f>
        <v/>
      </c>
      <c r="P422" s="34" t="str">
        <f aca="false">IF($A422="","",N($M422)+$O422)</f>
        <v/>
      </c>
      <c r="Q422" s="34" t="str">
        <f aca="false">IF($A422="","",SUMIFS('Credit Notes'!$F$6:$F$205,'Credit Notes'!$B$6:$B$205,$A422,'Credit Notes'!$H$6:$H$205,"Issued"))</f>
        <v/>
      </c>
      <c r="R422" s="34" t="str">
        <f aca="false">IF($A422="","",SUMIFS(Payments!$I$6:$I$505,Payments!$C$6:$C$505,$A422))</f>
        <v/>
      </c>
      <c r="S422" s="34" t="str">
        <f aca="false">IF($A422="","",IF($T422="Void",0,$P422-$Q422-$R422))</f>
        <v/>
      </c>
      <c r="T422" s="26"/>
      <c r="U422" s="35" t="str">
        <f aca="false">IF($A422="","",IF($T422="Void","Void",IF(OR($T422="",$T422="Draft"),"Draft",IF($T422="Disputed","Disputed",IF($S422&lt;-0.005,"Overpaid",IF($S422&lt;=0.005,"Paid",IF($R422+$Q422&gt;0.005,IF($V422&gt;0,"Part-paid, overdue","Part-paid"),IF($V422&gt;0,"Overdue","Outstanding"))))))))</f>
        <v/>
      </c>
      <c r="V422" s="36" t="str">
        <f aca="true">IF($A422="","",IF(AND(OR($T422="Issued",$T422="Disputed"),$S422&gt;0.005,$K422&lt;&gt;"",$K422&lt;TODAY()),TODAY()-$K422,0))</f>
        <v/>
      </c>
      <c r="W422" s="35" t="str">
        <f aca="false">IF($A422="","",IF(AND(OR($T422="Issued",$T422="Disputed"),$S422&gt;0.005),IF($V422&lt;=0,"Not yet due",IF($V422&lt;=30,"1 to 30 days",IF($V422&lt;=60,"31 to 60 days",IF($V422&lt;=90,"61 to 90 days","Over 90 days")))),""))</f>
        <v/>
      </c>
      <c r="X422" s="26"/>
      <c r="Y422" s="29"/>
      <c r="Z422" s="28"/>
      <c r="AA422" s="28"/>
    </row>
    <row r="423" customFormat="false" ht="15" hidden="false" customHeight="false" outlineLevel="0" collapsed="false">
      <c r="A423" s="26"/>
      <c r="B423" s="26"/>
      <c r="C423" s="27" t="str">
        <f aca="false">IF($B423="","",IFERROR(INDEX(Clients!$B$6:$B$105,MATCH($B423,Clients!$A$6:$A$105,0)),"Client not found"))</f>
        <v/>
      </c>
      <c r="D423" s="26"/>
      <c r="E423" s="26"/>
      <c r="F423" s="26"/>
      <c r="G423" s="26"/>
      <c r="H423" s="28"/>
      <c r="I423" s="29"/>
      <c r="J423" s="30" t="str">
        <f aca="false">IF($A423="","",IFERROR(IF(N(INDEX(Clients!$E$6:$E$105,MATCH($B423,Clients!$A$6:$A$105,0)))&gt;0,INDEX(Clients!$E$6:$E$105,MATCH($B423,Clients!$A$6:$A$105,0)),Dashboard!$B$6),Dashboard!$B$6))</f>
        <v/>
      </c>
      <c r="K423" s="31" t="str">
        <f aca="false">IF(OR($A423="",$I423=""),"",$I423+$J423)</f>
        <v/>
      </c>
      <c r="L423" s="26"/>
      <c r="M423" s="32"/>
      <c r="N423" s="33"/>
      <c r="O423" s="34" t="str">
        <f aca="false">IF($A423="","",N($M423)*N($N423))</f>
        <v/>
      </c>
      <c r="P423" s="34" t="str">
        <f aca="false">IF($A423="","",N($M423)+$O423)</f>
        <v/>
      </c>
      <c r="Q423" s="34" t="str">
        <f aca="false">IF($A423="","",SUMIFS('Credit Notes'!$F$6:$F$205,'Credit Notes'!$B$6:$B$205,$A423,'Credit Notes'!$H$6:$H$205,"Issued"))</f>
        <v/>
      </c>
      <c r="R423" s="34" t="str">
        <f aca="false">IF($A423="","",SUMIFS(Payments!$I$6:$I$505,Payments!$C$6:$C$505,$A423))</f>
        <v/>
      </c>
      <c r="S423" s="34" t="str">
        <f aca="false">IF($A423="","",IF($T423="Void",0,$P423-$Q423-$R423))</f>
        <v/>
      </c>
      <c r="T423" s="26"/>
      <c r="U423" s="35" t="str">
        <f aca="false">IF($A423="","",IF($T423="Void","Void",IF(OR($T423="",$T423="Draft"),"Draft",IF($T423="Disputed","Disputed",IF($S423&lt;-0.005,"Overpaid",IF($S423&lt;=0.005,"Paid",IF($R423+$Q423&gt;0.005,IF($V423&gt;0,"Part-paid, overdue","Part-paid"),IF($V423&gt;0,"Overdue","Outstanding"))))))))</f>
        <v/>
      </c>
      <c r="V423" s="36" t="str">
        <f aca="true">IF($A423="","",IF(AND(OR($T423="Issued",$T423="Disputed"),$S423&gt;0.005,$K423&lt;&gt;"",$K423&lt;TODAY()),TODAY()-$K423,0))</f>
        <v/>
      </c>
      <c r="W423" s="35" t="str">
        <f aca="false">IF($A423="","",IF(AND(OR($T423="Issued",$T423="Disputed"),$S423&gt;0.005),IF($V423&lt;=0,"Not yet due",IF($V423&lt;=30,"1 to 30 days",IF($V423&lt;=60,"31 to 60 days",IF($V423&lt;=90,"61 to 90 days","Over 90 days")))),""))</f>
        <v/>
      </c>
      <c r="X423" s="26"/>
      <c r="Y423" s="29"/>
      <c r="Z423" s="28"/>
      <c r="AA423" s="28"/>
    </row>
    <row r="424" customFormat="false" ht="15" hidden="false" customHeight="false" outlineLevel="0" collapsed="false">
      <c r="A424" s="26"/>
      <c r="B424" s="26"/>
      <c r="C424" s="27" t="str">
        <f aca="false">IF($B424="","",IFERROR(INDEX(Clients!$B$6:$B$105,MATCH($B424,Clients!$A$6:$A$105,0)),"Client not found"))</f>
        <v/>
      </c>
      <c r="D424" s="26"/>
      <c r="E424" s="26"/>
      <c r="F424" s="26"/>
      <c r="G424" s="26"/>
      <c r="H424" s="28"/>
      <c r="I424" s="29"/>
      <c r="J424" s="30" t="str">
        <f aca="false">IF($A424="","",IFERROR(IF(N(INDEX(Clients!$E$6:$E$105,MATCH($B424,Clients!$A$6:$A$105,0)))&gt;0,INDEX(Clients!$E$6:$E$105,MATCH($B424,Clients!$A$6:$A$105,0)),Dashboard!$B$6),Dashboard!$B$6))</f>
        <v/>
      </c>
      <c r="K424" s="31" t="str">
        <f aca="false">IF(OR($A424="",$I424=""),"",$I424+$J424)</f>
        <v/>
      </c>
      <c r="L424" s="26"/>
      <c r="M424" s="32"/>
      <c r="N424" s="33"/>
      <c r="O424" s="34" t="str">
        <f aca="false">IF($A424="","",N($M424)*N($N424))</f>
        <v/>
      </c>
      <c r="P424" s="34" t="str">
        <f aca="false">IF($A424="","",N($M424)+$O424)</f>
        <v/>
      </c>
      <c r="Q424" s="34" t="str">
        <f aca="false">IF($A424="","",SUMIFS('Credit Notes'!$F$6:$F$205,'Credit Notes'!$B$6:$B$205,$A424,'Credit Notes'!$H$6:$H$205,"Issued"))</f>
        <v/>
      </c>
      <c r="R424" s="34" t="str">
        <f aca="false">IF($A424="","",SUMIFS(Payments!$I$6:$I$505,Payments!$C$6:$C$505,$A424))</f>
        <v/>
      </c>
      <c r="S424" s="34" t="str">
        <f aca="false">IF($A424="","",IF($T424="Void",0,$P424-$Q424-$R424))</f>
        <v/>
      </c>
      <c r="T424" s="26"/>
      <c r="U424" s="35" t="str">
        <f aca="false">IF($A424="","",IF($T424="Void","Void",IF(OR($T424="",$T424="Draft"),"Draft",IF($T424="Disputed","Disputed",IF($S424&lt;-0.005,"Overpaid",IF($S424&lt;=0.005,"Paid",IF($R424+$Q424&gt;0.005,IF($V424&gt;0,"Part-paid, overdue","Part-paid"),IF($V424&gt;0,"Overdue","Outstanding"))))))))</f>
        <v/>
      </c>
      <c r="V424" s="36" t="str">
        <f aca="true">IF($A424="","",IF(AND(OR($T424="Issued",$T424="Disputed"),$S424&gt;0.005,$K424&lt;&gt;"",$K424&lt;TODAY()),TODAY()-$K424,0))</f>
        <v/>
      </c>
      <c r="W424" s="35" t="str">
        <f aca="false">IF($A424="","",IF(AND(OR($T424="Issued",$T424="Disputed"),$S424&gt;0.005),IF($V424&lt;=0,"Not yet due",IF($V424&lt;=30,"1 to 30 days",IF($V424&lt;=60,"31 to 60 days",IF($V424&lt;=90,"61 to 90 days","Over 90 days")))),""))</f>
        <v/>
      </c>
      <c r="X424" s="26"/>
      <c r="Y424" s="29"/>
      <c r="Z424" s="28"/>
      <c r="AA424" s="28"/>
    </row>
    <row r="425" customFormat="false" ht="15" hidden="false" customHeight="false" outlineLevel="0" collapsed="false">
      <c r="A425" s="26"/>
      <c r="B425" s="26"/>
      <c r="C425" s="27" t="str">
        <f aca="false">IF($B425="","",IFERROR(INDEX(Clients!$B$6:$B$105,MATCH($B425,Clients!$A$6:$A$105,0)),"Client not found"))</f>
        <v/>
      </c>
      <c r="D425" s="26"/>
      <c r="E425" s="26"/>
      <c r="F425" s="26"/>
      <c r="G425" s="26"/>
      <c r="H425" s="28"/>
      <c r="I425" s="29"/>
      <c r="J425" s="30" t="str">
        <f aca="false">IF($A425="","",IFERROR(IF(N(INDEX(Clients!$E$6:$E$105,MATCH($B425,Clients!$A$6:$A$105,0)))&gt;0,INDEX(Clients!$E$6:$E$105,MATCH($B425,Clients!$A$6:$A$105,0)),Dashboard!$B$6),Dashboard!$B$6))</f>
        <v/>
      </c>
      <c r="K425" s="31" t="str">
        <f aca="false">IF(OR($A425="",$I425=""),"",$I425+$J425)</f>
        <v/>
      </c>
      <c r="L425" s="26"/>
      <c r="M425" s="32"/>
      <c r="N425" s="33"/>
      <c r="O425" s="34" t="str">
        <f aca="false">IF($A425="","",N($M425)*N($N425))</f>
        <v/>
      </c>
      <c r="P425" s="34" t="str">
        <f aca="false">IF($A425="","",N($M425)+$O425)</f>
        <v/>
      </c>
      <c r="Q425" s="34" t="str">
        <f aca="false">IF($A425="","",SUMIFS('Credit Notes'!$F$6:$F$205,'Credit Notes'!$B$6:$B$205,$A425,'Credit Notes'!$H$6:$H$205,"Issued"))</f>
        <v/>
      </c>
      <c r="R425" s="34" t="str">
        <f aca="false">IF($A425="","",SUMIFS(Payments!$I$6:$I$505,Payments!$C$6:$C$505,$A425))</f>
        <v/>
      </c>
      <c r="S425" s="34" t="str">
        <f aca="false">IF($A425="","",IF($T425="Void",0,$P425-$Q425-$R425))</f>
        <v/>
      </c>
      <c r="T425" s="26"/>
      <c r="U425" s="35" t="str">
        <f aca="false">IF($A425="","",IF($T425="Void","Void",IF(OR($T425="",$T425="Draft"),"Draft",IF($T425="Disputed","Disputed",IF($S425&lt;-0.005,"Overpaid",IF($S425&lt;=0.005,"Paid",IF($R425+$Q425&gt;0.005,IF($V425&gt;0,"Part-paid, overdue","Part-paid"),IF($V425&gt;0,"Overdue","Outstanding"))))))))</f>
        <v/>
      </c>
      <c r="V425" s="36" t="str">
        <f aca="true">IF($A425="","",IF(AND(OR($T425="Issued",$T425="Disputed"),$S425&gt;0.005,$K425&lt;&gt;"",$K425&lt;TODAY()),TODAY()-$K425,0))</f>
        <v/>
      </c>
      <c r="W425" s="35" t="str">
        <f aca="false">IF($A425="","",IF(AND(OR($T425="Issued",$T425="Disputed"),$S425&gt;0.005),IF($V425&lt;=0,"Not yet due",IF($V425&lt;=30,"1 to 30 days",IF($V425&lt;=60,"31 to 60 days",IF($V425&lt;=90,"61 to 90 days","Over 90 days")))),""))</f>
        <v/>
      </c>
      <c r="X425" s="26"/>
      <c r="Y425" s="29"/>
      <c r="Z425" s="28"/>
      <c r="AA425" s="28"/>
    </row>
    <row r="426" customFormat="false" ht="15" hidden="false" customHeight="false" outlineLevel="0" collapsed="false">
      <c r="A426" s="26"/>
      <c r="B426" s="26"/>
      <c r="C426" s="27" t="str">
        <f aca="false">IF($B426="","",IFERROR(INDEX(Clients!$B$6:$B$105,MATCH($B426,Clients!$A$6:$A$105,0)),"Client not found"))</f>
        <v/>
      </c>
      <c r="D426" s="26"/>
      <c r="E426" s="26"/>
      <c r="F426" s="26"/>
      <c r="G426" s="26"/>
      <c r="H426" s="28"/>
      <c r="I426" s="29"/>
      <c r="J426" s="30" t="str">
        <f aca="false">IF($A426="","",IFERROR(IF(N(INDEX(Clients!$E$6:$E$105,MATCH($B426,Clients!$A$6:$A$105,0)))&gt;0,INDEX(Clients!$E$6:$E$105,MATCH($B426,Clients!$A$6:$A$105,0)),Dashboard!$B$6),Dashboard!$B$6))</f>
        <v/>
      </c>
      <c r="K426" s="31" t="str">
        <f aca="false">IF(OR($A426="",$I426=""),"",$I426+$J426)</f>
        <v/>
      </c>
      <c r="L426" s="26"/>
      <c r="M426" s="32"/>
      <c r="N426" s="33"/>
      <c r="O426" s="34" t="str">
        <f aca="false">IF($A426="","",N($M426)*N($N426))</f>
        <v/>
      </c>
      <c r="P426" s="34" t="str">
        <f aca="false">IF($A426="","",N($M426)+$O426)</f>
        <v/>
      </c>
      <c r="Q426" s="34" t="str">
        <f aca="false">IF($A426="","",SUMIFS('Credit Notes'!$F$6:$F$205,'Credit Notes'!$B$6:$B$205,$A426,'Credit Notes'!$H$6:$H$205,"Issued"))</f>
        <v/>
      </c>
      <c r="R426" s="34" t="str">
        <f aca="false">IF($A426="","",SUMIFS(Payments!$I$6:$I$505,Payments!$C$6:$C$505,$A426))</f>
        <v/>
      </c>
      <c r="S426" s="34" t="str">
        <f aca="false">IF($A426="","",IF($T426="Void",0,$P426-$Q426-$R426))</f>
        <v/>
      </c>
      <c r="T426" s="26"/>
      <c r="U426" s="35" t="str">
        <f aca="false">IF($A426="","",IF($T426="Void","Void",IF(OR($T426="",$T426="Draft"),"Draft",IF($T426="Disputed","Disputed",IF($S426&lt;-0.005,"Overpaid",IF($S426&lt;=0.005,"Paid",IF($R426+$Q426&gt;0.005,IF($V426&gt;0,"Part-paid, overdue","Part-paid"),IF($V426&gt;0,"Overdue","Outstanding"))))))))</f>
        <v/>
      </c>
      <c r="V426" s="36" t="str">
        <f aca="true">IF($A426="","",IF(AND(OR($T426="Issued",$T426="Disputed"),$S426&gt;0.005,$K426&lt;&gt;"",$K426&lt;TODAY()),TODAY()-$K426,0))</f>
        <v/>
      </c>
      <c r="W426" s="35" t="str">
        <f aca="false">IF($A426="","",IF(AND(OR($T426="Issued",$T426="Disputed"),$S426&gt;0.005),IF($V426&lt;=0,"Not yet due",IF($V426&lt;=30,"1 to 30 days",IF($V426&lt;=60,"31 to 60 days",IF($V426&lt;=90,"61 to 90 days","Over 90 days")))),""))</f>
        <v/>
      </c>
      <c r="X426" s="26"/>
      <c r="Y426" s="29"/>
      <c r="Z426" s="28"/>
      <c r="AA426" s="28"/>
    </row>
    <row r="427" customFormat="false" ht="15" hidden="false" customHeight="false" outlineLevel="0" collapsed="false">
      <c r="A427" s="26"/>
      <c r="B427" s="26"/>
      <c r="C427" s="27" t="str">
        <f aca="false">IF($B427="","",IFERROR(INDEX(Clients!$B$6:$B$105,MATCH($B427,Clients!$A$6:$A$105,0)),"Client not found"))</f>
        <v/>
      </c>
      <c r="D427" s="26"/>
      <c r="E427" s="26"/>
      <c r="F427" s="26"/>
      <c r="G427" s="26"/>
      <c r="H427" s="28"/>
      <c r="I427" s="29"/>
      <c r="J427" s="30" t="str">
        <f aca="false">IF($A427="","",IFERROR(IF(N(INDEX(Clients!$E$6:$E$105,MATCH($B427,Clients!$A$6:$A$105,0)))&gt;0,INDEX(Clients!$E$6:$E$105,MATCH($B427,Clients!$A$6:$A$105,0)),Dashboard!$B$6),Dashboard!$B$6))</f>
        <v/>
      </c>
      <c r="K427" s="31" t="str">
        <f aca="false">IF(OR($A427="",$I427=""),"",$I427+$J427)</f>
        <v/>
      </c>
      <c r="L427" s="26"/>
      <c r="M427" s="32"/>
      <c r="N427" s="33"/>
      <c r="O427" s="34" t="str">
        <f aca="false">IF($A427="","",N($M427)*N($N427))</f>
        <v/>
      </c>
      <c r="P427" s="34" t="str">
        <f aca="false">IF($A427="","",N($M427)+$O427)</f>
        <v/>
      </c>
      <c r="Q427" s="34" t="str">
        <f aca="false">IF($A427="","",SUMIFS('Credit Notes'!$F$6:$F$205,'Credit Notes'!$B$6:$B$205,$A427,'Credit Notes'!$H$6:$H$205,"Issued"))</f>
        <v/>
      </c>
      <c r="R427" s="34" t="str">
        <f aca="false">IF($A427="","",SUMIFS(Payments!$I$6:$I$505,Payments!$C$6:$C$505,$A427))</f>
        <v/>
      </c>
      <c r="S427" s="34" t="str">
        <f aca="false">IF($A427="","",IF($T427="Void",0,$P427-$Q427-$R427))</f>
        <v/>
      </c>
      <c r="T427" s="26"/>
      <c r="U427" s="35" t="str">
        <f aca="false">IF($A427="","",IF($T427="Void","Void",IF(OR($T427="",$T427="Draft"),"Draft",IF($T427="Disputed","Disputed",IF($S427&lt;-0.005,"Overpaid",IF($S427&lt;=0.005,"Paid",IF($R427+$Q427&gt;0.005,IF($V427&gt;0,"Part-paid, overdue","Part-paid"),IF($V427&gt;0,"Overdue","Outstanding"))))))))</f>
        <v/>
      </c>
      <c r="V427" s="36" t="str">
        <f aca="true">IF($A427="","",IF(AND(OR($T427="Issued",$T427="Disputed"),$S427&gt;0.005,$K427&lt;&gt;"",$K427&lt;TODAY()),TODAY()-$K427,0))</f>
        <v/>
      </c>
      <c r="W427" s="35" t="str">
        <f aca="false">IF($A427="","",IF(AND(OR($T427="Issued",$T427="Disputed"),$S427&gt;0.005),IF($V427&lt;=0,"Not yet due",IF($V427&lt;=30,"1 to 30 days",IF($V427&lt;=60,"31 to 60 days",IF($V427&lt;=90,"61 to 90 days","Over 90 days")))),""))</f>
        <v/>
      </c>
      <c r="X427" s="26"/>
      <c r="Y427" s="29"/>
      <c r="Z427" s="28"/>
      <c r="AA427" s="28"/>
    </row>
    <row r="428" customFormat="false" ht="15" hidden="false" customHeight="false" outlineLevel="0" collapsed="false">
      <c r="A428" s="26"/>
      <c r="B428" s="26"/>
      <c r="C428" s="27" t="str">
        <f aca="false">IF($B428="","",IFERROR(INDEX(Clients!$B$6:$B$105,MATCH($B428,Clients!$A$6:$A$105,0)),"Client not found"))</f>
        <v/>
      </c>
      <c r="D428" s="26"/>
      <c r="E428" s="26"/>
      <c r="F428" s="26"/>
      <c r="G428" s="26"/>
      <c r="H428" s="28"/>
      <c r="I428" s="29"/>
      <c r="J428" s="30" t="str">
        <f aca="false">IF($A428="","",IFERROR(IF(N(INDEX(Clients!$E$6:$E$105,MATCH($B428,Clients!$A$6:$A$105,0)))&gt;0,INDEX(Clients!$E$6:$E$105,MATCH($B428,Clients!$A$6:$A$105,0)),Dashboard!$B$6),Dashboard!$B$6))</f>
        <v/>
      </c>
      <c r="K428" s="31" t="str">
        <f aca="false">IF(OR($A428="",$I428=""),"",$I428+$J428)</f>
        <v/>
      </c>
      <c r="L428" s="26"/>
      <c r="M428" s="32"/>
      <c r="N428" s="33"/>
      <c r="O428" s="34" t="str">
        <f aca="false">IF($A428="","",N($M428)*N($N428))</f>
        <v/>
      </c>
      <c r="P428" s="34" t="str">
        <f aca="false">IF($A428="","",N($M428)+$O428)</f>
        <v/>
      </c>
      <c r="Q428" s="34" t="str">
        <f aca="false">IF($A428="","",SUMIFS('Credit Notes'!$F$6:$F$205,'Credit Notes'!$B$6:$B$205,$A428,'Credit Notes'!$H$6:$H$205,"Issued"))</f>
        <v/>
      </c>
      <c r="R428" s="34" t="str">
        <f aca="false">IF($A428="","",SUMIFS(Payments!$I$6:$I$505,Payments!$C$6:$C$505,$A428))</f>
        <v/>
      </c>
      <c r="S428" s="34" t="str">
        <f aca="false">IF($A428="","",IF($T428="Void",0,$P428-$Q428-$R428))</f>
        <v/>
      </c>
      <c r="T428" s="26"/>
      <c r="U428" s="35" t="str">
        <f aca="false">IF($A428="","",IF($T428="Void","Void",IF(OR($T428="",$T428="Draft"),"Draft",IF($T428="Disputed","Disputed",IF($S428&lt;-0.005,"Overpaid",IF($S428&lt;=0.005,"Paid",IF($R428+$Q428&gt;0.005,IF($V428&gt;0,"Part-paid, overdue","Part-paid"),IF($V428&gt;0,"Overdue","Outstanding"))))))))</f>
        <v/>
      </c>
      <c r="V428" s="36" t="str">
        <f aca="true">IF($A428="","",IF(AND(OR($T428="Issued",$T428="Disputed"),$S428&gt;0.005,$K428&lt;&gt;"",$K428&lt;TODAY()),TODAY()-$K428,0))</f>
        <v/>
      </c>
      <c r="W428" s="35" t="str">
        <f aca="false">IF($A428="","",IF(AND(OR($T428="Issued",$T428="Disputed"),$S428&gt;0.005),IF($V428&lt;=0,"Not yet due",IF($V428&lt;=30,"1 to 30 days",IF($V428&lt;=60,"31 to 60 days",IF($V428&lt;=90,"61 to 90 days","Over 90 days")))),""))</f>
        <v/>
      </c>
      <c r="X428" s="26"/>
      <c r="Y428" s="29"/>
      <c r="Z428" s="28"/>
      <c r="AA428" s="28"/>
    </row>
    <row r="429" customFormat="false" ht="15" hidden="false" customHeight="false" outlineLevel="0" collapsed="false">
      <c r="A429" s="26"/>
      <c r="B429" s="26"/>
      <c r="C429" s="27" t="str">
        <f aca="false">IF($B429="","",IFERROR(INDEX(Clients!$B$6:$B$105,MATCH($B429,Clients!$A$6:$A$105,0)),"Client not found"))</f>
        <v/>
      </c>
      <c r="D429" s="26"/>
      <c r="E429" s="26"/>
      <c r="F429" s="26"/>
      <c r="G429" s="26"/>
      <c r="H429" s="28"/>
      <c r="I429" s="29"/>
      <c r="J429" s="30" t="str">
        <f aca="false">IF($A429="","",IFERROR(IF(N(INDEX(Clients!$E$6:$E$105,MATCH($B429,Clients!$A$6:$A$105,0)))&gt;0,INDEX(Clients!$E$6:$E$105,MATCH($B429,Clients!$A$6:$A$105,0)),Dashboard!$B$6),Dashboard!$B$6))</f>
        <v/>
      </c>
      <c r="K429" s="31" t="str">
        <f aca="false">IF(OR($A429="",$I429=""),"",$I429+$J429)</f>
        <v/>
      </c>
      <c r="L429" s="26"/>
      <c r="M429" s="32"/>
      <c r="N429" s="33"/>
      <c r="O429" s="34" t="str">
        <f aca="false">IF($A429="","",N($M429)*N($N429))</f>
        <v/>
      </c>
      <c r="P429" s="34" t="str">
        <f aca="false">IF($A429="","",N($M429)+$O429)</f>
        <v/>
      </c>
      <c r="Q429" s="34" t="str">
        <f aca="false">IF($A429="","",SUMIFS('Credit Notes'!$F$6:$F$205,'Credit Notes'!$B$6:$B$205,$A429,'Credit Notes'!$H$6:$H$205,"Issued"))</f>
        <v/>
      </c>
      <c r="R429" s="34" t="str">
        <f aca="false">IF($A429="","",SUMIFS(Payments!$I$6:$I$505,Payments!$C$6:$C$505,$A429))</f>
        <v/>
      </c>
      <c r="S429" s="34" t="str">
        <f aca="false">IF($A429="","",IF($T429="Void",0,$P429-$Q429-$R429))</f>
        <v/>
      </c>
      <c r="T429" s="26"/>
      <c r="U429" s="35" t="str">
        <f aca="false">IF($A429="","",IF($T429="Void","Void",IF(OR($T429="",$T429="Draft"),"Draft",IF($T429="Disputed","Disputed",IF($S429&lt;-0.005,"Overpaid",IF($S429&lt;=0.005,"Paid",IF($R429+$Q429&gt;0.005,IF($V429&gt;0,"Part-paid, overdue","Part-paid"),IF($V429&gt;0,"Overdue","Outstanding"))))))))</f>
        <v/>
      </c>
      <c r="V429" s="36" t="str">
        <f aca="true">IF($A429="","",IF(AND(OR($T429="Issued",$T429="Disputed"),$S429&gt;0.005,$K429&lt;&gt;"",$K429&lt;TODAY()),TODAY()-$K429,0))</f>
        <v/>
      </c>
      <c r="W429" s="35" t="str">
        <f aca="false">IF($A429="","",IF(AND(OR($T429="Issued",$T429="Disputed"),$S429&gt;0.005),IF($V429&lt;=0,"Not yet due",IF($V429&lt;=30,"1 to 30 days",IF($V429&lt;=60,"31 to 60 days",IF($V429&lt;=90,"61 to 90 days","Over 90 days")))),""))</f>
        <v/>
      </c>
      <c r="X429" s="26"/>
      <c r="Y429" s="29"/>
      <c r="Z429" s="28"/>
      <c r="AA429" s="28"/>
    </row>
    <row r="430" customFormat="false" ht="15" hidden="false" customHeight="false" outlineLevel="0" collapsed="false">
      <c r="A430" s="26"/>
      <c r="B430" s="26"/>
      <c r="C430" s="27" t="str">
        <f aca="false">IF($B430="","",IFERROR(INDEX(Clients!$B$6:$B$105,MATCH($B430,Clients!$A$6:$A$105,0)),"Client not found"))</f>
        <v/>
      </c>
      <c r="D430" s="26"/>
      <c r="E430" s="26"/>
      <c r="F430" s="26"/>
      <c r="G430" s="26"/>
      <c r="H430" s="28"/>
      <c r="I430" s="29"/>
      <c r="J430" s="30" t="str">
        <f aca="false">IF($A430="","",IFERROR(IF(N(INDEX(Clients!$E$6:$E$105,MATCH($B430,Clients!$A$6:$A$105,0)))&gt;0,INDEX(Clients!$E$6:$E$105,MATCH($B430,Clients!$A$6:$A$105,0)),Dashboard!$B$6),Dashboard!$B$6))</f>
        <v/>
      </c>
      <c r="K430" s="31" t="str">
        <f aca="false">IF(OR($A430="",$I430=""),"",$I430+$J430)</f>
        <v/>
      </c>
      <c r="L430" s="26"/>
      <c r="M430" s="32"/>
      <c r="N430" s="33"/>
      <c r="O430" s="34" t="str">
        <f aca="false">IF($A430="","",N($M430)*N($N430))</f>
        <v/>
      </c>
      <c r="P430" s="34" t="str">
        <f aca="false">IF($A430="","",N($M430)+$O430)</f>
        <v/>
      </c>
      <c r="Q430" s="34" t="str">
        <f aca="false">IF($A430="","",SUMIFS('Credit Notes'!$F$6:$F$205,'Credit Notes'!$B$6:$B$205,$A430,'Credit Notes'!$H$6:$H$205,"Issued"))</f>
        <v/>
      </c>
      <c r="R430" s="34" t="str">
        <f aca="false">IF($A430="","",SUMIFS(Payments!$I$6:$I$505,Payments!$C$6:$C$505,$A430))</f>
        <v/>
      </c>
      <c r="S430" s="34" t="str">
        <f aca="false">IF($A430="","",IF($T430="Void",0,$P430-$Q430-$R430))</f>
        <v/>
      </c>
      <c r="T430" s="26"/>
      <c r="U430" s="35" t="str">
        <f aca="false">IF($A430="","",IF($T430="Void","Void",IF(OR($T430="",$T430="Draft"),"Draft",IF($T430="Disputed","Disputed",IF($S430&lt;-0.005,"Overpaid",IF($S430&lt;=0.005,"Paid",IF($R430+$Q430&gt;0.005,IF($V430&gt;0,"Part-paid, overdue","Part-paid"),IF($V430&gt;0,"Overdue","Outstanding"))))))))</f>
        <v/>
      </c>
      <c r="V430" s="36" t="str">
        <f aca="true">IF($A430="","",IF(AND(OR($T430="Issued",$T430="Disputed"),$S430&gt;0.005,$K430&lt;&gt;"",$K430&lt;TODAY()),TODAY()-$K430,0))</f>
        <v/>
      </c>
      <c r="W430" s="35" t="str">
        <f aca="false">IF($A430="","",IF(AND(OR($T430="Issued",$T430="Disputed"),$S430&gt;0.005),IF($V430&lt;=0,"Not yet due",IF($V430&lt;=30,"1 to 30 days",IF($V430&lt;=60,"31 to 60 days",IF($V430&lt;=90,"61 to 90 days","Over 90 days")))),""))</f>
        <v/>
      </c>
      <c r="X430" s="26"/>
      <c r="Y430" s="29"/>
      <c r="Z430" s="28"/>
      <c r="AA430" s="28"/>
    </row>
    <row r="431" customFormat="false" ht="15" hidden="false" customHeight="false" outlineLevel="0" collapsed="false">
      <c r="A431" s="26"/>
      <c r="B431" s="26"/>
      <c r="C431" s="27" t="str">
        <f aca="false">IF($B431="","",IFERROR(INDEX(Clients!$B$6:$B$105,MATCH($B431,Clients!$A$6:$A$105,0)),"Client not found"))</f>
        <v/>
      </c>
      <c r="D431" s="26"/>
      <c r="E431" s="26"/>
      <c r="F431" s="26"/>
      <c r="G431" s="26"/>
      <c r="H431" s="28"/>
      <c r="I431" s="29"/>
      <c r="J431" s="30" t="str">
        <f aca="false">IF($A431="","",IFERROR(IF(N(INDEX(Clients!$E$6:$E$105,MATCH($B431,Clients!$A$6:$A$105,0)))&gt;0,INDEX(Clients!$E$6:$E$105,MATCH($B431,Clients!$A$6:$A$105,0)),Dashboard!$B$6),Dashboard!$B$6))</f>
        <v/>
      </c>
      <c r="K431" s="31" t="str">
        <f aca="false">IF(OR($A431="",$I431=""),"",$I431+$J431)</f>
        <v/>
      </c>
      <c r="L431" s="26"/>
      <c r="M431" s="32"/>
      <c r="N431" s="33"/>
      <c r="O431" s="34" t="str">
        <f aca="false">IF($A431="","",N($M431)*N($N431))</f>
        <v/>
      </c>
      <c r="P431" s="34" t="str">
        <f aca="false">IF($A431="","",N($M431)+$O431)</f>
        <v/>
      </c>
      <c r="Q431" s="34" t="str">
        <f aca="false">IF($A431="","",SUMIFS('Credit Notes'!$F$6:$F$205,'Credit Notes'!$B$6:$B$205,$A431,'Credit Notes'!$H$6:$H$205,"Issued"))</f>
        <v/>
      </c>
      <c r="R431" s="34" t="str">
        <f aca="false">IF($A431="","",SUMIFS(Payments!$I$6:$I$505,Payments!$C$6:$C$505,$A431))</f>
        <v/>
      </c>
      <c r="S431" s="34" t="str">
        <f aca="false">IF($A431="","",IF($T431="Void",0,$P431-$Q431-$R431))</f>
        <v/>
      </c>
      <c r="T431" s="26"/>
      <c r="U431" s="35" t="str">
        <f aca="false">IF($A431="","",IF($T431="Void","Void",IF(OR($T431="",$T431="Draft"),"Draft",IF($T431="Disputed","Disputed",IF($S431&lt;-0.005,"Overpaid",IF($S431&lt;=0.005,"Paid",IF($R431+$Q431&gt;0.005,IF($V431&gt;0,"Part-paid, overdue","Part-paid"),IF($V431&gt;0,"Overdue","Outstanding"))))))))</f>
        <v/>
      </c>
      <c r="V431" s="36" t="str">
        <f aca="true">IF($A431="","",IF(AND(OR($T431="Issued",$T431="Disputed"),$S431&gt;0.005,$K431&lt;&gt;"",$K431&lt;TODAY()),TODAY()-$K431,0))</f>
        <v/>
      </c>
      <c r="W431" s="35" t="str">
        <f aca="false">IF($A431="","",IF(AND(OR($T431="Issued",$T431="Disputed"),$S431&gt;0.005),IF($V431&lt;=0,"Not yet due",IF($V431&lt;=30,"1 to 30 days",IF($V431&lt;=60,"31 to 60 days",IF($V431&lt;=90,"61 to 90 days","Over 90 days")))),""))</f>
        <v/>
      </c>
      <c r="X431" s="26"/>
      <c r="Y431" s="29"/>
      <c r="Z431" s="28"/>
      <c r="AA431" s="28"/>
    </row>
    <row r="432" customFormat="false" ht="15" hidden="false" customHeight="false" outlineLevel="0" collapsed="false">
      <c r="A432" s="26"/>
      <c r="B432" s="26"/>
      <c r="C432" s="27" t="str">
        <f aca="false">IF($B432="","",IFERROR(INDEX(Clients!$B$6:$B$105,MATCH($B432,Clients!$A$6:$A$105,0)),"Client not found"))</f>
        <v/>
      </c>
      <c r="D432" s="26"/>
      <c r="E432" s="26"/>
      <c r="F432" s="26"/>
      <c r="G432" s="26"/>
      <c r="H432" s="28"/>
      <c r="I432" s="29"/>
      <c r="J432" s="30" t="str">
        <f aca="false">IF($A432="","",IFERROR(IF(N(INDEX(Clients!$E$6:$E$105,MATCH($B432,Clients!$A$6:$A$105,0)))&gt;0,INDEX(Clients!$E$6:$E$105,MATCH($B432,Clients!$A$6:$A$105,0)),Dashboard!$B$6),Dashboard!$B$6))</f>
        <v/>
      </c>
      <c r="K432" s="31" t="str">
        <f aca="false">IF(OR($A432="",$I432=""),"",$I432+$J432)</f>
        <v/>
      </c>
      <c r="L432" s="26"/>
      <c r="M432" s="32"/>
      <c r="N432" s="33"/>
      <c r="O432" s="34" t="str">
        <f aca="false">IF($A432="","",N($M432)*N($N432))</f>
        <v/>
      </c>
      <c r="P432" s="34" t="str">
        <f aca="false">IF($A432="","",N($M432)+$O432)</f>
        <v/>
      </c>
      <c r="Q432" s="34" t="str">
        <f aca="false">IF($A432="","",SUMIFS('Credit Notes'!$F$6:$F$205,'Credit Notes'!$B$6:$B$205,$A432,'Credit Notes'!$H$6:$H$205,"Issued"))</f>
        <v/>
      </c>
      <c r="R432" s="34" t="str">
        <f aca="false">IF($A432="","",SUMIFS(Payments!$I$6:$I$505,Payments!$C$6:$C$505,$A432))</f>
        <v/>
      </c>
      <c r="S432" s="34" t="str">
        <f aca="false">IF($A432="","",IF($T432="Void",0,$P432-$Q432-$R432))</f>
        <v/>
      </c>
      <c r="T432" s="26"/>
      <c r="U432" s="35" t="str">
        <f aca="false">IF($A432="","",IF($T432="Void","Void",IF(OR($T432="",$T432="Draft"),"Draft",IF($T432="Disputed","Disputed",IF($S432&lt;-0.005,"Overpaid",IF($S432&lt;=0.005,"Paid",IF($R432+$Q432&gt;0.005,IF($V432&gt;0,"Part-paid, overdue","Part-paid"),IF($V432&gt;0,"Overdue","Outstanding"))))))))</f>
        <v/>
      </c>
      <c r="V432" s="36" t="str">
        <f aca="true">IF($A432="","",IF(AND(OR($T432="Issued",$T432="Disputed"),$S432&gt;0.005,$K432&lt;&gt;"",$K432&lt;TODAY()),TODAY()-$K432,0))</f>
        <v/>
      </c>
      <c r="W432" s="35" t="str">
        <f aca="false">IF($A432="","",IF(AND(OR($T432="Issued",$T432="Disputed"),$S432&gt;0.005),IF($V432&lt;=0,"Not yet due",IF($V432&lt;=30,"1 to 30 days",IF($V432&lt;=60,"31 to 60 days",IF($V432&lt;=90,"61 to 90 days","Over 90 days")))),""))</f>
        <v/>
      </c>
      <c r="X432" s="26"/>
      <c r="Y432" s="29"/>
      <c r="Z432" s="28"/>
      <c r="AA432" s="28"/>
    </row>
    <row r="433" customFormat="false" ht="15" hidden="false" customHeight="false" outlineLevel="0" collapsed="false">
      <c r="A433" s="26"/>
      <c r="B433" s="26"/>
      <c r="C433" s="27" t="str">
        <f aca="false">IF($B433="","",IFERROR(INDEX(Clients!$B$6:$B$105,MATCH($B433,Clients!$A$6:$A$105,0)),"Client not found"))</f>
        <v/>
      </c>
      <c r="D433" s="26"/>
      <c r="E433" s="26"/>
      <c r="F433" s="26"/>
      <c r="G433" s="26"/>
      <c r="H433" s="28"/>
      <c r="I433" s="29"/>
      <c r="J433" s="30" t="str">
        <f aca="false">IF($A433="","",IFERROR(IF(N(INDEX(Clients!$E$6:$E$105,MATCH($B433,Clients!$A$6:$A$105,0)))&gt;0,INDEX(Clients!$E$6:$E$105,MATCH($B433,Clients!$A$6:$A$105,0)),Dashboard!$B$6),Dashboard!$B$6))</f>
        <v/>
      </c>
      <c r="K433" s="31" t="str">
        <f aca="false">IF(OR($A433="",$I433=""),"",$I433+$J433)</f>
        <v/>
      </c>
      <c r="L433" s="26"/>
      <c r="M433" s="32"/>
      <c r="N433" s="33"/>
      <c r="O433" s="34" t="str">
        <f aca="false">IF($A433="","",N($M433)*N($N433))</f>
        <v/>
      </c>
      <c r="P433" s="34" t="str">
        <f aca="false">IF($A433="","",N($M433)+$O433)</f>
        <v/>
      </c>
      <c r="Q433" s="34" t="str">
        <f aca="false">IF($A433="","",SUMIFS('Credit Notes'!$F$6:$F$205,'Credit Notes'!$B$6:$B$205,$A433,'Credit Notes'!$H$6:$H$205,"Issued"))</f>
        <v/>
      </c>
      <c r="R433" s="34" t="str">
        <f aca="false">IF($A433="","",SUMIFS(Payments!$I$6:$I$505,Payments!$C$6:$C$505,$A433))</f>
        <v/>
      </c>
      <c r="S433" s="34" t="str">
        <f aca="false">IF($A433="","",IF($T433="Void",0,$P433-$Q433-$R433))</f>
        <v/>
      </c>
      <c r="T433" s="26"/>
      <c r="U433" s="35" t="str">
        <f aca="false">IF($A433="","",IF($T433="Void","Void",IF(OR($T433="",$T433="Draft"),"Draft",IF($T433="Disputed","Disputed",IF($S433&lt;-0.005,"Overpaid",IF($S433&lt;=0.005,"Paid",IF($R433+$Q433&gt;0.005,IF($V433&gt;0,"Part-paid, overdue","Part-paid"),IF($V433&gt;0,"Overdue","Outstanding"))))))))</f>
        <v/>
      </c>
      <c r="V433" s="36" t="str">
        <f aca="true">IF($A433="","",IF(AND(OR($T433="Issued",$T433="Disputed"),$S433&gt;0.005,$K433&lt;&gt;"",$K433&lt;TODAY()),TODAY()-$K433,0))</f>
        <v/>
      </c>
      <c r="W433" s="35" t="str">
        <f aca="false">IF($A433="","",IF(AND(OR($T433="Issued",$T433="Disputed"),$S433&gt;0.005),IF($V433&lt;=0,"Not yet due",IF($V433&lt;=30,"1 to 30 days",IF($V433&lt;=60,"31 to 60 days",IF($V433&lt;=90,"61 to 90 days","Over 90 days")))),""))</f>
        <v/>
      </c>
      <c r="X433" s="26"/>
      <c r="Y433" s="29"/>
      <c r="Z433" s="28"/>
      <c r="AA433" s="28"/>
    </row>
    <row r="434" customFormat="false" ht="15" hidden="false" customHeight="false" outlineLevel="0" collapsed="false">
      <c r="A434" s="26"/>
      <c r="B434" s="26"/>
      <c r="C434" s="27" t="str">
        <f aca="false">IF($B434="","",IFERROR(INDEX(Clients!$B$6:$B$105,MATCH($B434,Clients!$A$6:$A$105,0)),"Client not found"))</f>
        <v/>
      </c>
      <c r="D434" s="26"/>
      <c r="E434" s="26"/>
      <c r="F434" s="26"/>
      <c r="G434" s="26"/>
      <c r="H434" s="28"/>
      <c r="I434" s="29"/>
      <c r="J434" s="30" t="str">
        <f aca="false">IF($A434="","",IFERROR(IF(N(INDEX(Clients!$E$6:$E$105,MATCH($B434,Clients!$A$6:$A$105,0)))&gt;0,INDEX(Clients!$E$6:$E$105,MATCH($B434,Clients!$A$6:$A$105,0)),Dashboard!$B$6),Dashboard!$B$6))</f>
        <v/>
      </c>
      <c r="K434" s="31" t="str">
        <f aca="false">IF(OR($A434="",$I434=""),"",$I434+$J434)</f>
        <v/>
      </c>
      <c r="L434" s="26"/>
      <c r="M434" s="32"/>
      <c r="N434" s="33"/>
      <c r="O434" s="34" t="str">
        <f aca="false">IF($A434="","",N($M434)*N($N434))</f>
        <v/>
      </c>
      <c r="P434" s="34" t="str">
        <f aca="false">IF($A434="","",N($M434)+$O434)</f>
        <v/>
      </c>
      <c r="Q434" s="34" t="str">
        <f aca="false">IF($A434="","",SUMIFS('Credit Notes'!$F$6:$F$205,'Credit Notes'!$B$6:$B$205,$A434,'Credit Notes'!$H$6:$H$205,"Issued"))</f>
        <v/>
      </c>
      <c r="R434" s="34" t="str">
        <f aca="false">IF($A434="","",SUMIFS(Payments!$I$6:$I$505,Payments!$C$6:$C$505,$A434))</f>
        <v/>
      </c>
      <c r="S434" s="34" t="str">
        <f aca="false">IF($A434="","",IF($T434="Void",0,$P434-$Q434-$R434))</f>
        <v/>
      </c>
      <c r="T434" s="26"/>
      <c r="U434" s="35" t="str">
        <f aca="false">IF($A434="","",IF($T434="Void","Void",IF(OR($T434="",$T434="Draft"),"Draft",IF($T434="Disputed","Disputed",IF($S434&lt;-0.005,"Overpaid",IF($S434&lt;=0.005,"Paid",IF($R434+$Q434&gt;0.005,IF($V434&gt;0,"Part-paid, overdue","Part-paid"),IF($V434&gt;0,"Overdue","Outstanding"))))))))</f>
        <v/>
      </c>
      <c r="V434" s="36" t="str">
        <f aca="true">IF($A434="","",IF(AND(OR($T434="Issued",$T434="Disputed"),$S434&gt;0.005,$K434&lt;&gt;"",$K434&lt;TODAY()),TODAY()-$K434,0))</f>
        <v/>
      </c>
      <c r="W434" s="35" t="str">
        <f aca="false">IF($A434="","",IF(AND(OR($T434="Issued",$T434="Disputed"),$S434&gt;0.005),IF($V434&lt;=0,"Not yet due",IF($V434&lt;=30,"1 to 30 days",IF($V434&lt;=60,"31 to 60 days",IF($V434&lt;=90,"61 to 90 days","Over 90 days")))),""))</f>
        <v/>
      </c>
      <c r="X434" s="26"/>
      <c r="Y434" s="29"/>
      <c r="Z434" s="28"/>
      <c r="AA434" s="28"/>
    </row>
    <row r="435" customFormat="false" ht="15" hidden="false" customHeight="false" outlineLevel="0" collapsed="false">
      <c r="A435" s="26"/>
      <c r="B435" s="26"/>
      <c r="C435" s="27" t="str">
        <f aca="false">IF($B435="","",IFERROR(INDEX(Clients!$B$6:$B$105,MATCH($B435,Clients!$A$6:$A$105,0)),"Client not found"))</f>
        <v/>
      </c>
      <c r="D435" s="26"/>
      <c r="E435" s="26"/>
      <c r="F435" s="26"/>
      <c r="G435" s="26"/>
      <c r="H435" s="28"/>
      <c r="I435" s="29"/>
      <c r="J435" s="30" t="str">
        <f aca="false">IF($A435="","",IFERROR(IF(N(INDEX(Clients!$E$6:$E$105,MATCH($B435,Clients!$A$6:$A$105,0)))&gt;0,INDEX(Clients!$E$6:$E$105,MATCH($B435,Clients!$A$6:$A$105,0)),Dashboard!$B$6),Dashboard!$B$6))</f>
        <v/>
      </c>
      <c r="K435" s="31" t="str">
        <f aca="false">IF(OR($A435="",$I435=""),"",$I435+$J435)</f>
        <v/>
      </c>
      <c r="L435" s="26"/>
      <c r="M435" s="32"/>
      <c r="N435" s="33"/>
      <c r="O435" s="34" t="str">
        <f aca="false">IF($A435="","",N($M435)*N($N435))</f>
        <v/>
      </c>
      <c r="P435" s="34" t="str">
        <f aca="false">IF($A435="","",N($M435)+$O435)</f>
        <v/>
      </c>
      <c r="Q435" s="34" t="str">
        <f aca="false">IF($A435="","",SUMIFS('Credit Notes'!$F$6:$F$205,'Credit Notes'!$B$6:$B$205,$A435,'Credit Notes'!$H$6:$H$205,"Issued"))</f>
        <v/>
      </c>
      <c r="R435" s="34" t="str">
        <f aca="false">IF($A435="","",SUMIFS(Payments!$I$6:$I$505,Payments!$C$6:$C$505,$A435))</f>
        <v/>
      </c>
      <c r="S435" s="34" t="str">
        <f aca="false">IF($A435="","",IF($T435="Void",0,$P435-$Q435-$R435))</f>
        <v/>
      </c>
      <c r="T435" s="26"/>
      <c r="U435" s="35" t="str">
        <f aca="false">IF($A435="","",IF($T435="Void","Void",IF(OR($T435="",$T435="Draft"),"Draft",IF($T435="Disputed","Disputed",IF($S435&lt;-0.005,"Overpaid",IF($S435&lt;=0.005,"Paid",IF($R435+$Q435&gt;0.005,IF($V435&gt;0,"Part-paid, overdue","Part-paid"),IF($V435&gt;0,"Overdue","Outstanding"))))))))</f>
        <v/>
      </c>
      <c r="V435" s="36" t="str">
        <f aca="true">IF($A435="","",IF(AND(OR($T435="Issued",$T435="Disputed"),$S435&gt;0.005,$K435&lt;&gt;"",$K435&lt;TODAY()),TODAY()-$K435,0))</f>
        <v/>
      </c>
      <c r="W435" s="35" t="str">
        <f aca="false">IF($A435="","",IF(AND(OR($T435="Issued",$T435="Disputed"),$S435&gt;0.005),IF($V435&lt;=0,"Not yet due",IF($V435&lt;=30,"1 to 30 days",IF($V435&lt;=60,"31 to 60 days",IF($V435&lt;=90,"61 to 90 days","Over 90 days")))),""))</f>
        <v/>
      </c>
      <c r="X435" s="26"/>
      <c r="Y435" s="29"/>
      <c r="Z435" s="28"/>
      <c r="AA435" s="28"/>
    </row>
    <row r="436" customFormat="false" ht="15" hidden="false" customHeight="false" outlineLevel="0" collapsed="false">
      <c r="A436" s="26"/>
      <c r="B436" s="26"/>
      <c r="C436" s="27" t="str">
        <f aca="false">IF($B436="","",IFERROR(INDEX(Clients!$B$6:$B$105,MATCH($B436,Clients!$A$6:$A$105,0)),"Client not found"))</f>
        <v/>
      </c>
      <c r="D436" s="26"/>
      <c r="E436" s="26"/>
      <c r="F436" s="26"/>
      <c r="G436" s="26"/>
      <c r="H436" s="28"/>
      <c r="I436" s="29"/>
      <c r="J436" s="30" t="str">
        <f aca="false">IF($A436="","",IFERROR(IF(N(INDEX(Clients!$E$6:$E$105,MATCH($B436,Clients!$A$6:$A$105,0)))&gt;0,INDEX(Clients!$E$6:$E$105,MATCH($B436,Clients!$A$6:$A$105,0)),Dashboard!$B$6),Dashboard!$B$6))</f>
        <v/>
      </c>
      <c r="K436" s="31" t="str">
        <f aca="false">IF(OR($A436="",$I436=""),"",$I436+$J436)</f>
        <v/>
      </c>
      <c r="L436" s="26"/>
      <c r="M436" s="32"/>
      <c r="N436" s="33"/>
      <c r="O436" s="34" t="str">
        <f aca="false">IF($A436="","",N($M436)*N($N436))</f>
        <v/>
      </c>
      <c r="P436" s="34" t="str">
        <f aca="false">IF($A436="","",N($M436)+$O436)</f>
        <v/>
      </c>
      <c r="Q436" s="34" t="str">
        <f aca="false">IF($A436="","",SUMIFS('Credit Notes'!$F$6:$F$205,'Credit Notes'!$B$6:$B$205,$A436,'Credit Notes'!$H$6:$H$205,"Issued"))</f>
        <v/>
      </c>
      <c r="R436" s="34" t="str">
        <f aca="false">IF($A436="","",SUMIFS(Payments!$I$6:$I$505,Payments!$C$6:$C$505,$A436))</f>
        <v/>
      </c>
      <c r="S436" s="34" t="str">
        <f aca="false">IF($A436="","",IF($T436="Void",0,$P436-$Q436-$R436))</f>
        <v/>
      </c>
      <c r="T436" s="26"/>
      <c r="U436" s="35" t="str">
        <f aca="false">IF($A436="","",IF($T436="Void","Void",IF(OR($T436="",$T436="Draft"),"Draft",IF($T436="Disputed","Disputed",IF($S436&lt;-0.005,"Overpaid",IF($S436&lt;=0.005,"Paid",IF($R436+$Q436&gt;0.005,IF($V436&gt;0,"Part-paid, overdue","Part-paid"),IF($V436&gt;0,"Overdue","Outstanding"))))))))</f>
        <v/>
      </c>
      <c r="V436" s="36" t="str">
        <f aca="true">IF($A436="","",IF(AND(OR($T436="Issued",$T436="Disputed"),$S436&gt;0.005,$K436&lt;&gt;"",$K436&lt;TODAY()),TODAY()-$K436,0))</f>
        <v/>
      </c>
      <c r="W436" s="35" t="str">
        <f aca="false">IF($A436="","",IF(AND(OR($T436="Issued",$T436="Disputed"),$S436&gt;0.005),IF($V436&lt;=0,"Not yet due",IF($V436&lt;=30,"1 to 30 days",IF($V436&lt;=60,"31 to 60 days",IF($V436&lt;=90,"61 to 90 days","Over 90 days")))),""))</f>
        <v/>
      </c>
      <c r="X436" s="26"/>
      <c r="Y436" s="29"/>
      <c r="Z436" s="28"/>
      <c r="AA436" s="28"/>
    </row>
    <row r="437" customFormat="false" ht="15" hidden="false" customHeight="false" outlineLevel="0" collapsed="false">
      <c r="A437" s="26"/>
      <c r="B437" s="26"/>
      <c r="C437" s="27" t="str">
        <f aca="false">IF($B437="","",IFERROR(INDEX(Clients!$B$6:$B$105,MATCH($B437,Clients!$A$6:$A$105,0)),"Client not found"))</f>
        <v/>
      </c>
      <c r="D437" s="26"/>
      <c r="E437" s="26"/>
      <c r="F437" s="26"/>
      <c r="G437" s="26"/>
      <c r="H437" s="28"/>
      <c r="I437" s="29"/>
      <c r="J437" s="30" t="str">
        <f aca="false">IF($A437="","",IFERROR(IF(N(INDEX(Clients!$E$6:$E$105,MATCH($B437,Clients!$A$6:$A$105,0)))&gt;0,INDEX(Clients!$E$6:$E$105,MATCH($B437,Clients!$A$6:$A$105,0)),Dashboard!$B$6),Dashboard!$B$6))</f>
        <v/>
      </c>
      <c r="K437" s="31" t="str">
        <f aca="false">IF(OR($A437="",$I437=""),"",$I437+$J437)</f>
        <v/>
      </c>
      <c r="L437" s="26"/>
      <c r="M437" s="32"/>
      <c r="N437" s="33"/>
      <c r="O437" s="34" t="str">
        <f aca="false">IF($A437="","",N($M437)*N($N437))</f>
        <v/>
      </c>
      <c r="P437" s="34" t="str">
        <f aca="false">IF($A437="","",N($M437)+$O437)</f>
        <v/>
      </c>
      <c r="Q437" s="34" t="str">
        <f aca="false">IF($A437="","",SUMIFS('Credit Notes'!$F$6:$F$205,'Credit Notes'!$B$6:$B$205,$A437,'Credit Notes'!$H$6:$H$205,"Issued"))</f>
        <v/>
      </c>
      <c r="R437" s="34" t="str">
        <f aca="false">IF($A437="","",SUMIFS(Payments!$I$6:$I$505,Payments!$C$6:$C$505,$A437))</f>
        <v/>
      </c>
      <c r="S437" s="34" t="str">
        <f aca="false">IF($A437="","",IF($T437="Void",0,$P437-$Q437-$R437))</f>
        <v/>
      </c>
      <c r="T437" s="26"/>
      <c r="U437" s="35" t="str">
        <f aca="false">IF($A437="","",IF($T437="Void","Void",IF(OR($T437="",$T437="Draft"),"Draft",IF($T437="Disputed","Disputed",IF($S437&lt;-0.005,"Overpaid",IF($S437&lt;=0.005,"Paid",IF($R437+$Q437&gt;0.005,IF($V437&gt;0,"Part-paid, overdue","Part-paid"),IF($V437&gt;0,"Overdue","Outstanding"))))))))</f>
        <v/>
      </c>
      <c r="V437" s="36" t="str">
        <f aca="true">IF($A437="","",IF(AND(OR($T437="Issued",$T437="Disputed"),$S437&gt;0.005,$K437&lt;&gt;"",$K437&lt;TODAY()),TODAY()-$K437,0))</f>
        <v/>
      </c>
      <c r="W437" s="35" t="str">
        <f aca="false">IF($A437="","",IF(AND(OR($T437="Issued",$T437="Disputed"),$S437&gt;0.005),IF($V437&lt;=0,"Not yet due",IF($V437&lt;=30,"1 to 30 days",IF($V437&lt;=60,"31 to 60 days",IF($V437&lt;=90,"61 to 90 days","Over 90 days")))),""))</f>
        <v/>
      </c>
      <c r="X437" s="26"/>
      <c r="Y437" s="29"/>
      <c r="Z437" s="28"/>
      <c r="AA437" s="28"/>
    </row>
    <row r="438" customFormat="false" ht="15" hidden="false" customHeight="false" outlineLevel="0" collapsed="false">
      <c r="A438" s="26"/>
      <c r="B438" s="26"/>
      <c r="C438" s="27" t="str">
        <f aca="false">IF($B438="","",IFERROR(INDEX(Clients!$B$6:$B$105,MATCH($B438,Clients!$A$6:$A$105,0)),"Client not found"))</f>
        <v/>
      </c>
      <c r="D438" s="26"/>
      <c r="E438" s="26"/>
      <c r="F438" s="26"/>
      <c r="G438" s="26"/>
      <c r="H438" s="28"/>
      <c r="I438" s="29"/>
      <c r="J438" s="30" t="str">
        <f aca="false">IF($A438="","",IFERROR(IF(N(INDEX(Clients!$E$6:$E$105,MATCH($B438,Clients!$A$6:$A$105,0)))&gt;0,INDEX(Clients!$E$6:$E$105,MATCH($B438,Clients!$A$6:$A$105,0)),Dashboard!$B$6),Dashboard!$B$6))</f>
        <v/>
      </c>
      <c r="K438" s="31" t="str">
        <f aca="false">IF(OR($A438="",$I438=""),"",$I438+$J438)</f>
        <v/>
      </c>
      <c r="L438" s="26"/>
      <c r="M438" s="32"/>
      <c r="N438" s="33"/>
      <c r="O438" s="34" t="str">
        <f aca="false">IF($A438="","",N($M438)*N($N438))</f>
        <v/>
      </c>
      <c r="P438" s="34" t="str">
        <f aca="false">IF($A438="","",N($M438)+$O438)</f>
        <v/>
      </c>
      <c r="Q438" s="34" t="str">
        <f aca="false">IF($A438="","",SUMIFS('Credit Notes'!$F$6:$F$205,'Credit Notes'!$B$6:$B$205,$A438,'Credit Notes'!$H$6:$H$205,"Issued"))</f>
        <v/>
      </c>
      <c r="R438" s="34" t="str">
        <f aca="false">IF($A438="","",SUMIFS(Payments!$I$6:$I$505,Payments!$C$6:$C$505,$A438))</f>
        <v/>
      </c>
      <c r="S438" s="34" t="str">
        <f aca="false">IF($A438="","",IF($T438="Void",0,$P438-$Q438-$R438))</f>
        <v/>
      </c>
      <c r="T438" s="26"/>
      <c r="U438" s="35" t="str">
        <f aca="false">IF($A438="","",IF($T438="Void","Void",IF(OR($T438="",$T438="Draft"),"Draft",IF($T438="Disputed","Disputed",IF($S438&lt;-0.005,"Overpaid",IF($S438&lt;=0.005,"Paid",IF($R438+$Q438&gt;0.005,IF($V438&gt;0,"Part-paid, overdue","Part-paid"),IF($V438&gt;0,"Overdue","Outstanding"))))))))</f>
        <v/>
      </c>
      <c r="V438" s="36" t="str">
        <f aca="true">IF($A438="","",IF(AND(OR($T438="Issued",$T438="Disputed"),$S438&gt;0.005,$K438&lt;&gt;"",$K438&lt;TODAY()),TODAY()-$K438,0))</f>
        <v/>
      </c>
      <c r="W438" s="35" t="str">
        <f aca="false">IF($A438="","",IF(AND(OR($T438="Issued",$T438="Disputed"),$S438&gt;0.005),IF($V438&lt;=0,"Not yet due",IF($V438&lt;=30,"1 to 30 days",IF($V438&lt;=60,"31 to 60 days",IF($V438&lt;=90,"61 to 90 days","Over 90 days")))),""))</f>
        <v/>
      </c>
      <c r="X438" s="26"/>
      <c r="Y438" s="29"/>
      <c r="Z438" s="28"/>
      <c r="AA438" s="28"/>
    </row>
    <row r="439" customFormat="false" ht="15" hidden="false" customHeight="false" outlineLevel="0" collapsed="false">
      <c r="A439" s="26"/>
      <c r="B439" s="26"/>
      <c r="C439" s="27" t="str">
        <f aca="false">IF($B439="","",IFERROR(INDEX(Clients!$B$6:$B$105,MATCH($B439,Clients!$A$6:$A$105,0)),"Client not found"))</f>
        <v/>
      </c>
      <c r="D439" s="26"/>
      <c r="E439" s="26"/>
      <c r="F439" s="26"/>
      <c r="G439" s="26"/>
      <c r="H439" s="28"/>
      <c r="I439" s="29"/>
      <c r="J439" s="30" t="str">
        <f aca="false">IF($A439="","",IFERROR(IF(N(INDEX(Clients!$E$6:$E$105,MATCH($B439,Clients!$A$6:$A$105,0)))&gt;0,INDEX(Clients!$E$6:$E$105,MATCH($B439,Clients!$A$6:$A$105,0)),Dashboard!$B$6),Dashboard!$B$6))</f>
        <v/>
      </c>
      <c r="K439" s="31" t="str">
        <f aca="false">IF(OR($A439="",$I439=""),"",$I439+$J439)</f>
        <v/>
      </c>
      <c r="L439" s="26"/>
      <c r="M439" s="32"/>
      <c r="N439" s="33"/>
      <c r="O439" s="34" t="str">
        <f aca="false">IF($A439="","",N($M439)*N($N439))</f>
        <v/>
      </c>
      <c r="P439" s="34" t="str">
        <f aca="false">IF($A439="","",N($M439)+$O439)</f>
        <v/>
      </c>
      <c r="Q439" s="34" t="str">
        <f aca="false">IF($A439="","",SUMIFS('Credit Notes'!$F$6:$F$205,'Credit Notes'!$B$6:$B$205,$A439,'Credit Notes'!$H$6:$H$205,"Issued"))</f>
        <v/>
      </c>
      <c r="R439" s="34" t="str">
        <f aca="false">IF($A439="","",SUMIFS(Payments!$I$6:$I$505,Payments!$C$6:$C$505,$A439))</f>
        <v/>
      </c>
      <c r="S439" s="34" t="str">
        <f aca="false">IF($A439="","",IF($T439="Void",0,$P439-$Q439-$R439))</f>
        <v/>
      </c>
      <c r="T439" s="26"/>
      <c r="U439" s="35" t="str">
        <f aca="false">IF($A439="","",IF($T439="Void","Void",IF(OR($T439="",$T439="Draft"),"Draft",IF($T439="Disputed","Disputed",IF($S439&lt;-0.005,"Overpaid",IF($S439&lt;=0.005,"Paid",IF($R439+$Q439&gt;0.005,IF($V439&gt;0,"Part-paid, overdue","Part-paid"),IF($V439&gt;0,"Overdue","Outstanding"))))))))</f>
        <v/>
      </c>
      <c r="V439" s="36" t="str">
        <f aca="true">IF($A439="","",IF(AND(OR($T439="Issued",$T439="Disputed"),$S439&gt;0.005,$K439&lt;&gt;"",$K439&lt;TODAY()),TODAY()-$K439,0))</f>
        <v/>
      </c>
      <c r="W439" s="35" t="str">
        <f aca="false">IF($A439="","",IF(AND(OR($T439="Issued",$T439="Disputed"),$S439&gt;0.005),IF($V439&lt;=0,"Not yet due",IF($V439&lt;=30,"1 to 30 days",IF($V439&lt;=60,"31 to 60 days",IF($V439&lt;=90,"61 to 90 days","Over 90 days")))),""))</f>
        <v/>
      </c>
      <c r="X439" s="26"/>
      <c r="Y439" s="29"/>
      <c r="Z439" s="28"/>
      <c r="AA439" s="28"/>
    </row>
    <row r="440" customFormat="false" ht="15" hidden="false" customHeight="false" outlineLevel="0" collapsed="false">
      <c r="A440" s="26"/>
      <c r="B440" s="26"/>
      <c r="C440" s="27" t="str">
        <f aca="false">IF($B440="","",IFERROR(INDEX(Clients!$B$6:$B$105,MATCH($B440,Clients!$A$6:$A$105,0)),"Client not found"))</f>
        <v/>
      </c>
      <c r="D440" s="26"/>
      <c r="E440" s="26"/>
      <c r="F440" s="26"/>
      <c r="G440" s="26"/>
      <c r="H440" s="28"/>
      <c r="I440" s="29"/>
      <c r="J440" s="30" t="str">
        <f aca="false">IF($A440="","",IFERROR(IF(N(INDEX(Clients!$E$6:$E$105,MATCH($B440,Clients!$A$6:$A$105,0)))&gt;0,INDEX(Clients!$E$6:$E$105,MATCH($B440,Clients!$A$6:$A$105,0)),Dashboard!$B$6),Dashboard!$B$6))</f>
        <v/>
      </c>
      <c r="K440" s="31" t="str">
        <f aca="false">IF(OR($A440="",$I440=""),"",$I440+$J440)</f>
        <v/>
      </c>
      <c r="L440" s="26"/>
      <c r="M440" s="32"/>
      <c r="N440" s="33"/>
      <c r="O440" s="34" t="str">
        <f aca="false">IF($A440="","",N($M440)*N($N440))</f>
        <v/>
      </c>
      <c r="P440" s="34" t="str">
        <f aca="false">IF($A440="","",N($M440)+$O440)</f>
        <v/>
      </c>
      <c r="Q440" s="34" t="str">
        <f aca="false">IF($A440="","",SUMIFS('Credit Notes'!$F$6:$F$205,'Credit Notes'!$B$6:$B$205,$A440,'Credit Notes'!$H$6:$H$205,"Issued"))</f>
        <v/>
      </c>
      <c r="R440" s="34" t="str">
        <f aca="false">IF($A440="","",SUMIFS(Payments!$I$6:$I$505,Payments!$C$6:$C$505,$A440))</f>
        <v/>
      </c>
      <c r="S440" s="34" t="str">
        <f aca="false">IF($A440="","",IF($T440="Void",0,$P440-$Q440-$R440))</f>
        <v/>
      </c>
      <c r="T440" s="26"/>
      <c r="U440" s="35" t="str">
        <f aca="false">IF($A440="","",IF($T440="Void","Void",IF(OR($T440="",$T440="Draft"),"Draft",IF($T440="Disputed","Disputed",IF($S440&lt;-0.005,"Overpaid",IF($S440&lt;=0.005,"Paid",IF($R440+$Q440&gt;0.005,IF($V440&gt;0,"Part-paid, overdue","Part-paid"),IF($V440&gt;0,"Overdue","Outstanding"))))))))</f>
        <v/>
      </c>
      <c r="V440" s="36" t="str">
        <f aca="true">IF($A440="","",IF(AND(OR($T440="Issued",$T440="Disputed"),$S440&gt;0.005,$K440&lt;&gt;"",$K440&lt;TODAY()),TODAY()-$K440,0))</f>
        <v/>
      </c>
      <c r="W440" s="35" t="str">
        <f aca="false">IF($A440="","",IF(AND(OR($T440="Issued",$T440="Disputed"),$S440&gt;0.005),IF($V440&lt;=0,"Not yet due",IF($V440&lt;=30,"1 to 30 days",IF($V440&lt;=60,"31 to 60 days",IF($V440&lt;=90,"61 to 90 days","Over 90 days")))),""))</f>
        <v/>
      </c>
      <c r="X440" s="26"/>
      <c r="Y440" s="29"/>
      <c r="Z440" s="28"/>
      <c r="AA440" s="28"/>
    </row>
    <row r="441" customFormat="false" ht="15" hidden="false" customHeight="false" outlineLevel="0" collapsed="false">
      <c r="A441" s="26"/>
      <c r="B441" s="26"/>
      <c r="C441" s="27" t="str">
        <f aca="false">IF($B441="","",IFERROR(INDEX(Clients!$B$6:$B$105,MATCH($B441,Clients!$A$6:$A$105,0)),"Client not found"))</f>
        <v/>
      </c>
      <c r="D441" s="26"/>
      <c r="E441" s="26"/>
      <c r="F441" s="26"/>
      <c r="G441" s="26"/>
      <c r="H441" s="28"/>
      <c r="I441" s="29"/>
      <c r="J441" s="30" t="str">
        <f aca="false">IF($A441="","",IFERROR(IF(N(INDEX(Clients!$E$6:$E$105,MATCH($B441,Clients!$A$6:$A$105,0)))&gt;0,INDEX(Clients!$E$6:$E$105,MATCH($B441,Clients!$A$6:$A$105,0)),Dashboard!$B$6),Dashboard!$B$6))</f>
        <v/>
      </c>
      <c r="K441" s="31" t="str">
        <f aca="false">IF(OR($A441="",$I441=""),"",$I441+$J441)</f>
        <v/>
      </c>
      <c r="L441" s="26"/>
      <c r="M441" s="32"/>
      <c r="N441" s="33"/>
      <c r="O441" s="34" t="str">
        <f aca="false">IF($A441="","",N($M441)*N($N441))</f>
        <v/>
      </c>
      <c r="P441" s="34" t="str">
        <f aca="false">IF($A441="","",N($M441)+$O441)</f>
        <v/>
      </c>
      <c r="Q441" s="34" t="str">
        <f aca="false">IF($A441="","",SUMIFS('Credit Notes'!$F$6:$F$205,'Credit Notes'!$B$6:$B$205,$A441,'Credit Notes'!$H$6:$H$205,"Issued"))</f>
        <v/>
      </c>
      <c r="R441" s="34" t="str">
        <f aca="false">IF($A441="","",SUMIFS(Payments!$I$6:$I$505,Payments!$C$6:$C$505,$A441))</f>
        <v/>
      </c>
      <c r="S441" s="34" t="str">
        <f aca="false">IF($A441="","",IF($T441="Void",0,$P441-$Q441-$R441))</f>
        <v/>
      </c>
      <c r="T441" s="26"/>
      <c r="U441" s="35" t="str">
        <f aca="false">IF($A441="","",IF($T441="Void","Void",IF(OR($T441="",$T441="Draft"),"Draft",IF($T441="Disputed","Disputed",IF($S441&lt;-0.005,"Overpaid",IF($S441&lt;=0.005,"Paid",IF($R441+$Q441&gt;0.005,IF($V441&gt;0,"Part-paid, overdue","Part-paid"),IF($V441&gt;0,"Overdue","Outstanding"))))))))</f>
        <v/>
      </c>
      <c r="V441" s="36" t="str">
        <f aca="true">IF($A441="","",IF(AND(OR($T441="Issued",$T441="Disputed"),$S441&gt;0.005,$K441&lt;&gt;"",$K441&lt;TODAY()),TODAY()-$K441,0))</f>
        <v/>
      </c>
      <c r="W441" s="35" t="str">
        <f aca="false">IF($A441="","",IF(AND(OR($T441="Issued",$T441="Disputed"),$S441&gt;0.005),IF($V441&lt;=0,"Not yet due",IF($V441&lt;=30,"1 to 30 days",IF($V441&lt;=60,"31 to 60 days",IF($V441&lt;=90,"61 to 90 days","Over 90 days")))),""))</f>
        <v/>
      </c>
      <c r="X441" s="26"/>
      <c r="Y441" s="29"/>
      <c r="Z441" s="28"/>
      <c r="AA441" s="28"/>
    </row>
    <row r="442" customFormat="false" ht="15" hidden="false" customHeight="false" outlineLevel="0" collapsed="false">
      <c r="A442" s="26"/>
      <c r="B442" s="26"/>
      <c r="C442" s="27" t="str">
        <f aca="false">IF($B442="","",IFERROR(INDEX(Clients!$B$6:$B$105,MATCH($B442,Clients!$A$6:$A$105,0)),"Client not found"))</f>
        <v/>
      </c>
      <c r="D442" s="26"/>
      <c r="E442" s="26"/>
      <c r="F442" s="26"/>
      <c r="G442" s="26"/>
      <c r="H442" s="28"/>
      <c r="I442" s="29"/>
      <c r="J442" s="30" t="str">
        <f aca="false">IF($A442="","",IFERROR(IF(N(INDEX(Clients!$E$6:$E$105,MATCH($B442,Clients!$A$6:$A$105,0)))&gt;0,INDEX(Clients!$E$6:$E$105,MATCH($B442,Clients!$A$6:$A$105,0)),Dashboard!$B$6),Dashboard!$B$6))</f>
        <v/>
      </c>
      <c r="K442" s="31" t="str">
        <f aca="false">IF(OR($A442="",$I442=""),"",$I442+$J442)</f>
        <v/>
      </c>
      <c r="L442" s="26"/>
      <c r="M442" s="32"/>
      <c r="N442" s="33"/>
      <c r="O442" s="34" t="str">
        <f aca="false">IF($A442="","",N($M442)*N($N442))</f>
        <v/>
      </c>
      <c r="P442" s="34" t="str">
        <f aca="false">IF($A442="","",N($M442)+$O442)</f>
        <v/>
      </c>
      <c r="Q442" s="34" t="str">
        <f aca="false">IF($A442="","",SUMIFS('Credit Notes'!$F$6:$F$205,'Credit Notes'!$B$6:$B$205,$A442,'Credit Notes'!$H$6:$H$205,"Issued"))</f>
        <v/>
      </c>
      <c r="R442" s="34" t="str">
        <f aca="false">IF($A442="","",SUMIFS(Payments!$I$6:$I$505,Payments!$C$6:$C$505,$A442))</f>
        <v/>
      </c>
      <c r="S442" s="34" t="str">
        <f aca="false">IF($A442="","",IF($T442="Void",0,$P442-$Q442-$R442))</f>
        <v/>
      </c>
      <c r="T442" s="26"/>
      <c r="U442" s="35" t="str">
        <f aca="false">IF($A442="","",IF($T442="Void","Void",IF(OR($T442="",$T442="Draft"),"Draft",IF($T442="Disputed","Disputed",IF($S442&lt;-0.005,"Overpaid",IF($S442&lt;=0.005,"Paid",IF($R442+$Q442&gt;0.005,IF($V442&gt;0,"Part-paid, overdue","Part-paid"),IF($V442&gt;0,"Overdue","Outstanding"))))))))</f>
        <v/>
      </c>
      <c r="V442" s="36" t="str">
        <f aca="true">IF($A442="","",IF(AND(OR($T442="Issued",$T442="Disputed"),$S442&gt;0.005,$K442&lt;&gt;"",$K442&lt;TODAY()),TODAY()-$K442,0))</f>
        <v/>
      </c>
      <c r="W442" s="35" t="str">
        <f aca="false">IF($A442="","",IF(AND(OR($T442="Issued",$T442="Disputed"),$S442&gt;0.005),IF($V442&lt;=0,"Not yet due",IF($V442&lt;=30,"1 to 30 days",IF($V442&lt;=60,"31 to 60 days",IF($V442&lt;=90,"61 to 90 days","Over 90 days")))),""))</f>
        <v/>
      </c>
      <c r="X442" s="26"/>
      <c r="Y442" s="29"/>
      <c r="Z442" s="28"/>
      <c r="AA442" s="28"/>
    </row>
    <row r="443" customFormat="false" ht="15" hidden="false" customHeight="false" outlineLevel="0" collapsed="false">
      <c r="A443" s="26"/>
      <c r="B443" s="26"/>
      <c r="C443" s="27" t="str">
        <f aca="false">IF($B443="","",IFERROR(INDEX(Clients!$B$6:$B$105,MATCH($B443,Clients!$A$6:$A$105,0)),"Client not found"))</f>
        <v/>
      </c>
      <c r="D443" s="26"/>
      <c r="E443" s="26"/>
      <c r="F443" s="26"/>
      <c r="G443" s="26"/>
      <c r="H443" s="28"/>
      <c r="I443" s="29"/>
      <c r="J443" s="30" t="str">
        <f aca="false">IF($A443="","",IFERROR(IF(N(INDEX(Clients!$E$6:$E$105,MATCH($B443,Clients!$A$6:$A$105,0)))&gt;0,INDEX(Clients!$E$6:$E$105,MATCH($B443,Clients!$A$6:$A$105,0)),Dashboard!$B$6),Dashboard!$B$6))</f>
        <v/>
      </c>
      <c r="K443" s="31" t="str">
        <f aca="false">IF(OR($A443="",$I443=""),"",$I443+$J443)</f>
        <v/>
      </c>
      <c r="L443" s="26"/>
      <c r="M443" s="32"/>
      <c r="N443" s="33"/>
      <c r="O443" s="34" t="str">
        <f aca="false">IF($A443="","",N($M443)*N($N443))</f>
        <v/>
      </c>
      <c r="P443" s="34" t="str">
        <f aca="false">IF($A443="","",N($M443)+$O443)</f>
        <v/>
      </c>
      <c r="Q443" s="34" t="str">
        <f aca="false">IF($A443="","",SUMIFS('Credit Notes'!$F$6:$F$205,'Credit Notes'!$B$6:$B$205,$A443,'Credit Notes'!$H$6:$H$205,"Issued"))</f>
        <v/>
      </c>
      <c r="R443" s="34" t="str">
        <f aca="false">IF($A443="","",SUMIFS(Payments!$I$6:$I$505,Payments!$C$6:$C$505,$A443))</f>
        <v/>
      </c>
      <c r="S443" s="34" t="str">
        <f aca="false">IF($A443="","",IF($T443="Void",0,$P443-$Q443-$R443))</f>
        <v/>
      </c>
      <c r="T443" s="26"/>
      <c r="U443" s="35" t="str">
        <f aca="false">IF($A443="","",IF($T443="Void","Void",IF(OR($T443="",$T443="Draft"),"Draft",IF($T443="Disputed","Disputed",IF($S443&lt;-0.005,"Overpaid",IF($S443&lt;=0.005,"Paid",IF($R443+$Q443&gt;0.005,IF($V443&gt;0,"Part-paid, overdue","Part-paid"),IF($V443&gt;0,"Overdue","Outstanding"))))))))</f>
        <v/>
      </c>
      <c r="V443" s="36" t="str">
        <f aca="true">IF($A443="","",IF(AND(OR($T443="Issued",$T443="Disputed"),$S443&gt;0.005,$K443&lt;&gt;"",$K443&lt;TODAY()),TODAY()-$K443,0))</f>
        <v/>
      </c>
      <c r="W443" s="35" t="str">
        <f aca="false">IF($A443="","",IF(AND(OR($T443="Issued",$T443="Disputed"),$S443&gt;0.005),IF($V443&lt;=0,"Not yet due",IF($V443&lt;=30,"1 to 30 days",IF($V443&lt;=60,"31 to 60 days",IF($V443&lt;=90,"61 to 90 days","Over 90 days")))),""))</f>
        <v/>
      </c>
      <c r="X443" s="26"/>
      <c r="Y443" s="29"/>
      <c r="Z443" s="28"/>
      <c r="AA443" s="28"/>
    </row>
    <row r="444" customFormat="false" ht="15" hidden="false" customHeight="false" outlineLevel="0" collapsed="false">
      <c r="A444" s="26"/>
      <c r="B444" s="26"/>
      <c r="C444" s="27" t="str">
        <f aca="false">IF($B444="","",IFERROR(INDEX(Clients!$B$6:$B$105,MATCH($B444,Clients!$A$6:$A$105,0)),"Client not found"))</f>
        <v/>
      </c>
      <c r="D444" s="26"/>
      <c r="E444" s="26"/>
      <c r="F444" s="26"/>
      <c r="G444" s="26"/>
      <c r="H444" s="28"/>
      <c r="I444" s="29"/>
      <c r="J444" s="30" t="str">
        <f aca="false">IF($A444="","",IFERROR(IF(N(INDEX(Clients!$E$6:$E$105,MATCH($B444,Clients!$A$6:$A$105,0)))&gt;0,INDEX(Clients!$E$6:$E$105,MATCH($B444,Clients!$A$6:$A$105,0)),Dashboard!$B$6),Dashboard!$B$6))</f>
        <v/>
      </c>
      <c r="K444" s="31" t="str">
        <f aca="false">IF(OR($A444="",$I444=""),"",$I444+$J444)</f>
        <v/>
      </c>
      <c r="L444" s="26"/>
      <c r="M444" s="32"/>
      <c r="N444" s="33"/>
      <c r="O444" s="34" t="str">
        <f aca="false">IF($A444="","",N($M444)*N($N444))</f>
        <v/>
      </c>
      <c r="P444" s="34" t="str">
        <f aca="false">IF($A444="","",N($M444)+$O444)</f>
        <v/>
      </c>
      <c r="Q444" s="34" t="str">
        <f aca="false">IF($A444="","",SUMIFS('Credit Notes'!$F$6:$F$205,'Credit Notes'!$B$6:$B$205,$A444,'Credit Notes'!$H$6:$H$205,"Issued"))</f>
        <v/>
      </c>
      <c r="R444" s="34" t="str">
        <f aca="false">IF($A444="","",SUMIFS(Payments!$I$6:$I$505,Payments!$C$6:$C$505,$A444))</f>
        <v/>
      </c>
      <c r="S444" s="34" t="str">
        <f aca="false">IF($A444="","",IF($T444="Void",0,$P444-$Q444-$R444))</f>
        <v/>
      </c>
      <c r="T444" s="26"/>
      <c r="U444" s="35" t="str">
        <f aca="false">IF($A444="","",IF($T444="Void","Void",IF(OR($T444="",$T444="Draft"),"Draft",IF($T444="Disputed","Disputed",IF($S444&lt;-0.005,"Overpaid",IF($S444&lt;=0.005,"Paid",IF($R444+$Q444&gt;0.005,IF($V444&gt;0,"Part-paid, overdue","Part-paid"),IF($V444&gt;0,"Overdue","Outstanding"))))))))</f>
        <v/>
      </c>
      <c r="V444" s="36" t="str">
        <f aca="true">IF($A444="","",IF(AND(OR($T444="Issued",$T444="Disputed"),$S444&gt;0.005,$K444&lt;&gt;"",$K444&lt;TODAY()),TODAY()-$K444,0))</f>
        <v/>
      </c>
      <c r="W444" s="35" t="str">
        <f aca="false">IF($A444="","",IF(AND(OR($T444="Issued",$T444="Disputed"),$S444&gt;0.005),IF($V444&lt;=0,"Not yet due",IF($V444&lt;=30,"1 to 30 days",IF($V444&lt;=60,"31 to 60 days",IF($V444&lt;=90,"61 to 90 days","Over 90 days")))),""))</f>
        <v/>
      </c>
      <c r="X444" s="26"/>
      <c r="Y444" s="29"/>
      <c r="Z444" s="28"/>
      <c r="AA444" s="28"/>
    </row>
    <row r="445" customFormat="false" ht="15" hidden="false" customHeight="false" outlineLevel="0" collapsed="false">
      <c r="A445" s="26"/>
      <c r="B445" s="26"/>
      <c r="C445" s="27" t="str">
        <f aca="false">IF($B445="","",IFERROR(INDEX(Clients!$B$6:$B$105,MATCH($B445,Clients!$A$6:$A$105,0)),"Client not found"))</f>
        <v/>
      </c>
      <c r="D445" s="26"/>
      <c r="E445" s="26"/>
      <c r="F445" s="26"/>
      <c r="G445" s="26"/>
      <c r="H445" s="28"/>
      <c r="I445" s="29"/>
      <c r="J445" s="30" t="str">
        <f aca="false">IF($A445="","",IFERROR(IF(N(INDEX(Clients!$E$6:$E$105,MATCH($B445,Clients!$A$6:$A$105,0)))&gt;0,INDEX(Clients!$E$6:$E$105,MATCH($B445,Clients!$A$6:$A$105,0)),Dashboard!$B$6),Dashboard!$B$6))</f>
        <v/>
      </c>
      <c r="K445" s="31" t="str">
        <f aca="false">IF(OR($A445="",$I445=""),"",$I445+$J445)</f>
        <v/>
      </c>
      <c r="L445" s="26"/>
      <c r="M445" s="32"/>
      <c r="N445" s="33"/>
      <c r="O445" s="34" t="str">
        <f aca="false">IF($A445="","",N($M445)*N($N445))</f>
        <v/>
      </c>
      <c r="P445" s="34" t="str">
        <f aca="false">IF($A445="","",N($M445)+$O445)</f>
        <v/>
      </c>
      <c r="Q445" s="34" t="str">
        <f aca="false">IF($A445="","",SUMIFS('Credit Notes'!$F$6:$F$205,'Credit Notes'!$B$6:$B$205,$A445,'Credit Notes'!$H$6:$H$205,"Issued"))</f>
        <v/>
      </c>
      <c r="R445" s="34" t="str">
        <f aca="false">IF($A445="","",SUMIFS(Payments!$I$6:$I$505,Payments!$C$6:$C$505,$A445))</f>
        <v/>
      </c>
      <c r="S445" s="34" t="str">
        <f aca="false">IF($A445="","",IF($T445="Void",0,$P445-$Q445-$R445))</f>
        <v/>
      </c>
      <c r="T445" s="26"/>
      <c r="U445" s="35" t="str">
        <f aca="false">IF($A445="","",IF($T445="Void","Void",IF(OR($T445="",$T445="Draft"),"Draft",IF($T445="Disputed","Disputed",IF($S445&lt;-0.005,"Overpaid",IF($S445&lt;=0.005,"Paid",IF($R445+$Q445&gt;0.005,IF($V445&gt;0,"Part-paid, overdue","Part-paid"),IF($V445&gt;0,"Overdue","Outstanding"))))))))</f>
        <v/>
      </c>
      <c r="V445" s="36" t="str">
        <f aca="true">IF($A445="","",IF(AND(OR($T445="Issued",$T445="Disputed"),$S445&gt;0.005,$K445&lt;&gt;"",$K445&lt;TODAY()),TODAY()-$K445,0))</f>
        <v/>
      </c>
      <c r="W445" s="35" t="str">
        <f aca="false">IF($A445="","",IF(AND(OR($T445="Issued",$T445="Disputed"),$S445&gt;0.005),IF($V445&lt;=0,"Not yet due",IF($V445&lt;=30,"1 to 30 days",IF($V445&lt;=60,"31 to 60 days",IF($V445&lt;=90,"61 to 90 days","Over 90 days")))),""))</f>
        <v/>
      </c>
      <c r="X445" s="26"/>
      <c r="Y445" s="29"/>
      <c r="Z445" s="28"/>
      <c r="AA445" s="28"/>
    </row>
    <row r="446" customFormat="false" ht="15" hidden="false" customHeight="false" outlineLevel="0" collapsed="false">
      <c r="A446" s="26"/>
      <c r="B446" s="26"/>
      <c r="C446" s="27" t="str">
        <f aca="false">IF($B446="","",IFERROR(INDEX(Clients!$B$6:$B$105,MATCH($B446,Clients!$A$6:$A$105,0)),"Client not found"))</f>
        <v/>
      </c>
      <c r="D446" s="26"/>
      <c r="E446" s="26"/>
      <c r="F446" s="26"/>
      <c r="G446" s="26"/>
      <c r="H446" s="28"/>
      <c r="I446" s="29"/>
      <c r="J446" s="30" t="str">
        <f aca="false">IF($A446="","",IFERROR(IF(N(INDEX(Clients!$E$6:$E$105,MATCH($B446,Clients!$A$6:$A$105,0)))&gt;0,INDEX(Clients!$E$6:$E$105,MATCH($B446,Clients!$A$6:$A$105,0)),Dashboard!$B$6),Dashboard!$B$6))</f>
        <v/>
      </c>
      <c r="K446" s="31" t="str">
        <f aca="false">IF(OR($A446="",$I446=""),"",$I446+$J446)</f>
        <v/>
      </c>
      <c r="L446" s="26"/>
      <c r="M446" s="32"/>
      <c r="N446" s="33"/>
      <c r="O446" s="34" t="str">
        <f aca="false">IF($A446="","",N($M446)*N($N446))</f>
        <v/>
      </c>
      <c r="P446" s="34" t="str">
        <f aca="false">IF($A446="","",N($M446)+$O446)</f>
        <v/>
      </c>
      <c r="Q446" s="34" t="str">
        <f aca="false">IF($A446="","",SUMIFS('Credit Notes'!$F$6:$F$205,'Credit Notes'!$B$6:$B$205,$A446,'Credit Notes'!$H$6:$H$205,"Issued"))</f>
        <v/>
      </c>
      <c r="R446" s="34" t="str">
        <f aca="false">IF($A446="","",SUMIFS(Payments!$I$6:$I$505,Payments!$C$6:$C$505,$A446))</f>
        <v/>
      </c>
      <c r="S446" s="34" t="str">
        <f aca="false">IF($A446="","",IF($T446="Void",0,$P446-$Q446-$R446))</f>
        <v/>
      </c>
      <c r="T446" s="26"/>
      <c r="U446" s="35" t="str">
        <f aca="false">IF($A446="","",IF($T446="Void","Void",IF(OR($T446="",$T446="Draft"),"Draft",IF($T446="Disputed","Disputed",IF($S446&lt;-0.005,"Overpaid",IF($S446&lt;=0.005,"Paid",IF($R446+$Q446&gt;0.005,IF($V446&gt;0,"Part-paid, overdue","Part-paid"),IF($V446&gt;0,"Overdue","Outstanding"))))))))</f>
        <v/>
      </c>
      <c r="V446" s="36" t="str">
        <f aca="true">IF($A446="","",IF(AND(OR($T446="Issued",$T446="Disputed"),$S446&gt;0.005,$K446&lt;&gt;"",$K446&lt;TODAY()),TODAY()-$K446,0))</f>
        <v/>
      </c>
      <c r="W446" s="35" t="str">
        <f aca="false">IF($A446="","",IF(AND(OR($T446="Issued",$T446="Disputed"),$S446&gt;0.005),IF($V446&lt;=0,"Not yet due",IF($V446&lt;=30,"1 to 30 days",IF($V446&lt;=60,"31 to 60 days",IF($V446&lt;=90,"61 to 90 days","Over 90 days")))),""))</f>
        <v/>
      </c>
      <c r="X446" s="26"/>
      <c r="Y446" s="29"/>
      <c r="Z446" s="28"/>
      <c r="AA446" s="28"/>
    </row>
    <row r="447" customFormat="false" ht="15" hidden="false" customHeight="false" outlineLevel="0" collapsed="false">
      <c r="A447" s="26"/>
      <c r="B447" s="26"/>
      <c r="C447" s="27" t="str">
        <f aca="false">IF($B447="","",IFERROR(INDEX(Clients!$B$6:$B$105,MATCH($B447,Clients!$A$6:$A$105,0)),"Client not found"))</f>
        <v/>
      </c>
      <c r="D447" s="26"/>
      <c r="E447" s="26"/>
      <c r="F447" s="26"/>
      <c r="G447" s="26"/>
      <c r="H447" s="28"/>
      <c r="I447" s="29"/>
      <c r="J447" s="30" t="str">
        <f aca="false">IF($A447="","",IFERROR(IF(N(INDEX(Clients!$E$6:$E$105,MATCH($B447,Clients!$A$6:$A$105,0)))&gt;0,INDEX(Clients!$E$6:$E$105,MATCH($B447,Clients!$A$6:$A$105,0)),Dashboard!$B$6),Dashboard!$B$6))</f>
        <v/>
      </c>
      <c r="K447" s="31" t="str">
        <f aca="false">IF(OR($A447="",$I447=""),"",$I447+$J447)</f>
        <v/>
      </c>
      <c r="L447" s="26"/>
      <c r="M447" s="32"/>
      <c r="N447" s="33"/>
      <c r="O447" s="34" t="str">
        <f aca="false">IF($A447="","",N($M447)*N($N447))</f>
        <v/>
      </c>
      <c r="P447" s="34" t="str">
        <f aca="false">IF($A447="","",N($M447)+$O447)</f>
        <v/>
      </c>
      <c r="Q447" s="34" t="str">
        <f aca="false">IF($A447="","",SUMIFS('Credit Notes'!$F$6:$F$205,'Credit Notes'!$B$6:$B$205,$A447,'Credit Notes'!$H$6:$H$205,"Issued"))</f>
        <v/>
      </c>
      <c r="R447" s="34" t="str">
        <f aca="false">IF($A447="","",SUMIFS(Payments!$I$6:$I$505,Payments!$C$6:$C$505,$A447))</f>
        <v/>
      </c>
      <c r="S447" s="34" t="str">
        <f aca="false">IF($A447="","",IF($T447="Void",0,$P447-$Q447-$R447))</f>
        <v/>
      </c>
      <c r="T447" s="26"/>
      <c r="U447" s="35" t="str">
        <f aca="false">IF($A447="","",IF($T447="Void","Void",IF(OR($T447="",$T447="Draft"),"Draft",IF($T447="Disputed","Disputed",IF($S447&lt;-0.005,"Overpaid",IF($S447&lt;=0.005,"Paid",IF($R447+$Q447&gt;0.005,IF($V447&gt;0,"Part-paid, overdue","Part-paid"),IF($V447&gt;0,"Overdue","Outstanding"))))))))</f>
        <v/>
      </c>
      <c r="V447" s="36" t="str">
        <f aca="true">IF($A447="","",IF(AND(OR($T447="Issued",$T447="Disputed"),$S447&gt;0.005,$K447&lt;&gt;"",$K447&lt;TODAY()),TODAY()-$K447,0))</f>
        <v/>
      </c>
      <c r="W447" s="35" t="str">
        <f aca="false">IF($A447="","",IF(AND(OR($T447="Issued",$T447="Disputed"),$S447&gt;0.005),IF($V447&lt;=0,"Not yet due",IF($V447&lt;=30,"1 to 30 days",IF($V447&lt;=60,"31 to 60 days",IF($V447&lt;=90,"61 to 90 days","Over 90 days")))),""))</f>
        <v/>
      </c>
      <c r="X447" s="26"/>
      <c r="Y447" s="29"/>
      <c r="Z447" s="28"/>
      <c r="AA447" s="28"/>
    </row>
    <row r="448" customFormat="false" ht="15" hidden="false" customHeight="false" outlineLevel="0" collapsed="false">
      <c r="A448" s="26"/>
      <c r="B448" s="26"/>
      <c r="C448" s="27" t="str">
        <f aca="false">IF($B448="","",IFERROR(INDEX(Clients!$B$6:$B$105,MATCH($B448,Clients!$A$6:$A$105,0)),"Client not found"))</f>
        <v/>
      </c>
      <c r="D448" s="26"/>
      <c r="E448" s="26"/>
      <c r="F448" s="26"/>
      <c r="G448" s="26"/>
      <c r="H448" s="28"/>
      <c r="I448" s="29"/>
      <c r="J448" s="30" t="str">
        <f aca="false">IF($A448="","",IFERROR(IF(N(INDEX(Clients!$E$6:$E$105,MATCH($B448,Clients!$A$6:$A$105,0)))&gt;0,INDEX(Clients!$E$6:$E$105,MATCH($B448,Clients!$A$6:$A$105,0)),Dashboard!$B$6),Dashboard!$B$6))</f>
        <v/>
      </c>
      <c r="K448" s="31" t="str">
        <f aca="false">IF(OR($A448="",$I448=""),"",$I448+$J448)</f>
        <v/>
      </c>
      <c r="L448" s="26"/>
      <c r="M448" s="32"/>
      <c r="N448" s="33"/>
      <c r="O448" s="34" t="str">
        <f aca="false">IF($A448="","",N($M448)*N($N448))</f>
        <v/>
      </c>
      <c r="P448" s="34" t="str">
        <f aca="false">IF($A448="","",N($M448)+$O448)</f>
        <v/>
      </c>
      <c r="Q448" s="34" t="str">
        <f aca="false">IF($A448="","",SUMIFS('Credit Notes'!$F$6:$F$205,'Credit Notes'!$B$6:$B$205,$A448,'Credit Notes'!$H$6:$H$205,"Issued"))</f>
        <v/>
      </c>
      <c r="R448" s="34" t="str">
        <f aca="false">IF($A448="","",SUMIFS(Payments!$I$6:$I$505,Payments!$C$6:$C$505,$A448))</f>
        <v/>
      </c>
      <c r="S448" s="34" t="str">
        <f aca="false">IF($A448="","",IF($T448="Void",0,$P448-$Q448-$R448))</f>
        <v/>
      </c>
      <c r="T448" s="26"/>
      <c r="U448" s="35" t="str">
        <f aca="false">IF($A448="","",IF($T448="Void","Void",IF(OR($T448="",$T448="Draft"),"Draft",IF($T448="Disputed","Disputed",IF($S448&lt;-0.005,"Overpaid",IF($S448&lt;=0.005,"Paid",IF($R448+$Q448&gt;0.005,IF($V448&gt;0,"Part-paid, overdue","Part-paid"),IF($V448&gt;0,"Overdue","Outstanding"))))))))</f>
        <v/>
      </c>
      <c r="V448" s="36" t="str">
        <f aca="true">IF($A448="","",IF(AND(OR($T448="Issued",$T448="Disputed"),$S448&gt;0.005,$K448&lt;&gt;"",$K448&lt;TODAY()),TODAY()-$K448,0))</f>
        <v/>
      </c>
      <c r="W448" s="35" t="str">
        <f aca="false">IF($A448="","",IF(AND(OR($T448="Issued",$T448="Disputed"),$S448&gt;0.005),IF($V448&lt;=0,"Not yet due",IF($V448&lt;=30,"1 to 30 days",IF($V448&lt;=60,"31 to 60 days",IF($V448&lt;=90,"61 to 90 days","Over 90 days")))),""))</f>
        <v/>
      </c>
      <c r="X448" s="26"/>
      <c r="Y448" s="29"/>
      <c r="Z448" s="28"/>
      <c r="AA448" s="28"/>
    </row>
    <row r="449" customFormat="false" ht="15" hidden="false" customHeight="false" outlineLevel="0" collapsed="false">
      <c r="A449" s="26"/>
      <c r="B449" s="26"/>
      <c r="C449" s="27" t="str">
        <f aca="false">IF($B449="","",IFERROR(INDEX(Clients!$B$6:$B$105,MATCH($B449,Clients!$A$6:$A$105,0)),"Client not found"))</f>
        <v/>
      </c>
      <c r="D449" s="26"/>
      <c r="E449" s="26"/>
      <c r="F449" s="26"/>
      <c r="G449" s="26"/>
      <c r="H449" s="28"/>
      <c r="I449" s="29"/>
      <c r="J449" s="30" t="str">
        <f aca="false">IF($A449="","",IFERROR(IF(N(INDEX(Clients!$E$6:$E$105,MATCH($B449,Clients!$A$6:$A$105,0)))&gt;0,INDEX(Clients!$E$6:$E$105,MATCH($B449,Clients!$A$6:$A$105,0)),Dashboard!$B$6),Dashboard!$B$6))</f>
        <v/>
      </c>
      <c r="K449" s="31" t="str">
        <f aca="false">IF(OR($A449="",$I449=""),"",$I449+$J449)</f>
        <v/>
      </c>
      <c r="L449" s="26"/>
      <c r="M449" s="32"/>
      <c r="N449" s="33"/>
      <c r="O449" s="34" t="str">
        <f aca="false">IF($A449="","",N($M449)*N($N449))</f>
        <v/>
      </c>
      <c r="P449" s="34" t="str">
        <f aca="false">IF($A449="","",N($M449)+$O449)</f>
        <v/>
      </c>
      <c r="Q449" s="34" t="str">
        <f aca="false">IF($A449="","",SUMIFS('Credit Notes'!$F$6:$F$205,'Credit Notes'!$B$6:$B$205,$A449,'Credit Notes'!$H$6:$H$205,"Issued"))</f>
        <v/>
      </c>
      <c r="R449" s="34" t="str">
        <f aca="false">IF($A449="","",SUMIFS(Payments!$I$6:$I$505,Payments!$C$6:$C$505,$A449))</f>
        <v/>
      </c>
      <c r="S449" s="34" t="str">
        <f aca="false">IF($A449="","",IF($T449="Void",0,$P449-$Q449-$R449))</f>
        <v/>
      </c>
      <c r="T449" s="26"/>
      <c r="U449" s="35" t="str">
        <f aca="false">IF($A449="","",IF($T449="Void","Void",IF(OR($T449="",$T449="Draft"),"Draft",IF($T449="Disputed","Disputed",IF($S449&lt;-0.005,"Overpaid",IF($S449&lt;=0.005,"Paid",IF($R449+$Q449&gt;0.005,IF($V449&gt;0,"Part-paid, overdue","Part-paid"),IF($V449&gt;0,"Overdue","Outstanding"))))))))</f>
        <v/>
      </c>
      <c r="V449" s="36" t="str">
        <f aca="true">IF($A449="","",IF(AND(OR($T449="Issued",$T449="Disputed"),$S449&gt;0.005,$K449&lt;&gt;"",$K449&lt;TODAY()),TODAY()-$K449,0))</f>
        <v/>
      </c>
      <c r="W449" s="35" t="str">
        <f aca="false">IF($A449="","",IF(AND(OR($T449="Issued",$T449="Disputed"),$S449&gt;0.005),IF($V449&lt;=0,"Not yet due",IF($V449&lt;=30,"1 to 30 days",IF($V449&lt;=60,"31 to 60 days",IF($V449&lt;=90,"61 to 90 days","Over 90 days")))),""))</f>
        <v/>
      </c>
      <c r="X449" s="26"/>
      <c r="Y449" s="29"/>
      <c r="Z449" s="28"/>
      <c r="AA449" s="28"/>
    </row>
    <row r="450" customFormat="false" ht="15" hidden="false" customHeight="false" outlineLevel="0" collapsed="false">
      <c r="A450" s="26"/>
      <c r="B450" s="26"/>
      <c r="C450" s="27" t="str">
        <f aca="false">IF($B450="","",IFERROR(INDEX(Clients!$B$6:$B$105,MATCH($B450,Clients!$A$6:$A$105,0)),"Client not found"))</f>
        <v/>
      </c>
      <c r="D450" s="26"/>
      <c r="E450" s="26"/>
      <c r="F450" s="26"/>
      <c r="G450" s="26"/>
      <c r="H450" s="28"/>
      <c r="I450" s="29"/>
      <c r="J450" s="30" t="str">
        <f aca="false">IF($A450="","",IFERROR(IF(N(INDEX(Clients!$E$6:$E$105,MATCH($B450,Clients!$A$6:$A$105,0)))&gt;0,INDEX(Clients!$E$6:$E$105,MATCH($B450,Clients!$A$6:$A$105,0)),Dashboard!$B$6),Dashboard!$B$6))</f>
        <v/>
      </c>
      <c r="K450" s="31" t="str">
        <f aca="false">IF(OR($A450="",$I450=""),"",$I450+$J450)</f>
        <v/>
      </c>
      <c r="L450" s="26"/>
      <c r="M450" s="32"/>
      <c r="N450" s="33"/>
      <c r="O450" s="34" t="str">
        <f aca="false">IF($A450="","",N($M450)*N($N450))</f>
        <v/>
      </c>
      <c r="P450" s="34" t="str">
        <f aca="false">IF($A450="","",N($M450)+$O450)</f>
        <v/>
      </c>
      <c r="Q450" s="34" t="str">
        <f aca="false">IF($A450="","",SUMIFS('Credit Notes'!$F$6:$F$205,'Credit Notes'!$B$6:$B$205,$A450,'Credit Notes'!$H$6:$H$205,"Issued"))</f>
        <v/>
      </c>
      <c r="R450" s="34" t="str">
        <f aca="false">IF($A450="","",SUMIFS(Payments!$I$6:$I$505,Payments!$C$6:$C$505,$A450))</f>
        <v/>
      </c>
      <c r="S450" s="34" t="str">
        <f aca="false">IF($A450="","",IF($T450="Void",0,$P450-$Q450-$R450))</f>
        <v/>
      </c>
      <c r="T450" s="26"/>
      <c r="U450" s="35" t="str">
        <f aca="false">IF($A450="","",IF($T450="Void","Void",IF(OR($T450="",$T450="Draft"),"Draft",IF($T450="Disputed","Disputed",IF($S450&lt;-0.005,"Overpaid",IF($S450&lt;=0.005,"Paid",IF($R450+$Q450&gt;0.005,IF($V450&gt;0,"Part-paid, overdue","Part-paid"),IF($V450&gt;0,"Overdue","Outstanding"))))))))</f>
        <v/>
      </c>
      <c r="V450" s="36" t="str">
        <f aca="true">IF($A450="","",IF(AND(OR($T450="Issued",$T450="Disputed"),$S450&gt;0.005,$K450&lt;&gt;"",$K450&lt;TODAY()),TODAY()-$K450,0))</f>
        <v/>
      </c>
      <c r="W450" s="35" t="str">
        <f aca="false">IF($A450="","",IF(AND(OR($T450="Issued",$T450="Disputed"),$S450&gt;0.005),IF($V450&lt;=0,"Not yet due",IF($V450&lt;=30,"1 to 30 days",IF($V450&lt;=60,"31 to 60 days",IF($V450&lt;=90,"61 to 90 days","Over 90 days")))),""))</f>
        <v/>
      </c>
      <c r="X450" s="26"/>
      <c r="Y450" s="29"/>
      <c r="Z450" s="28"/>
      <c r="AA450" s="28"/>
    </row>
    <row r="451" customFormat="false" ht="15" hidden="false" customHeight="false" outlineLevel="0" collapsed="false">
      <c r="A451" s="26"/>
      <c r="B451" s="26"/>
      <c r="C451" s="27" t="str">
        <f aca="false">IF($B451="","",IFERROR(INDEX(Clients!$B$6:$B$105,MATCH($B451,Clients!$A$6:$A$105,0)),"Client not found"))</f>
        <v/>
      </c>
      <c r="D451" s="26"/>
      <c r="E451" s="26"/>
      <c r="F451" s="26"/>
      <c r="G451" s="26"/>
      <c r="H451" s="28"/>
      <c r="I451" s="29"/>
      <c r="J451" s="30" t="str">
        <f aca="false">IF($A451="","",IFERROR(IF(N(INDEX(Clients!$E$6:$E$105,MATCH($B451,Clients!$A$6:$A$105,0)))&gt;0,INDEX(Clients!$E$6:$E$105,MATCH($B451,Clients!$A$6:$A$105,0)),Dashboard!$B$6),Dashboard!$B$6))</f>
        <v/>
      </c>
      <c r="K451" s="31" t="str">
        <f aca="false">IF(OR($A451="",$I451=""),"",$I451+$J451)</f>
        <v/>
      </c>
      <c r="L451" s="26"/>
      <c r="M451" s="32"/>
      <c r="N451" s="33"/>
      <c r="O451" s="34" t="str">
        <f aca="false">IF($A451="","",N($M451)*N($N451))</f>
        <v/>
      </c>
      <c r="P451" s="34" t="str">
        <f aca="false">IF($A451="","",N($M451)+$O451)</f>
        <v/>
      </c>
      <c r="Q451" s="34" t="str">
        <f aca="false">IF($A451="","",SUMIFS('Credit Notes'!$F$6:$F$205,'Credit Notes'!$B$6:$B$205,$A451,'Credit Notes'!$H$6:$H$205,"Issued"))</f>
        <v/>
      </c>
      <c r="R451" s="34" t="str">
        <f aca="false">IF($A451="","",SUMIFS(Payments!$I$6:$I$505,Payments!$C$6:$C$505,$A451))</f>
        <v/>
      </c>
      <c r="S451" s="34" t="str">
        <f aca="false">IF($A451="","",IF($T451="Void",0,$P451-$Q451-$R451))</f>
        <v/>
      </c>
      <c r="T451" s="26"/>
      <c r="U451" s="35" t="str">
        <f aca="false">IF($A451="","",IF($T451="Void","Void",IF(OR($T451="",$T451="Draft"),"Draft",IF($T451="Disputed","Disputed",IF($S451&lt;-0.005,"Overpaid",IF($S451&lt;=0.005,"Paid",IF($R451+$Q451&gt;0.005,IF($V451&gt;0,"Part-paid, overdue","Part-paid"),IF($V451&gt;0,"Overdue","Outstanding"))))))))</f>
        <v/>
      </c>
      <c r="V451" s="36" t="str">
        <f aca="true">IF($A451="","",IF(AND(OR($T451="Issued",$T451="Disputed"),$S451&gt;0.005,$K451&lt;&gt;"",$K451&lt;TODAY()),TODAY()-$K451,0))</f>
        <v/>
      </c>
      <c r="W451" s="35" t="str">
        <f aca="false">IF($A451="","",IF(AND(OR($T451="Issued",$T451="Disputed"),$S451&gt;0.005),IF($V451&lt;=0,"Not yet due",IF($V451&lt;=30,"1 to 30 days",IF($V451&lt;=60,"31 to 60 days",IF($V451&lt;=90,"61 to 90 days","Over 90 days")))),""))</f>
        <v/>
      </c>
      <c r="X451" s="26"/>
      <c r="Y451" s="29"/>
      <c r="Z451" s="28"/>
      <c r="AA451" s="28"/>
    </row>
    <row r="452" customFormat="false" ht="15" hidden="false" customHeight="false" outlineLevel="0" collapsed="false">
      <c r="A452" s="26"/>
      <c r="B452" s="26"/>
      <c r="C452" s="27" t="str">
        <f aca="false">IF($B452="","",IFERROR(INDEX(Clients!$B$6:$B$105,MATCH($B452,Clients!$A$6:$A$105,0)),"Client not found"))</f>
        <v/>
      </c>
      <c r="D452" s="26"/>
      <c r="E452" s="26"/>
      <c r="F452" s="26"/>
      <c r="G452" s="26"/>
      <c r="H452" s="28"/>
      <c r="I452" s="29"/>
      <c r="J452" s="30" t="str">
        <f aca="false">IF($A452="","",IFERROR(IF(N(INDEX(Clients!$E$6:$E$105,MATCH($B452,Clients!$A$6:$A$105,0)))&gt;0,INDEX(Clients!$E$6:$E$105,MATCH($B452,Clients!$A$6:$A$105,0)),Dashboard!$B$6),Dashboard!$B$6))</f>
        <v/>
      </c>
      <c r="K452" s="31" t="str">
        <f aca="false">IF(OR($A452="",$I452=""),"",$I452+$J452)</f>
        <v/>
      </c>
      <c r="L452" s="26"/>
      <c r="M452" s="32"/>
      <c r="N452" s="33"/>
      <c r="O452" s="34" t="str">
        <f aca="false">IF($A452="","",N($M452)*N($N452))</f>
        <v/>
      </c>
      <c r="P452" s="34" t="str">
        <f aca="false">IF($A452="","",N($M452)+$O452)</f>
        <v/>
      </c>
      <c r="Q452" s="34" t="str">
        <f aca="false">IF($A452="","",SUMIFS('Credit Notes'!$F$6:$F$205,'Credit Notes'!$B$6:$B$205,$A452,'Credit Notes'!$H$6:$H$205,"Issued"))</f>
        <v/>
      </c>
      <c r="R452" s="34" t="str">
        <f aca="false">IF($A452="","",SUMIFS(Payments!$I$6:$I$505,Payments!$C$6:$C$505,$A452))</f>
        <v/>
      </c>
      <c r="S452" s="34" t="str">
        <f aca="false">IF($A452="","",IF($T452="Void",0,$P452-$Q452-$R452))</f>
        <v/>
      </c>
      <c r="T452" s="26"/>
      <c r="U452" s="35" t="str">
        <f aca="false">IF($A452="","",IF($T452="Void","Void",IF(OR($T452="",$T452="Draft"),"Draft",IF($T452="Disputed","Disputed",IF($S452&lt;-0.005,"Overpaid",IF($S452&lt;=0.005,"Paid",IF($R452+$Q452&gt;0.005,IF($V452&gt;0,"Part-paid, overdue","Part-paid"),IF($V452&gt;0,"Overdue","Outstanding"))))))))</f>
        <v/>
      </c>
      <c r="V452" s="36" t="str">
        <f aca="true">IF($A452="","",IF(AND(OR($T452="Issued",$T452="Disputed"),$S452&gt;0.005,$K452&lt;&gt;"",$K452&lt;TODAY()),TODAY()-$K452,0))</f>
        <v/>
      </c>
      <c r="W452" s="35" t="str">
        <f aca="false">IF($A452="","",IF(AND(OR($T452="Issued",$T452="Disputed"),$S452&gt;0.005),IF($V452&lt;=0,"Not yet due",IF($V452&lt;=30,"1 to 30 days",IF($V452&lt;=60,"31 to 60 days",IF($V452&lt;=90,"61 to 90 days","Over 90 days")))),""))</f>
        <v/>
      </c>
      <c r="X452" s="26"/>
      <c r="Y452" s="29"/>
      <c r="Z452" s="28"/>
      <c r="AA452" s="28"/>
    </row>
    <row r="453" customFormat="false" ht="15" hidden="false" customHeight="false" outlineLevel="0" collapsed="false">
      <c r="A453" s="26"/>
      <c r="B453" s="26"/>
      <c r="C453" s="27" t="str">
        <f aca="false">IF($B453="","",IFERROR(INDEX(Clients!$B$6:$B$105,MATCH($B453,Clients!$A$6:$A$105,0)),"Client not found"))</f>
        <v/>
      </c>
      <c r="D453" s="26"/>
      <c r="E453" s="26"/>
      <c r="F453" s="26"/>
      <c r="G453" s="26"/>
      <c r="H453" s="28"/>
      <c r="I453" s="29"/>
      <c r="J453" s="30" t="str">
        <f aca="false">IF($A453="","",IFERROR(IF(N(INDEX(Clients!$E$6:$E$105,MATCH($B453,Clients!$A$6:$A$105,0)))&gt;0,INDEX(Clients!$E$6:$E$105,MATCH($B453,Clients!$A$6:$A$105,0)),Dashboard!$B$6),Dashboard!$B$6))</f>
        <v/>
      </c>
      <c r="K453" s="31" t="str">
        <f aca="false">IF(OR($A453="",$I453=""),"",$I453+$J453)</f>
        <v/>
      </c>
      <c r="L453" s="26"/>
      <c r="M453" s="32"/>
      <c r="N453" s="33"/>
      <c r="O453" s="34" t="str">
        <f aca="false">IF($A453="","",N($M453)*N($N453))</f>
        <v/>
      </c>
      <c r="P453" s="34" t="str">
        <f aca="false">IF($A453="","",N($M453)+$O453)</f>
        <v/>
      </c>
      <c r="Q453" s="34" t="str">
        <f aca="false">IF($A453="","",SUMIFS('Credit Notes'!$F$6:$F$205,'Credit Notes'!$B$6:$B$205,$A453,'Credit Notes'!$H$6:$H$205,"Issued"))</f>
        <v/>
      </c>
      <c r="R453" s="34" t="str">
        <f aca="false">IF($A453="","",SUMIFS(Payments!$I$6:$I$505,Payments!$C$6:$C$505,$A453))</f>
        <v/>
      </c>
      <c r="S453" s="34" t="str">
        <f aca="false">IF($A453="","",IF($T453="Void",0,$P453-$Q453-$R453))</f>
        <v/>
      </c>
      <c r="T453" s="26"/>
      <c r="U453" s="35" t="str">
        <f aca="false">IF($A453="","",IF($T453="Void","Void",IF(OR($T453="",$T453="Draft"),"Draft",IF($T453="Disputed","Disputed",IF($S453&lt;-0.005,"Overpaid",IF($S453&lt;=0.005,"Paid",IF($R453+$Q453&gt;0.005,IF($V453&gt;0,"Part-paid, overdue","Part-paid"),IF($V453&gt;0,"Overdue","Outstanding"))))))))</f>
        <v/>
      </c>
      <c r="V453" s="36" t="str">
        <f aca="true">IF($A453="","",IF(AND(OR($T453="Issued",$T453="Disputed"),$S453&gt;0.005,$K453&lt;&gt;"",$K453&lt;TODAY()),TODAY()-$K453,0))</f>
        <v/>
      </c>
      <c r="W453" s="35" t="str">
        <f aca="false">IF($A453="","",IF(AND(OR($T453="Issued",$T453="Disputed"),$S453&gt;0.005),IF($V453&lt;=0,"Not yet due",IF($V453&lt;=30,"1 to 30 days",IF($V453&lt;=60,"31 to 60 days",IF($V453&lt;=90,"61 to 90 days","Over 90 days")))),""))</f>
        <v/>
      </c>
      <c r="X453" s="26"/>
      <c r="Y453" s="29"/>
      <c r="Z453" s="28"/>
      <c r="AA453" s="28"/>
    </row>
    <row r="454" customFormat="false" ht="15" hidden="false" customHeight="false" outlineLevel="0" collapsed="false">
      <c r="A454" s="26"/>
      <c r="B454" s="26"/>
      <c r="C454" s="27" t="str">
        <f aca="false">IF($B454="","",IFERROR(INDEX(Clients!$B$6:$B$105,MATCH($B454,Clients!$A$6:$A$105,0)),"Client not found"))</f>
        <v/>
      </c>
      <c r="D454" s="26"/>
      <c r="E454" s="26"/>
      <c r="F454" s="26"/>
      <c r="G454" s="26"/>
      <c r="H454" s="28"/>
      <c r="I454" s="29"/>
      <c r="J454" s="30" t="str">
        <f aca="false">IF($A454="","",IFERROR(IF(N(INDEX(Clients!$E$6:$E$105,MATCH($B454,Clients!$A$6:$A$105,0)))&gt;0,INDEX(Clients!$E$6:$E$105,MATCH($B454,Clients!$A$6:$A$105,0)),Dashboard!$B$6),Dashboard!$B$6))</f>
        <v/>
      </c>
      <c r="K454" s="31" t="str">
        <f aca="false">IF(OR($A454="",$I454=""),"",$I454+$J454)</f>
        <v/>
      </c>
      <c r="L454" s="26"/>
      <c r="M454" s="32"/>
      <c r="N454" s="33"/>
      <c r="O454" s="34" t="str">
        <f aca="false">IF($A454="","",N($M454)*N($N454))</f>
        <v/>
      </c>
      <c r="P454" s="34" t="str">
        <f aca="false">IF($A454="","",N($M454)+$O454)</f>
        <v/>
      </c>
      <c r="Q454" s="34" t="str">
        <f aca="false">IF($A454="","",SUMIFS('Credit Notes'!$F$6:$F$205,'Credit Notes'!$B$6:$B$205,$A454,'Credit Notes'!$H$6:$H$205,"Issued"))</f>
        <v/>
      </c>
      <c r="R454" s="34" t="str">
        <f aca="false">IF($A454="","",SUMIFS(Payments!$I$6:$I$505,Payments!$C$6:$C$505,$A454))</f>
        <v/>
      </c>
      <c r="S454" s="34" t="str">
        <f aca="false">IF($A454="","",IF($T454="Void",0,$P454-$Q454-$R454))</f>
        <v/>
      </c>
      <c r="T454" s="26"/>
      <c r="U454" s="35" t="str">
        <f aca="false">IF($A454="","",IF($T454="Void","Void",IF(OR($T454="",$T454="Draft"),"Draft",IF($T454="Disputed","Disputed",IF($S454&lt;-0.005,"Overpaid",IF($S454&lt;=0.005,"Paid",IF($R454+$Q454&gt;0.005,IF($V454&gt;0,"Part-paid, overdue","Part-paid"),IF($V454&gt;0,"Overdue","Outstanding"))))))))</f>
        <v/>
      </c>
      <c r="V454" s="36" t="str">
        <f aca="true">IF($A454="","",IF(AND(OR($T454="Issued",$T454="Disputed"),$S454&gt;0.005,$K454&lt;&gt;"",$K454&lt;TODAY()),TODAY()-$K454,0))</f>
        <v/>
      </c>
      <c r="W454" s="35" t="str">
        <f aca="false">IF($A454="","",IF(AND(OR($T454="Issued",$T454="Disputed"),$S454&gt;0.005),IF($V454&lt;=0,"Not yet due",IF($V454&lt;=30,"1 to 30 days",IF($V454&lt;=60,"31 to 60 days",IF($V454&lt;=90,"61 to 90 days","Over 90 days")))),""))</f>
        <v/>
      </c>
      <c r="X454" s="26"/>
      <c r="Y454" s="29"/>
      <c r="Z454" s="28"/>
      <c r="AA454" s="28"/>
    </row>
    <row r="455" customFormat="false" ht="15" hidden="false" customHeight="false" outlineLevel="0" collapsed="false">
      <c r="A455" s="26"/>
      <c r="B455" s="26"/>
      <c r="C455" s="27" t="str">
        <f aca="false">IF($B455="","",IFERROR(INDEX(Clients!$B$6:$B$105,MATCH($B455,Clients!$A$6:$A$105,0)),"Client not found"))</f>
        <v/>
      </c>
      <c r="D455" s="26"/>
      <c r="E455" s="26"/>
      <c r="F455" s="26"/>
      <c r="G455" s="26"/>
      <c r="H455" s="28"/>
      <c r="I455" s="29"/>
      <c r="J455" s="30" t="str">
        <f aca="false">IF($A455="","",IFERROR(IF(N(INDEX(Clients!$E$6:$E$105,MATCH($B455,Clients!$A$6:$A$105,0)))&gt;0,INDEX(Clients!$E$6:$E$105,MATCH($B455,Clients!$A$6:$A$105,0)),Dashboard!$B$6),Dashboard!$B$6))</f>
        <v/>
      </c>
      <c r="K455" s="31" t="str">
        <f aca="false">IF(OR($A455="",$I455=""),"",$I455+$J455)</f>
        <v/>
      </c>
      <c r="L455" s="26"/>
      <c r="M455" s="32"/>
      <c r="N455" s="33"/>
      <c r="O455" s="34" t="str">
        <f aca="false">IF($A455="","",N($M455)*N($N455))</f>
        <v/>
      </c>
      <c r="P455" s="34" t="str">
        <f aca="false">IF($A455="","",N($M455)+$O455)</f>
        <v/>
      </c>
      <c r="Q455" s="34" t="str">
        <f aca="false">IF($A455="","",SUMIFS('Credit Notes'!$F$6:$F$205,'Credit Notes'!$B$6:$B$205,$A455,'Credit Notes'!$H$6:$H$205,"Issued"))</f>
        <v/>
      </c>
      <c r="R455" s="34" t="str">
        <f aca="false">IF($A455="","",SUMIFS(Payments!$I$6:$I$505,Payments!$C$6:$C$505,$A455))</f>
        <v/>
      </c>
      <c r="S455" s="34" t="str">
        <f aca="false">IF($A455="","",IF($T455="Void",0,$P455-$Q455-$R455))</f>
        <v/>
      </c>
      <c r="T455" s="26"/>
      <c r="U455" s="35" t="str">
        <f aca="false">IF($A455="","",IF($T455="Void","Void",IF(OR($T455="",$T455="Draft"),"Draft",IF($T455="Disputed","Disputed",IF($S455&lt;-0.005,"Overpaid",IF($S455&lt;=0.005,"Paid",IF($R455+$Q455&gt;0.005,IF($V455&gt;0,"Part-paid, overdue","Part-paid"),IF($V455&gt;0,"Overdue","Outstanding"))))))))</f>
        <v/>
      </c>
      <c r="V455" s="36" t="str">
        <f aca="true">IF($A455="","",IF(AND(OR($T455="Issued",$T455="Disputed"),$S455&gt;0.005,$K455&lt;&gt;"",$K455&lt;TODAY()),TODAY()-$K455,0))</f>
        <v/>
      </c>
      <c r="W455" s="35" t="str">
        <f aca="false">IF($A455="","",IF(AND(OR($T455="Issued",$T455="Disputed"),$S455&gt;0.005),IF($V455&lt;=0,"Not yet due",IF($V455&lt;=30,"1 to 30 days",IF($V455&lt;=60,"31 to 60 days",IF($V455&lt;=90,"61 to 90 days","Over 90 days")))),""))</f>
        <v/>
      </c>
      <c r="X455" s="26"/>
      <c r="Y455" s="29"/>
      <c r="Z455" s="28"/>
      <c r="AA455" s="28"/>
    </row>
    <row r="456" customFormat="false" ht="15" hidden="false" customHeight="false" outlineLevel="0" collapsed="false">
      <c r="A456" s="26"/>
      <c r="B456" s="26"/>
      <c r="C456" s="27" t="str">
        <f aca="false">IF($B456="","",IFERROR(INDEX(Clients!$B$6:$B$105,MATCH($B456,Clients!$A$6:$A$105,0)),"Client not found"))</f>
        <v/>
      </c>
      <c r="D456" s="26"/>
      <c r="E456" s="26"/>
      <c r="F456" s="26"/>
      <c r="G456" s="26"/>
      <c r="H456" s="28"/>
      <c r="I456" s="29"/>
      <c r="J456" s="30" t="str">
        <f aca="false">IF($A456="","",IFERROR(IF(N(INDEX(Clients!$E$6:$E$105,MATCH($B456,Clients!$A$6:$A$105,0)))&gt;0,INDEX(Clients!$E$6:$E$105,MATCH($B456,Clients!$A$6:$A$105,0)),Dashboard!$B$6),Dashboard!$B$6))</f>
        <v/>
      </c>
      <c r="K456" s="31" t="str">
        <f aca="false">IF(OR($A456="",$I456=""),"",$I456+$J456)</f>
        <v/>
      </c>
      <c r="L456" s="26"/>
      <c r="M456" s="32"/>
      <c r="N456" s="33"/>
      <c r="O456" s="34" t="str">
        <f aca="false">IF($A456="","",N($M456)*N($N456))</f>
        <v/>
      </c>
      <c r="P456" s="34" t="str">
        <f aca="false">IF($A456="","",N($M456)+$O456)</f>
        <v/>
      </c>
      <c r="Q456" s="34" t="str">
        <f aca="false">IF($A456="","",SUMIFS('Credit Notes'!$F$6:$F$205,'Credit Notes'!$B$6:$B$205,$A456,'Credit Notes'!$H$6:$H$205,"Issued"))</f>
        <v/>
      </c>
      <c r="R456" s="34" t="str">
        <f aca="false">IF($A456="","",SUMIFS(Payments!$I$6:$I$505,Payments!$C$6:$C$505,$A456))</f>
        <v/>
      </c>
      <c r="S456" s="34" t="str">
        <f aca="false">IF($A456="","",IF($T456="Void",0,$P456-$Q456-$R456))</f>
        <v/>
      </c>
      <c r="T456" s="26"/>
      <c r="U456" s="35" t="str">
        <f aca="false">IF($A456="","",IF($T456="Void","Void",IF(OR($T456="",$T456="Draft"),"Draft",IF($T456="Disputed","Disputed",IF($S456&lt;-0.005,"Overpaid",IF($S456&lt;=0.005,"Paid",IF($R456+$Q456&gt;0.005,IF($V456&gt;0,"Part-paid, overdue","Part-paid"),IF($V456&gt;0,"Overdue","Outstanding"))))))))</f>
        <v/>
      </c>
      <c r="V456" s="36" t="str">
        <f aca="true">IF($A456="","",IF(AND(OR($T456="Issued",$T456="Disputed"),$S456&gt;0.005,$K456&lt;&gt;"",$K456&lt;TODAY()),TODAY()-$K456,0))</f>
        <v/>
      </c>
      <c r="W456" s="35" t="str">
        <f aca="false">IF($A456="","",IF(AND(OR($T456="Issued",$T456="Disputed"),$S456&gt;0.005),IF($V456&lt;=0,"Not yet due",IF($V456&lt;=30,"1 to 30 days",IF($V456&lt;=60,"31 to 60 days",IF($V456&lt;=90,"61 to 90 days","Over 90 days")))),""))</f>
        <v/>
      </c>
      <c r="X456" s="26"/>
      <c r="Y456" s="29"/>
      <c r="Z456" s="28"/>
      <c r="AA456" s="28"/>
    </row>
    <row r="457" customFormat="false" ht="15" hidden="false" customHeight="false" outlineLevel="0" collapsed="false">
      <c r="A457" s="26"/>
      <c r="B457" s="26"/>
      <c r="C457" s="27" t="str">
        <f aca="false">IF($B457="","",IFERROR(INDEX(Clients!$B$6:$B$105,MATCH($B457,Clients!$A$6:$A$105,0)),"Client not found"))</f>
        <v/>
      </c>
      <c r="D457" s="26"/>
      <c r="E457" s="26"/>
      <c r="F457" s="26"/>
      <c r="G457" s="26"/>
      <c r="H457" s="28"/>
      <c r="I457" s="29"/>
      <c r="J457" s="30" t="str">
        <f aca="false">IF($A457="","",IFERROR(IF(N(INDEX(Clients!$E$6:$E$105,MATCH($B457,Clients!$A$6:$A$105,0)))&gt;0,INDEX(Clients!$E$6:$E$105,MATCH($B457,Clients!$A$6:$A$105,0)),Dashboard!$B$6),Dashboard!$B$6))</f>
        <v/>
      </c>
      <c r="K457" s="31" t="str">
        <f aca="false">IF(OR($A457="",$I457=""),"",$I457+$J457)</f>
        <v/>
      </c>
      <c r="L457" s="26"/>
      <c r="M457" s="32"/>
      <c r="N457" s="33"/>
      <c r="O457" s="34" t="str">
        <f aca="false">IF($A457="","",N($M457)*N($N457))</f>
        <v/>
      </c>
      <c r="P457" s="34" t="str">
        <f aca="false">IF($A457="","",N($M457)+$O457)</f>
        <v/>
      </c>
      <c r="Q457" s="34" t="str">
        <f aca="false">IF($A457="","",SUMIFS('Credit Notes'!$F$6:$F$205,'Credit Notes'!$B$6:$B$205,$A457,'Credit Notes'!$H$6:$H$205,"Issued"))</f>
        <v/>
      </c>
      <c r="R457" s="34" t="str">
        <f aca="false">IF($A457="","",SUMIFS(Payments!$I$6:$I$505,Payments!$C$6:$C$505,$A457))</f>
        <v/>
      </c>
      <c r="S457" s="34" t="str">
        <f aca="false">IF($A457="","",IF($T457="Void",0,$P457-$Q457-$R457))</f>
        <v/>
      </c>
      <c r="T457" s="26"/>
      <c r="U457" s="35" t="str">
        <f aca="false">IF($A457="","",IF($T457="Void","Void",IF(OR($T457="",$T457="Draft"),"Draft",IF($T457="Disputed","Disputed",IF($S457&lt;-0.005,"Overpaid",IF($S457&lt;=0.005,"Paid",IF($R457+$Q457&gt;0.005,IF($V457&gt;0,"Part-paid, overdue","Part-paid"),IF($V457&gt;0,"Overdue","Outstanding"))))))))</f>
        <v/>
      </c>
      <c r="V457" s="36" t="str">
        <f aca="true">IF($A457="","",IF(AND(OR($T457="Issued",$T457="Disputed"),$S457&gt;0.005,$K457&lt;&gt;"",$K457&lt;TODAY()),TODAY()-$K457,0))</f>
        <v/>
      </c>
      <c r="W457" s="35" t="str">
        <f aca="false">IF($A457="","",IF(AND(OR($T457="Issued",$T457="Disputed"),$S457&gt;0.005),IF($V457&lt;=0,"Not yet due",IF($V457&lt;=30,"1 to 30 days",IF($V457&lt;=60,"31 to 60 days",IF($V457&lt;=90,"61 to 90 days","Over 90 days")))),""))</f>
        <v/>
      </c>
      <c r="X457" s="26"/>
      <c r="Y457" s="29"/>
      <c r="Z457" s="28"/>
      <c r="AA457" s="28"/>
    </row>
    <row r="458" customFormat="false" ht="15" hidden="false" customHeight="false" outlineLevel="0" collapsed="false">
      <c r="A458" s="26"/>
      <c r="B458" s="26"/>
      <c r="C458" s="27" t="str">
        <f aca="false">IF($B458="","",IFERROR(INDEX(Clients!$B$6:$B$105,MATCH($B458,Clients!$A$6:$A$105,0)),"Client not found"))</f>
        <v/>
      </c>
      <c r="D458" s="26"/>
      <c r="E458" s="26"/>
      <c r="F458" s="26"/>
      <c r="G458" s="26"/>
      <c r="H458" s="28"/>
      <c r="I458" s="29"/>
      <c r="J458" s="30" t="str">
        <f aca="false">IF($A458="","",IFERROR(IF(N(INDEX(Clients!$E$6:$E$105,MATCH($B458,Clients!$A$6:$A$105,0)))&gt;0,INDEX(Clients!$E$6:$E$105,MATCH($B458,Clients!$A$6:$A$105,0)),Dashboard!$B$6),Dashboard!$B$6))</f>
        <v/>
      </c>
      <c r="K458" s="31" t="str">
        <f aca="false">IF(OR($A458="",$I458=""),"",$I458+$J458)</f>
        <v/>
      </c>
      <c r="L458" s="26"/>
      <c r="M458" s="32"/>
      <c r="N458" s="33"/>
      <c r="O458" s="34" t="str">
        <f aca="false">IF($A458="","",N($M458)*N($N458))</f>
        <v/>
      </c>
      <c r="P458" s="34" t="str">
        <f aca="false">IF($A458="","",N($M458)+$O458)</f>
        <v/>
      </c>
      <c r="Q458" s="34" t="str">
        <f aca="false">IF($A458="","",SUMIFS('Credit Notes'!$F$6:$F$205,'Credit Notes'!$B$6:$B$205,$A458,'Credit Notes'!$H$6:$H$205,"Issued"))</f>
        <v/>
      </c>
      <c r="R458" s="34" t="str">
        <f aca="false">IF($A458="","",SUMIFS(Payments!$I$6:$I$505,Payments!$C$6:$C$505,$A458))</f>
        <v/>
      </c>
      <c r="S458" s="34" t="str">
        <f aca="false">IF($A458="","",IF($T458="Void",0,$P458-$Q458-$R458))</f>
        <v/>
      </c>
      <c r="T458" s="26"/>
      <c r="U458" s="35" t="str">
        <f aca="false">IF($A458="","",IF($T458="Void","Void",IF(OR($T458="",$T458="Draft"),"Draft",IF($T458="Disputed","Disputed",IF($S458&lt;-0.005,"Overpaid",IF($S458&lt;=0.005,"Paid",IF($R458+$Q458&gt;0.005,IF($V458&gt;0,"Part-paid, overdue","Part-paid"),IF($V458&gt;0,"Overdue","Outstanding"))))))))</f>
        <v/>
      </c>
      <c r="V458" s="36" t="str">
        <f aca="true">IF($A458="","",IF(AND(OR($T458="Issued",$T458="Disputed"),$S458&gt;0.005,$K458&lt;&gt;"",$K458&lt;TODAY()),TODAY()-$K458,0))</f>
        <v/>
      </c>
      <c r="W458" s="35" t="str">
        <f aca="false">IF($A458="","",IF(AND(OR($T458="Issued",$T458="Disputed"),$S458&gt;0.005),IF($V458&lt;=0,"Not yet due",IF($V458&lt;=30,"1 to 30 days",IF($V458&lt;=60,"31 to 60 days",IF($V458&lt;=90,"61 to 90 days","Over 90 days")))),""))</f>
        <v/>
      </c>
      <c r="X458" s="26"/>
      <c r="Y458" s="29"/>
      <c r="Z458" s="28"/>
      <c r="AA458" s="28"/>
    </row>
    <row r="459" customFormat="false" ht="15" hidden="false" customHeight="false" outlineLevel="0" collapsed="false">
      <c r="A459" s="26"/>
      <c r="B459" s="26"/>
      <c r="C459" s="27" t="str">
        <f aca="false">IF($B459="","",IFERROR(INDEX(Clients!$B$6:$B$105,MATCH($B459,Clients!$A$6:$A$105,0)),"Client not found"))</f>
        <v/>
      </c>
      <c r="D459" s="26"/>
      <c r="E459" s="26"/>
      <c r="F459" s="26"/>
      <c r="G459" s="26"/>
      <c r="H459" s="28"/>
      <c r="I459" s="29"/>
      <c r="J459" s="30" t="str">
        <f aca="false">IF($A459="","",IFERROR(IF(N(INDEX(Clients!$E$6:$E$105,MATCH($B459,Clients!$A$6:$A$105,0)))&gt;0,INDEX(Clients!$E$6:$E$105,MATCH($B459,Clients!$A$6:$A$105,0)),Dashboard!$B$6),Dashboard!$B$6))</f>
        <v/>
      </c>
      <c r="K459" s="31" t="str">
        <f aca="false">IF(OR($A459="",$I459=""),"",$I459+$J459)</f>
        <v/>
      </c>
      <c r="L459" s="26"/>
      <c r="M459" s="32"/>
      <c r="N459" s="33"/>
      <c r="O459" s="34" t="str">
        <f aca="false">IF($A459="","",N($M459)*N($N459))</f>
        <v/>
      </c>
      <c r="P459" s="34" t="str">
        <f aca="false">IF($A459="","",N($M459)+$O459)</f>
        <v/>
      </c>
      <c r="Q459" s="34" t="str">
        <f aca="false">IF($A459="","",SUMIFS('Credit Notes'!$F$6:$F$205,'Credit Notes'!$B$6:$B$205,$A459,'Credit Notes'!$H$6:$H$205,"Issued"))</f>
        <v/>
      </c>
      <c r="R459" s="34" t="str">
        <f aca="false">IF($A459="","",SUMIFS(Payments!$I$6:$I$505,Payments!$C$6:$C$505,$A459))</f>
        <v/>
      </c>
      <c r="S459" s="34" t="str">
        <f aca="false">IF($A459="","",IF($T459="Void",0,$P459-$Q459-$R459))</f>
        <v/>
      </c>
      <c r="T459" s="26"/>
      <c r="U459" s="35" t="str">
        <f aca="false">IF($A459="","",IF($T459="Void","Void",IF(OR($T459="",$T459="Draft"),"Draft",IF($T459="Disputed","Disputed",IF($S459&lt;-0.005,"Overpaid",IF($S459&lt;=0.005,"Paid",IF($R459+$Q459&gt;0.005,IF($V459&gt;0,"Part-paid, overdue","Part-paid"),IF($V459&gt;0,"Overdue","Outstanding"))))))))</f>
        <v/>
      </c>
      <c r="V459" s="36" t="str">
        <f aca="true">IF($A459="","",IF(AND(OR($T459="Issued",$T459="Disputed"),$S459&gt;0.005,$K459&lt;&gt;"",$K459&lt;TODAY()),TODAY()-$K459,0))</f>
        <v/>
      </c>
      <c r="W459" s="35" t="str">
        <f aca="false">IF($A459="","",IF(AND(OR($T459="Issued",$T459="Disputed"),$S459&gt;0.005),IF($V459&lt;=0,"Not yet due",IF($V459&lt;=30,"1 to 30 days",IF($V459&lt;=60,"31 to 60 days",IF($V459&lt;=90,"61 to 90 days","Over 90 days")))),""))</f>
        <v/>
      </c>
      <c r="X459" s="26"/>
      <c r="Y459" s="29"/>
      <c r="Z459" s="28"/>
      <c r="AA459" s="28"/>
    </row>
    <row r="460" customFormat="false" ht="15" hidden="false" customHeight="false" outlineLevel="0" collapsed="false">
      <c r="A460" s="26"/>
      <c r="B460" s="26"/>
      <c r="C460" s="27" t="str">
        <f aca="false">IF($B460="","",IFERROR(INDEX(Clients!$B$6:$B$105,MATCH($B460,Clients!$A$6:$A$105,0)),"Client not found"))</f>
        <v/>
      </c>
      <c r="D460" s="26"/>
      <c r="E460" s="26"/>
      <c r="F460" s="26"/>
      <c r="G460" s="26"/>
      <c r="H460" s="28"/>
      <c r="I460" s="29"/>
      <c r="J460" s="30" t="str">
        <f aca="false">IF($A460="","",IFERROR(IF(N(INDEX(Clients!$E$6:$E$105,MATCH($B460,Clients!$A$6:$A$105,0)))&gt;0,INDEX(Clients!$E$6:$E$105,MATCH($B460,Clients!$A$6:$A$105,0)),Dashboard!$B$6),Dashboard!$B$6))</f>
        <v/>
      </c>
      <c r="K460" s="31" t="str">
        <f aca="false">IF(OR($A460="",$I460=""),"",$I460+$J460)</f>
        <v/>
      </c>
      <c r="L460" s="26"/>
      <c r="M460" s="32"/>
      <c r="N460" s="33"/>
      <c r="O460" s="34" t="str">
        <f aca="false">IF($A460="","",N($M460)*N($N460))</f>
        <v/>
      </c>
      <c r="P460" s="34" t="str">
        <f aca="false">IF($A460="","",N($M460)+$O460)</f>
        <v/>
      </c>
      <c r="Q460" s="34" t="str">
        <f aca="false">IF($A460="","",SUMIFS('Credit Notes'!$F$6:$F$205,'Credit Notes'!$B$6:$B$205,$A460,'Credit Notes'!$H$6:$H$205,"Issued"))</f>
        <v/>
      </c>
      <c r="R460" s="34" t="str">
        <f aca="false">IF($A460="","",SUMIFS(Payments!$I$6:$I$505,Payments!$C$6:$C$505,$A460))</f>
        <v/>
      </c>
      <c r="S460" s="34" t="str">
        <f aca="false">IF($A460="","",IF($T460="Void",0,$P460-$Q460-$R460))</f>
        <v/>
      </c>
      <c r="T460" s="26"/>
      <c r="U460" s="35" t="str">
        <f aca="false">IF($A460="","",IF($T460="Void","Void",IF(OR($T460="",$T460="Draft"),"Draft",IF($T460="Disputed","Disputed",IF($S460&lt;-0.005,"Overpaid",IF($S460&lt;=0.005,"Paid",IF($R460+$Q460&gt;0.005,IF($V460&gt;0,"Part-paid, overdue","Part-paid"),IF($V460&gt;0,"Overdue","Outstanding"))))))))</f>
        <v/>
      </c>
      <c r="V460" s="36" t="str">
        <f aca="true">IF($A460="","",IF(AND(OR($T460="Issued",$T460="Disputed"),$S460&gt;0.005,$K460&lt;&gt;"",$K460&lt;TODAY()),TODAY()-$K460,0))</f>
        <v/>
      </c>
      <c r="W460" s="35" t="str">
        <f aca="false">IF($A460="","",IF(AND(OR($T460="Issued",$T460="Disputed"),$S460&gt;0.005),IF($V460&lt;=0,"Not yet due",IF($V460&lt;=30,"1 to 30 days",IF($V460&lt;=60,"31 to 60 days",IF($V460&lt;=90,"61 to 90 days","Over 90 days")))),""))</f>
        <v/>
      </c>
      <c r="X460" s="26"/>
      <c r="Y460" s="29"/>
      <c r="Z460" s="28"/>
      <c r="AA460" s="28"/>
    </row>
    <row r="461" customFormat="false" ht="15" hidden="false" customHeight="false" outlineLevel="0" collapsed="false">
      <c r="A461" s="26"/>
      <c r="B461" s="26"/>
      <c r="C461" s="27" t="str">
        <f aca="false">IF($B461="","",IFERROR(INDEX(Clients!$B$6:$B$105,MATCH($B461,Clients!$A$6:$A$105,0)),"Client not found"))</f>
        <v/>
      </c>
      <c r="D461" s="26"/>
      <c r="E461" s="26"/>
      <c r="F461" s="26"/>
      <c r="G461" s="26"/>
      <c r="H461" s="28"/>
      <c r="I461" s="29"/>
      <c r="J461" s="30" t="str">
        <f aca="false">IF($A461="","",IFERROR(IF(N(INDEX(Clients!$E$6:$E$105,MATCH($B461,Clients!$A$6:$A$105,0)))&gt;0,INDEX(Clients!$E$6:$E$105,MATCH($B461,Clients!$A$6:$A$105,0)),Dashboard!$B$6),Dashboard!$B$6))</f>
        <v/>
      </c>
      <c r="K461" s="31" t="str">
        <f aca="false">IF(OR($A461="",$I461=""),"",$I461+$J461)</f>
        <v/>
      </c>
      <c r="L461" s="26"/>
      <c r="M461" s="32"/>
      <c r="N461" s="33"/>
      <c r="O461" s="34" t="str">
        <f aca="false">IF($A461="","",N($M461)*N($N461))</f>
        <v/>
      </c>
      <c r="P461" s="34" t="str">
        <f aca="false">IF($A461="","",N($M461)+$O461)</f>
        <v/>
      </c>
      <c r="Q461" s="34" t="str">
        <f aca="false">IF($A461="","",SUMIFS('Credit Notes'!$F$6:$F$205,'Credit Notes'!$B$6:$B$205,$A461,'Credit Notes'!$H$6:$H$205,"Issued"))</f>
        <v/>
      </c>
      <c r="R461" s="34" t="str">
        <f aca="false">IF($A461="","",SUMIFS(Payments!$I$6:$I$505,Payments!$C$6:$C$505,$A461))</f>
        <v/>
      </c>
      <c r="S461" s="34" t="str">
        <f aca="false">IF($A461="","",IF($T461="Void",0,$P461-$Q461-$R461))</f>
        <v/>
      </c>
      <c r="T461" s="26"/>
      <c r="U461" s="35" t="str">
        <f aca="false">IF($A461="","",IF($T461="Void","Void",IF(OR($T461="",$T461="Draft"),"Draft",IF($T461="Disputed","Disputed",IF($S461&lt;-0.005,"Overpaid",IF($S461&lt;=0.005,"Paid",IF($R461+$Q461&gt;0.005,IF($V461&gt;0,"Part-paid, overdue","Part-paid"),IF($V461&gt;0,"Overdue","Outstanding"))))))))</f>
        <v/>
      </c>
      <c r="V461" s="36" t="str">
        <f aca="true">IF($A461="","",IF(AND(OR($T461="Issued",$T461="Disputed"),$S461&gt;0.005,$K461&lt;&gt;"",$K461&lt;TODAY()),TODAY()-$K461,0))</f>
        <v/>
      </c>
      <c r="W461" s="35" t="str">
        <f aca="false">IF($A461="","",IF(AND(OR($T461="Issued",$T461="Disputed"),$S461&gt;0.005),IF($V461&lt;=0,"Not yet due",IF($V461&lt;=30,"1 to 30 days",IF($V461&lt;=60,"31 to 60 days",IF($V461&lt;=90,"61 to 90 days","Over 90 days")))),""))</f>
        <v/>
      </c>
      <c r="X461" s="26"/>
      <c r="Y461" s="29"/>
      <c r="Z461" s="28"/>
      <c r="AA461" s="28"/>
    </row>
    <row r="462" customFormat="false" ht="15" hidden="false" customHeight="false" outlineLevel="0" collapsed="false">
      <c r="A462" s="26"/>
      <c r="B462" s="26"/>
      <c r="C462" s="27" t="str">
        <f aca="false">IF($B462="","",IFERROR(INDEX(Clients!$B$6:$B$105,MATCH($B462,Clients!$A$6:$A$105,0)),"Client not found"))</f>
        <v/>
      </c>
      <c r="D462" s="26"/>
      <c r="E462" s="26"/>
      <c r="F462" s="26"/>
      <c r="G462" s="26"/>
      <c r="H462" s="28"/>
      <c r="I462" s="29"/>
      <c r="J462" s="30" t="str">
        <f aca="false">IF($A462="","",IFERROR(IF(N(INDEX(Clients!$E$6:$E$105,MATCH($B462,Clients!$A$6:$A$105,0)))&gt;0,INDEX(Clients!$E$6:$E$105,MATCH($B462,Clients!$A$6:$A$105,0)),Dashboard!$B$6),Dashboard!$B$6))</f>
        <v/>
      </c>
      <c r="K462" s="31" t="str">
        <f aca="false">IF(OR($A462="",$I462=""),"",$I462+$J462)</f>
        <v/>
      </c>
      <c r="L462" s="26"/>
      <c r="M462" s="32"/>
      <c r="N462" s="33"/>
      <c r="O462" s="34" t="str">
        <f aca="false">IF($A462="","",N($M462)*N($N462))</f>
        <v/>
      </c>
      <c r="P462" s="34" t="str">
        <f aca="false">IF($A462="","",N($M462)+$O462)</f>
        <v/>
      </c>
      <c r="Q462" s="34" t="str">
        <f aca="false">IF($A462="","",SUMIFS('Credit Notes'!$F$6:$F$205,'Credit Notes'!$B$6:$B$205,$A462,'Credit Notes'!$H$6:$H$205,"Issued"))</f>
        <v/>
      </c>
      <c r="R462" s="34" t="str">
        <f aca="false">IF($A462="","",SUMIFS(Payments!$I$6:$I$505,Payments!$C$6:$C$505,$A462))</f>
        <v/>
      </c>
      <c r="S462" s="34" t="str">
        <f aca="false">IF($A462="","",IF($T462="Void",0,$P462-$Q462-$R462))</f>
        <v/>
      </c>
      <c r="T462" s="26"/>
      <c r="U462" s="35" t="str">
        <f aca="false">IF($A462="","",IF($T462="Void","Void",IF(OR($T462="",$T462="Draft"),"Draft",IF($T462="Disputed","Disputed",IF($S462&lt;-0.005,"Overpaid",IF($S462&lt;=0.005,"Paid",IF($R462+$Q462&gt;0.005,IF($V462&gt;0,"Part-paid, overdue","Part-paid"),IF($V462&gt;0,"Overdue","Outstanding"))))))))</f>
        <v/>
      </c>
      <c r="V462" s="36" t="str">
        <f aca="true">IF($A462="","",IF(AND(OR($T462="Issued",$T462="Disputed"),$S462&gt;0.005,$K462&lt;&gt;"",$K462&lt;TODAY()),TODAY()-$K462,0))</f>
        <v/>
      </c>
      <c r="W462" s="35" t="str">
        <f aca="false">IF($A462="","",IF(AND(OR($T462="Issued",$T462="Disputed"),$S462&gt;0.005),IF($V462&lt;=0,"Not yet due",IF($V462&lt;=30,"1 to 30 days",IF($V462&lt;=60,"31 to 60 days",IF($V462&lt;=90,"61 to 90 days","Over 90 days")))),""))</f>
        <v/>
      </c>
      <c r="X462" s="26"/>
      <c r="Y462" s="29"/>
      <c r="Z462" s="28"/>
      <c r="AA462" s="28"/>
    </row>
    <row r="463" customFormat="false" ht="15" hidden="false" customHeight="false" outlineLevel="0" collapsed="false">
      <c r="A463" s="26"/>
      <c r="B463" s="26"/>
      <c r="C463" s="27" t="str">
        <f aca="false">IF($B463="","",IFERROR(INDEX(Clients!$B$6:$B$105,MATCH($B463,Clients!$A$6:$A$105,0)),"Client not found"))</f>
        <v/>
      </c>
      <c r="D463" s="26"/>
      <c r="E463" s="26"/>
      <c r="F463" s="26"/>
      <c r="G463" s="26"/>
      <c r="H463" s="28"/>
      <c r="I463" s="29"/>
      <c r="J463" s="30" t="str">
        <f aca="false">IF($A463="","",IFERROR(IF(N(INDEX(Clients!$E$6:$E$105,MATCH($B463,Clients!$A$6:$A$105,0)))&gt;0,INDEX(Clients!$E$6:$E$105,MATCH($B463,Clients!$A$6:$A$105,0)),Dashboard!$B$6),Dashboard!$B$6))</f>
        <v/>
      </c>
      <c r="K463" s="31" t="str">
        <f aca="false">IF(OR($A463="",$I463=""),"",$I463+$J463)</f>
        <v/>
      </c>
      <c r="L463" s="26"/>
      <c r="M463" s="32"/>
      <c r="N463" s="33"/>
      <c r="O463" s="34" t="str">
        <f aca="false">IF($A463="","",N($M463)*N($N463))</f>
        <v/>
      </c>
      <c r="P463" s="34" t="str">
        <f aca="false">IF($A463="","",N($M463)+$O463)</f>
        <v/>
      </c>
      <c r="Q463" s="34" t="str">
        <f aca="false">IF($A463="","",SUMIFS('Credit Notes'!$F$6:$F$205,'Credit Notes'!$B$6:$B$205,$A463,'Credit Notes'!$H$6:$H$205,"Issued"))</f>
        <v/>
      </c>
      <c r="R463" s="34" t="str">
        <f aca="false">IF($A463="","",SUMIFS(Payments!$I$6:$I$505,Payments!$C$6:$C$505,$A463))</f>
        <v/>
      </c>
      <c r="S463" s="34" t="str">
        <f aca="false">IF($A463="","",IF($T463="Void",0,$P463-$Q463-$R463))</f>
        <v/>
      </c>
      <c r="T463" s="26"/>
      <c r="U463" s="35" t="str">
        <f aca="false">IF($A463="","",IF($T463="Void","Void",IF(OR($T463="",$T463="Draft"),"Draft",IF($T463="Disputed","Disputed",IF($S463&lt;-0.005,"Overpaid",IF($S463&lt;=0.005,"Paid",IF($R463+$Q463&gt;0.005,IF($V463&gt;0,"Part-paid, overdue","Part-paid"),IF($V463&gt;0,"Overdue","Outstanding"))))))))</f>
        <v/>
      </c>
      <c r="V463" s="36" t="str">
        <f aca="true">IF($A463="","",IF(AND(OR($T463="Issued",$T463="Disputed"),$S463&gt;0.005,$K463&lt;&gt;"",$K463&lt;TODAY()),TODAY()-$K463,0))</f>
        <v/>
      </c>
      <c r="W463" s="35" t="str">
        <f aca="false">IF($A463="","",IF(AND(OR($T463="Issued",$T463="Disputed"),$S463&gt;0.005),IF($V463&lt;=0,"Not yet due",IF($V463&lt;=30,"1 to 30 days",IF($V463&lt;=60,"31 to 60 days",IF($V463&lt;=90,"61 to 90 days","Over 90 days")))),""))</f>
        <v/>
      </c>
      <c r="X463" s="26"/>
      <c r="Y463" s="29"/>
      <c r="Z463" s="28"/>
      <c r="AA463" s="28"/>
    </row>
    <row r="464" customFormat="false" ht="15" hidden="false" customHeight="false" outlineLevel="0" collapsed="false">
      <c r="A464" s="26"/>
      <c r="B464" s="26"/>
      <c r="C464" s="27" t="str">
        <f aca="false">IF($B464="","",IFERROR(INDEX(Clients!$B$6:$B$105,MATCH($B464,Clients!$A$6:$A$105,0)),"Client not found"))</f>
        <v/>
      </c>
      <c r="D464" s="26"/>
      <c r="E464" s="26"/>
      <c r="F464" s="26"/>
      <c r="G464" s="26"/>
      <c r="H464" s="28"/>
      <c r="I464" s="29"/>
      <c r="J464" s="30" t="str">
        <f aca="false">IF($A464="","",IFERROR(IF(N(INDEX(Clients!$E$6:$E$105,MATCH($B464,Clients!$A$6:$A$105,0)))&gt;0,INDEX(Clients!$E$6:$E$105,MATCH($B464,Clients!$A$6:$A$105,0)),Dashboard!$B$6),Dashboard!$B$6))</f>
        <v/>
      </c>
      <c r="K464" s="31" t="str">
        <f aca="false">IF(OR($A464="",$I464=""),"",$I464+$J464)</f>
        <v/>
      </c>
      <c r="L464" s="26"/>
      <c r="M464" s="32"/>
      <c r="N464" s="33"/>
      <c r="O464" s="34" t="str">
        <f aca="false">IF($A464="","",N($M464)*N($N464))</f>
        <v/>
      </c>
      <c r="P464" s="34" t="str">
        <f aca="false">IF($A464="","",N($M464)+$O464)</f>
        <v/>
      </c>
      <c r="Q464" s="34" t="str">
        <f aca="false">IF($A464="","",SUMIFS('Credit Notes'!$F$6:$F$205,'Credit Notes'!$B$6:$B$205,$A464,'Credit Notes'!$H$6:$H$205,"Issued"))</f>
        <v/>
      </c>
      <c r="R464" s="34" t="str">
        <f aca="false">IF($A464="","",SUMIFS(Payments!$I$6:$I$505,Payments!$C$6:$C$505,$A464))</f>
        <v/>
      </c>
      <c r="S464" s="34" t="str">
        <f aca="false">IF($A464="","",IF($T464="Void",0,$P464-$Q464-$R464))</f>
        <v/>
      </c>
      <c r="T464" s="26"/>
      <c r="U464" s="35" t="str">
        <f aca="false">IF($A464="","",IF($T464="Void","Void",IF(OR($T464="",$T464="Draft"),"Draft",IF($T464="Disputed","Disputed",IF($S464&lt;-0.005,"Overpaid",IF($S464&lt;=0.005,"Paid",IF($R464+$Q464&gt;0.005,IF($V464&gt;0,"Part-paid, overdue","Part-paid"),IF($V464&gt;0,"Overdue","Outstanding"))))))))</f>
        <v/>
      </c>
      <c r="V464" s="36" t="str">
        <f aca="true">IF($A464="","",IF(AND(OR($T464="Issued",$T464="Disputed"),$S464&gt;0.005,$K464&lt;&gt;"",$K464&lt;TODAY()),TODAY()-$K464,0))</f>
        <v/>
      </c>
      <c r="W464" s="35" t="str">
        <f aca="false">IF($A464="","",IF(AND(OR($T464="Issued",$T464="Disputed"),$S464&gt;0.005),IF($V464&lt;=0,"Not yet due",IF($V464&lt;=30,"1 to 30 days",IF($V464&lt;=60,"31 to 60 days",IF($V464&lt;=90,"61 to 90 days","Over 90 days")))),""))</f>
        <v/>
      </c>
      <c r="X464" s="26"/>
      <c r="Y464" s="29"/>
      <c r="Z464" s="28"/>
      <c r="AA464" s="28"/>
    </row>
    <row r="465" customFormat="false" ht="15" hidden="false" customHeight="false" outlineLevel="0" collapsed="false">
      <c r="A465" s="26"/>
      <c r="B465" s="26"/>
      <c r="C465" s="27" t="str">
        <f aca="false">IF($B465="","",IFERROR(INDEX(Clients!$B$6:$B$105,MATCH($B465,Clients!$A$6:$A$105,0)),"Client not found"))</f>
        <v/>
      </c>
      <c r="D465" s="26"/>
      <c r="E465" s="26"/>
      <c r="F465" s="26"/>
      <c r="G465" s="26"/>
      <c r="H465" s="28"/>
      <c r="I465" s="29"/>
      <c r="J465" s="30" t="str">
        <f aca="false">IF($A465="","",IFERROR(IF(N(INDEX(Clients!$E$6:$E$105,MATCH($B465,Clients!$A$6:$A$105,0)))&gt;0,INDEX(Clients!$E$6:$E$105,MATCH($B465,Clients!$A$6:$A$105,0)),Dashboard!$B$6),Dashboard!$B$6))</f>
        <v/>
      </c>
      <c r="K465" s="31" t="str">
        <f aca="false">IF(OR($A465="",$I465=""),"",$I465+$J465)</f>
        <v/>
      </c>
      <c r="L465" s="26"/>
      <c r="M465" s="32"/>
      <c r="N465" s="33"/>
      <c r="O465" s="34" t="str">
        <f aca="false">IF($A465="","",N($M465)*N($N465))</f>
        <v/>
      </c>
      <c r="P465" s="34" t="str">
        <f aca="false">IF($A465="","",N($M465)+$O465)</f>
        <v/>
      </c>
      <c r="Q465" s="34" t="str">
        <f aca="false">IF($A465="","",SUMIFS('Credit Notes'!$F$6:$F$205,'Credit Notes'!$B$6:$B$205,$A465,'Credit Notes'!$H$6:$H$205,"Issued"))</f>
        <v/>
      </c>
      <c r="R465" s="34" t="str">
        <f aca="false">IF($A465="","",SUMIFS(Payments!$I$6:$I$505,Payments!$C$6:$C$505,$A465))</f>
        <v/>
      </c>
      <c r="S465" s="34" t="str">
        <f aca="false">IF($A465="","",IF($T465="Void",0,$P465-$Q465-$R465))</f>
        <v/>
      </c>
      <c r="T465" s="26"/>
      <c r="U465" s="35" t="str">
        <f aca="false">IF($A465="","",IF($T465="Void","Void",IF(OR($T465="",$T465="Draft"),"Draft",IF($T465="Disputed","Disputed",IF($S465&lt;-0.005,"Overpaid",IF($S465&lt;=0.005,"Paid",IF($R465+$Q465&gt;0.005,IF($V465&gt;0,"Part-paid, overdue","Part-paid"),IF($V465&gt;0,"Overdue","Outstanding"))))))))</f>
        <v/>
      </c>
      <c r="V465" s="36" t="str">
        <f aca="true">IF($A465="","",IF(AND(OR($T465="Issued",$T465="Disputed"),$S465&gt;0.005,$K465&lt;&gt;"",$K465&lt;TODAY()),TODAY()-$K465,0))</f>
        <v/>
      </c>
      <c r="W465" s="35" t="str">
        <f aca="false">IF($A465="","",IF(AND(OR($T465="Issued",$T465="Disputed"),$S465&gt;0.005),IF($V465&lt;=0,"Not yet due",IF($V465&lt;=30,"1 to 30 days",IF($V465&lt;=60,"31 to 60 days",IF($V465&lt;=90,"61 to 90 days","Over 90 days")))),""))</f>
        <v/>
      </c>
      <c r="X465" s="26"/>
      <c r="Y465" s="29"/>
      <c r="Z465" s="28"/>
      <c r="AA465" s="28"/>
    </row>
    <row r="466" customFormat="false" ht="15" hidden="false" customHeight="false" outlineLevel="0" collapsed="false">
      <c r="A466" s="26"/>
      <c r="B466" s="26"/>
      <c r="C466" s="27" t="str">
        <f aca="false">IF($B466="","",IFERROR(INDEX(Clients!$B$6:$B$105,MATCH($B466,Clients!$A$6:$A$105,0)),"Client not found"))</f>
        <v/>
      </c>
      <c r="D466" s="26"/>
      <c r="E466" s="26"/>
      <c r="F466" s="26"/>
      <c r="G466" s="26"/>
      <c r="H466" s="28"/>
      <c r="I466" s="29"/>
      <c r="J466" s="30" t="str">
        <f aca="false">IF($A466="","",IFERROR(IF(N(INDEX(Clients!$E$6:$E$105,MATCH($B466,Clients!$A$6:$A$105,0)))&gt;0,INDEX(Clients!$E$6:$E$105,MATCH($B466,Clients!$A$6:$A$105,0)),Dashboard!$B$6),Dashboard!$B$6))</f>
        <v/>
      </c>
      <c r="K466" s="31" t="str">
        <f aca="false">IF(OR($A466="",$I466=""),"",$I466+$J466)</f>
        <v/>
      </c>
      <c r="L466" s="26"/>
      <c r="M466" s="32"/>
      <c r="N466" s="33"/>
      <c r="O466" s="34" t="str">
        <f aca="false">IF($A466="","",N($M466)*N($N466))</f>
        <v/>
      </c>
      <c r="P466" s="34" t="str">
        <f aca="false">IF($A466="","",N($M466)+$O466)</f>
        <v/>
      </c>
      <c r="Q466" s="34" t="str">
        <f aca="false">IF($A466="","",SUMIFS('Credit Notes'!$F$6:$F$205,'Credit Notes'!$B$6:$B$205,$A466,'Credit Notes'!$H$6:$H$205,"Issued"))</f>
        <v/>
      </c>
      <c r="R466" s="34" t="str">
        <f aca="false">IF($A466="","",SUMIFS(Payments!$I$6:$I$505,Payments!$C$6:$C$505,$A466))</f>
        <v/>
      </c>
      <c r="S466" s="34" t="str">
        <f aca="false">IF($A466="","",IF($T466="Void",0,$P466-$Q466-$R466))</f>
        <v/>
      </c>
      <c r="T466" s="26"/>
      <c r="U466" s="35" t="str">
        <f aca="false">IF($A466="","",IF($T466="Void","Void",IF(OR($T466="",$T466="Draft"),"Draft",IF($T466="Disputed","Disputed",IF($S466&lt;-0.005,"Overpaid",IF($S466&lt;=0.005,"Paid",IF($R466+$Q466&gt;0.005,IF($V466&gt;0,"Part-paid, overdue","Part-paid"),IF($V466&gt;0,"Overdue","Outstanding"))))))))</f>
        <v/>
      </c>
      <c r="V466" s="36" t="str">
        <f aca="true">IF($A466="","",IF(AND(OR($T466="Issued",$T466="Disputed"),$S466&gt;0.005,$K466&lt;&gt;"",$K466&lt;TODAY()),TODAY()-$K466,0))</f>
        <v/>
      </c>
      <c r="W466" s="35" t="str">
        <f aca="false">IF($A466="","",IF(AND(OR($T466="Issued",$T466="Disputed"),$S466&gt;0.005),IF($V466&lt;=0,"Not yet due",IF($V466&lt;=30,"1 to 30 days",IF($V466&lt;=60,"31 to 60 days",IF($V466&lt;=90,"61 to 90 days","Over 90 days")))),""))</f>
        <v/>
      </c>
      <c r="X466" s="26"/>
      <c r="Y466" s="29"/>
      <c r="Z466" s="28"/>
      <c r="AA466" s="28"/>
    </row>
    <row r="467" customFormat="false" ht="15" hidden="false" customHeight="false" outlineLevel="0" collapsed="false">
      <c r="A467" s="26"/>
      <c r="B467" s="26"/>
      <c r="C467" s="27" t="str">
        <f aca="false">IF($B467="","",IFERROR(INDEX(Clients!$B$6:$B$105,MATCH($B467,Clients!$A$6:$A$105,0)),"Client not found"))</f>
        <v/>
      </c>
      <c r="D467" s="26"/>
      <c r="E467" s="26"/>
      <c r="F467" s="26"/>
      <c r="G467" s="26"/>
      <c r="H467" s="28"/>
      <c r="I467" s="29"/>
      <c r="J467" s="30" t="str">
        <f aca="false">IF($A467="","",IFERROR(IF(N(INDEX(Clients!$E$6:$E$105,MATCH($B467,Clients!$A$6:$A$105,0)))&gt;0,INDEX(Clients!$E$6:$E$105,MATCH($B467,Clients!$A$6:$A$105,0)),Dashboard!$B$6),Dashboard!$B$6))</f>
        <v/>
      </c>
      <c r="K467" s="31" t="str">
        <f aca="false">IF(OR($A467="",$I467=""),"",$I467+$J467)</f>
        <v/>
      </c>
      <c r="L467" s="26"/>
      <c r="M467" s="32"/>
      <c r="N467" s="33"/>
      <c r="O467" s="34" t="str">
        <f aca="false">IF($A467="","",N($M467)*N($N467))</f>
        <v/>
      </c>
      <c r="P467" s="34" t="str">
        <f aca="false">IF($A467="","",N($M467)+$O467)</f>
        <v/>
      </c>
      <c r="Q467" s="34" t="str">
        <f aca="false">IF($A467="","",SUMIFS('Credit Notes'!$F$6:$F$205,'Credit Notes'!$B$6:$B$205,$A467,'Credit Notes'!$H$6:$H$205,"Issued"))</f>
        <v/>
      </c>
      <c r="R467" s="34" t="str">
        <f aca="false">IF($A467="","",SUMIFS(Payments!$I$6:$I$505,Payments!$C$6:$C$505,$A467))</f>
        <v/>
      </c>
      <c r="S467" s="34" t="str">
        <f aca="false">IF($A467="","",IF($T467="Void",0,$P467-$Q467-$R467))</f>
        <v/>
      </c>
      <c r="T467" s="26"/>
      <c r="U467" s="35" t="str">
        <f aca="false">IF($A467="","",IF($T467="Void","Void",IF(OR($T467="",$T467="Draft"),"Draft",IF($T467="Disputed","Disputed",IF($S467&lt;-0.005,"Overpaid",IF($S467&lt;=0.005,"Paid",IF($R467+$Q467&gt;0.005,IF($V467&gt;0,"Part-paid, overdue","Part-paid"),IF($V467&gt;0,"Overdue","Outstanding"))))))))</f>
        <v/>
      </c>
      <c r="V467" s="36" t="str">
        <f aca="true">IF($A467="","",IF(AND(OR($T467="Issued",$T467="Disputed"),$S467&gt;0.005,$K467&lt;&gt;"",$K467&lt;TODAY()),TODAY()-$K467,0))</f>
        <v/>
      </c>
      <c r="W467" s="35" t="str">
        <f aca="false">IF($A467="","",IF(AND(OR($T467="Issued",$T467="Disputed"),$S467&gt;0.005),IF($V467&lt;=0,"Not yet due",IF($V467&lt;=30,"1 to 30 days",IF($V467&lt;=60,"31 to 60 days",IF($V467&lt;=90,"61 to 90 days","Over 90 days")))),""))</f>
        <v/>
      </c>
      <c r="X467" s="26"/>
      <c r="Y467" s="29"/>
      <c r="Z467" s="28"/>
      <c r="AA467" s="28"/>
    </row>
    <row r="468" customFormat="false" ht="15" hidden="false" customHeight="false" outlineLevel="0" collapsed="false">
      <c r="A468" s="26"/>
      <c r="B468" s="26"/>
      <c r="C468" s="27" t="str">
        <f aca="false">IF($B468="","",IFERROR(INDEX(Clients!$B$6:$B$105,MATCH($B468,Clients!$A$6:$A$105,0)),"Client not found"))</f>
        <v/>
      </c>
      <c r="D468" s="26"/>
      <c r="E468" s="26"/>
      <c r="F468" s="26"/>
      <c r="G468" s="26"/>
      <c r="H468" s="28"/>
      <c r="I468" s="29"/>
      <c r="J468" s="30" t="str">
        <f aca="false">IF($A468="","",IFERROR(IF(N(INDEX(Clients!$E$6:$E$105,MATCH($B468,Clients!$A$6:$A$105,0)))&gt;0,INDEX(Clients!$E$6:$E$105,MATCH($B468,Clients!$A$6:$A$105,0)),Dashboard!$B$6),Dashboard!$B$6))</f>
        <v/>
      </c>
      <c r="K468" s="31" t="str">
        <f aca="false">IF(OR($A468="",$I468=""),"",$I468+$J468)</f>
        <v/>
      </c>
      <c r="L468" s="26"/>
      <c r="M468" s="32"/>
      <c r="N468" s="33"/>
      <c r="O468" s="34" t="str">
        <f aca="false">IF($A468="","",N($M468)*N($N468))</f>
        <v/>
      </c>
      <c r="P468" s="34" t="str">
        <f aca="false">IF($A468="","",N($M468)+$O468)</f>
        <v/>
      </c>
      <c r="Q468" s="34" t="str">
        <f aca="false">IF($A468="","",SUMIFS('Credit Notes'!$F$6:$F$205,'Credit Notes'!$B$6:$B$205,$A468,'Credit Notes'!$H$6:$H$205,"Issued"))</f>
        <v/>
      </c>
      <c r="R468" s="34" t="str">
        <f aca="false">IF($A468="","",SUMIFS(Payments!$I$6:$I$505,Payments!$C$6:$C$505,$A468))</f>
        <v/>
      </c>
      <c r="S468" s="34" t="str">
        <f aca="false">IF($A468="","",IF($T468="Void",0,$P468-$Q468-$R468))</f>
        <v/>
      </c>
      <c r="T468" s="26"/>
      <c r="U468" s="35" t="str">
        <f aca="false">IF($A468="","",IF($T468="Void","Void",IF(OR($T468="",$T468="Draft"),"Draft",IF($T468="Disputed","Disputed",IF($S468&lt;-0.005,"Overpaid",IF($S468&lt;=0.005,"Paid",IF($R468+$Q468&gt;0.005,IF($V468&gt;0,"Part-paid, overdue","Part-paid"),IF($V468&gt;0,"Overdue","Outstanding"))))))))</f>
        <v/>
      </c>
      <c r="V468" s="36" t="str">
        <f aca="true">IF($A468="","",IF(AND(OR($T468="Issued",$T468="Disputed"),$S468&gt;0.005,$K468&lt;&gt;"",$K468&lt;TODAY()),TODAY()-$K468,0))</f>
        <v/>
      </c>
      <c r="W468" s="35" t="str">
        <f aca="false">IF($A468="","",IF(AND(OR($T468="Issued",$T468="Disputed"),$S468&gt;0.005),IF($V468&lt;=0,"Not yet due",IF($V468&lt;=30,"1 to 30 days",IF($V468&lt;=60,"31 to 60 days",IF($V468&lt;=90,"61 to 90 days","Over 90 days")))),""))</f>
        <v/>
      </c>
      <c r="X468" s="26"/>
      <c r="Y468" s="29"/>
      <c r="Z468" s="28"/>
      <c r="AA468" s="28"/>
    </row>
    <row r="469" customFormat="false" ht="15" hidden="false" customHeight="false" outlineLevel="0" collapsed="false">
      <c r="A469" s="26"/>
      <c r="B469" s="26"/>
      <c r="C469" s="27" t="str">
        <f aca="false">IF($B469="","",IFERROR(INDEX(Clients!$B$6:$B$105,MATCH($B469,Clients!$A$6:$A$105,0)),"Client not found"))</f>
        <v/>
      </c>
      <c r="D469" s="26"/>
      <c r="E469" s="26"/>
      <c r="F469" s="26"/>
      <c r="G469" s="26"/>
      <c r="H469" s="28"/>
      <c r="I469" s="29"/>
      <c r="J469" s="30" t="str">
        <f aca="false">IF($A469="","",IFERROR(IF(N(INDEX(Clients!$E$6:$E$105,MATCH($B469,Clients!$A$6:$A$105,0)))&gt;0,INDEX(Clients!$E$6:$E$105,MATCH($B469,Clients!$A$6:$A$105,0)),Dashboard!$B$6),Dashboard!$B$6))</f>
        <v/>
      </c>
      <c r="K469" s="31" t="str">
        <f aca="false">IF(OR($A469="",$I469=""),"",$I469+$J469)</f>
        <v/>
      </c>
      <c r="L469" s="26"/>
      <c r="M469" s="32"/>
      <c r="N469" s="33"/>
      <c r="O469" s="34" t="str">
        <f aca="false">IF($A469="","",N($M469)*N($N469))</f>
        <v/>
      </c>
      <c r="P469" s="34" t="str">
        <f aca="false">IF($A469="","",N($M469)+$O469)</f>
        <v/>
      </c>
      <c r="Q469" s="34" t="str">
        <f aca="false">IF($A469="","",SUMIFS('Credit Notes'!$F$6:$F$205,'Credit Notes'!$B$6:$B$205,$A469,'Credit Notes'!$H$6:$H$205,"Issued"))</f>
        <v/>
      </c>
      <c r="R469" s="34" t="str">
        <f aca="false">IF($A469="","",SUMIFS(Payments!$I$6:$I$505,Payments!$C$6:$C$505,$A469))</f>
        <v/>
      </c>
      <c r="S469" s="34" t="str">
        <f aca="false">IF($A469="","",IF($T469="Void",0,$P469-$Q469-$R469))</f>
        <v/>
      </c>
      <c r="T469" s="26"/>
      <c r="U469" s="35" t="str">
        <f aca="false">IF($A469="","",IF($T469="Void","Void",IF(OR($T469="",$T469="Draft"),"Draft",IF($T469="Disputed","Disputed",IF($S469&lt;-0.005,"Overpaid",IF($S469&lt;=0.005,"Paid",IF($R469+$Q469&gt;0.005,IF($V469&gt;0,"Part-paid, overdue","Part-paid"),IF($V469&gt;0,"Overdue","Outstanding"))))))))</f>
        <v/>
      </c>
      <c r="V469" s="36" t="str">
        <f aca="true">IF($A469="","",IF(AND(OR($T469="Issued",$T469="Disputed"),$S469&gt;0.005,$K469&lt;&gt;"",$K469&lt;TODAY()),TODAY()-$K469,0))</f>
        <v/>
      </c>
      <c r="W469" s="35" t="str">
        <f aca="false">IF($A469="","",IF(AND(OR($T469="Issued",$T469="Disputed"),$S469&gt;0.005),IF($V469&lt;=0,"Not yet due",IF($V469&lt;=30,"1 to 30 days",IF($V469&lt;=60,"31 to 60 days",IF($V469&lt;=90,"61 to 90 days","Over 90 days")))),""))</f>
        <v/>
      </c>
      <c r="X469" s="26"/>
      <c r="Y469" s="29"/>
      <c r="Z469" s="28"/>
      <c r="AA469" s="28"/>
    </row>
    <row r="470" customFormat="false" ht="15" hidden="false" customHeight="false" outlineLevel="0" collapsed="false">
      <c r="A470" s="26"/>
      <c r="B470" s="26"/>
      <c r="C470" s="27" t="str">
        <f aca="false">IF($B470="","",IFERROR(INDEX(Clients!$B$6:$B$105,MATCH($B470,Clients!$A$6:$A$105,0)),"Client not found"))</f>
        <v/>
      </c>
      <c r="D470" s="26"/>
      <c r="E470" s="26"/>
      <c r="F470" s="26"/>
      <c r="G470" s="26"/>
      <c r="H470" s="28"/>
      <c r="I470" s="29"/>
      <c r="J470" s="30" t="str">
        <f aca="false">IF($A470="","",IFERROR(IF(N(INDEX(Clients!$E$6:$E$105,MATCH($B470,Clients!$A$6:$A$105,0)))&gt;0,INDEX(Clients!$E$6:$E$105,MATCH($B470,Clients!$A$6:$A$105,0)),Dashboard!$B$6),Dashboard!$B$6))</f>
        <v/>
      </c>
      <c r="K470" s="31" t="str">
        <f aca="false">IF(OR($A470="",$I470=""),"",$I470+$J470)</f>
        <v/>
      </c>
      <c r="L470" s="26"/>
      <c r="M470" s="32"/>
      <c r="N470" s="33"/>
      <c r="O470" s="34" t="str">
        <f aca="false">IF($A470="","",N($M470)*N($N470))</f>
        <v/>
      </c>
      <c r="P470" s="34" t="str">
        <f aca="false">IF($A470="","",N($M470)+$O470)</f>
        <v/>
      </c>
      <c r="Q470" s="34" t="str">
        <f aca="false">IF($A470="","",SUMIFS('Credit Notes'!$F$6:$F$205,'Credit Notes'!$B$6:$B$205,$A470,'Credit Notes'!$H$6:$H$205,"Issued"))</f>
        <v/>
      </c>
      <c r="R470" s="34" t="str">
        <f aca="false">IF($A470="","",SUMIFS(Payments!$I$6:$I$505,Payments!$C$6:$C$505,$A470))</f>
        <v/>
      </c>
      <c r="S470" s="34" t="str">
        <f aca="false">IF($A470="","",IF($T470="Void",0,$P470-$Q470-$R470))</f>
        <v/>
      </c>
      <c r="T470" s="26"/>
      <c r="U470" s="35" t="str">
        <f aca="false">IF($A470="","",IF($T470="Void","Void",IF(OR($T470="",$T470="Draft"),"Draft",IF($T470="Disputed","Disputed",IF($S470&lt;-0.005,"Overpaid",IF($S470&lt;=0.005,"Paid",IF($R470+$Q470&gt;0.005,IF($V470&gt;0,"Part-paid, overdue","Part-paid"),IF($V470&gt;0,"Overdue","Outstanding"))))))))</f>
        <v/>
      </c>
      <c r="V470" s="36" t="str">
        <f aca="true">IF($A470="","",IF(AND(OR($T470="Issued",$T470="Disputed"),$S470&gt;0.005,$K470&lt;&gt;"",$K470&lt;TODAY()),TODAY()-$K470,0))</f>
        <v/>
      </c>
      <c r="W470" s="35" t="str">
        <f aca="false">IF($A470="","",IF(AND(OR($T470="Issued",$T470="Disputed"),$S470&gt;0.005),IF($V470&lt;=0,"Not yet due",IF($V470&lt;=30,"1 to 30 days",IF($V470&lt;=60,"31 to 60 days",IF($V470&lt;=90,"61 to 90 days","Over 90 days")))),""))</f>
        <v/>
      </c>
      <c r="X470" s="26"/>
      <c r="Y470" s="29"/>
      <c r="Z470" s="28"/>
      <c r="AA470" s="28"/>
    </row>
    <row r="471" customFormat="false" ht="15" hidden="false" customHeight="false" outlineLevel="0" collapsed="false">
      <c r="A471" s="26"/>
      <c r="B471" s="26"/>
      <c r="C471" s="27" t="str">
        <f aca="false">IF($B471="","",IFERROR(INDEX(Clients!$B$6:$B$105,MATCH($B471,Clients!$A$6:$A$105,0)),"Client not found"))</f>
        <v/>
      </c>
      <c r="D471" s="26"/>
      <c r="E471" s="26"/>
      <c r="F471" s="26"/>
      <c r="G471" s="26"/>
      <c r="H471" s="28"/>
      <c r="I471" s="29"/>
      <c r="J471" s="30" t="str">
        <f aca="false">IF($A471="","",IFERROR(IF(N(INDEX(Clients!$E$6:$E$105,MATCH($B471,Clients!$A$6:$A$105,0)))&gt;0,INDEX(Clients!$E$6:$E$105,MATCH($B471,Clients!$A$6:$A$105,0)),Dashboard!$B$6),Dashboard!$B$6))</f>
        <v/>
      </c>
      <c r="K471" s="31" t="str">
        <f aca="false">IF(OR($A471="",$I471=""),"",$I471+$J471)</f>
        <v/>
      </c>
      <c r="L471" s="26"/>
      <c r="M471" s="32"/>
      <c r="N471" s="33"/>
      <c r="O471" s="34" t="str">
        <f aca="false">IF($A471="","",N($M471)*N($N471))</f>
        <v/>
      </c>
      <c r="P471" s="34" t="str">
        <f aca="false">IF($A471="","",N($M471)+$O471)</f>
        <v/>
      </c>
      <c r="Q471" s="34" t="str">
        <f aca="false">IF($A471="","",SUMIFS('Credit Notes'!$F$6:$F$205,'Credit Notes'!$B$6:$B$205,$A471,'Credit Notes'!$H$6:$H$205,"Issued"))</f>
        <v/>
      </c>
      <c r="R471" s="34" t="str">
        <f aca="false">IF($A471="","",SUMIFS(Payments!$I$6:$I$505,Payments!$C$6:$C$505,$A471))</f>
        <v/>
      </c>
      <c r="S471" s="34" t="str">
        <f aca="false">IF($A471="","",IF($T471="Void",0,$P471-$Q471-$R471))</f>
        <v/>
      </c>
      <c r="T471" s="26"/>
      <c r="U471" s="35" t="str">
        <f aca="false">IF($A471="","",IF($T471="Void","Void",IF(OR($T471="",$T471="Draft"),"Draft",IF($T471="Disputed","Disputed",IF($S471&lt;-0.005,"Overpaid",IF($S471&lt;=0.005,"Paid",IF($R471+$Q471&gt;0.005,IF($V471&gt;0,"Part-paid, overdue","Part-paid"),IF($V471&gt;0,"Overdue","Outstanding"))))))))</f>
        <v/>
      </c>
      <c r="V471" s="36" t="str">
        <f aca="true">IF($A471="","",IF(AND(OR($T471="Issued",$T471="Disputed"),$S471&gt;0.005,$K471&lt;&gt;"",$K471&lt;TODAY()),TODAY()-$K471,0))</f>
        <v/>
      </c>
      <c r="W471" s="35" t="str">
        <f aca="false">IF($A471="","",IF(AND(OR($T471="Issued",$T471="Disputed"),$S471&gt;0.005),IF($V471&lt;=0,"Not yet due",IF($V471&lt;=30,"1 to 30 days",IF($V471&lt;=60,"31 to 60 days",IF($V471&lt;=90,"61 to 90 days","Over 90 days")))),""))</f>
        <v/>
      </c>
      <c r="X471" s="26"/>
      <c r="Y471" s="29"/>
      <c r="Z471" s="28"/>
      <c r="AA471" s="28"/>
    </row>
    <row r="472" customFormat="false" ht="15" hidden="false" customHeight="false" outlineLevel="0" collapsed="false">
      <c r="A472" s="26"/>
      <c r="B472" s="26"/>
      <c r="C472" s="27" t="str">
        <f aca="false">IF($B472="","",IFERROR(INDEX(Clients!$B$6:$B$105,MATCH($B472,Clients!$A$6:$A$105,0)),"Client not found"))</f>
        <v/>
      </c>
      <c r="D472" s="26"/>
      <c r="E472" s="26"/>
      <c r="F472" s="26"/>
      <c r="G472" s="26"/>
      <c r="H472" s="28"/>
      <c r="I472" s="29"/>
      <c r="J472" s="30" t="str">
        <f aca="false">IF($A472="","",IFERROR(IF(N(INDEX(Clients!$E$6:$E$105,MATCH($B472,Clients!$A$6:$A$105,0)))&gt;0,INDEX(Clients!$E$6:$E$105,MATCH($B472,Clients!$A$6:$A$105,0)),Dashboard!$B$6),Dashboard!$B$6))</f>
        <v/>
      </c>
      <c r="K472" s="31" t="str">
        <f aca="false">IF(OR($A472="",$I472=""),"",$I472+$J472)</f>
        <v/>
      </c>
      <c r="L472" s="26"/>
      <c r="M472" s="32"/>
      <c r="N472" s="33"/>
      <c r="O472" s="34" t="str">
        <f aca="false">IF($A472="","",N($M472)*N($N472))</f>
        <v/>
      </c>
      <c r="P472" s="34" t="str">
        <f aca="false">IF($A472="","",N($M472)+$O472)</f>
        <v/>
      </c>
      <c r="Q472" s="34" t="str">
        <f aca="false">IF($A472="","",SUMIFS('Credit Notes'!$F$6:$F$205,'Credit Notes'!$B$6:$B$205,$A472,'Credit Notes'!$H$6:$H$205,"Issued"))</f>
        <v/>
      </c>
      <c r="R472" s="34" t="str">
        <f aca="false">IF($A472="","",SUMIFS(Payments!$I$6:$I$505,Payments!$C$6:$C$505,$A472))</f>
        <v/>
      </c>
      <c r="S472" s="34" t="str">
        <f aca="false">IF($A472="","",IF($T472="Void",0,$P472-$Q472-$R472))</f>
        <v/>
      </c>
      <c r="T472" s="26"/>
      <c r="U472" s="35" t="str">
        <f aca="false">IF($A472="","",IF($T472="Void","Void",IF(OR($T472="",$T472="Draft"),"Draft",IF($T472="Disputed","Disputed",IF($S472&lt;-0.005,"Overpaid",IF($S472&lt;=0.005,"Paid",IF($R472+$Q472&gt;0.005,IF($V472&gt;0,"Part-paid, overdue","Part-paid"),IF($V472&gt;0,"Overdue","Outstanding"))))))))</f>
        <v/>
      </c>
      <c r="V472" s="36" t="str">
        <f aca="true">IF($A472="","",IF(AND(OR($T472="Issued",$T472="Disputed"),$S472&gt;0.005,$K472&lt;&gt;"",$K472&lt;TODAY()),TODAY()-$K472,0))</f>
        <v/>
      </c>
      <c r="W472" s="35" t="str">
        <f aca="false">IF($A472="","",IF(AND(OR($T472="Issued",$T472="Disputed"),$S472&gt;0.005),IF($V472&lt;=0,"Not yet due",IF($V472&lt;=30,"1 to 30 days",IF($V472&lt;=60,"31 to 60 days",IF($V472&lt;=90,"61 to 90 days","Over 90 days")))),""))</f>
        <v/>
      </c>
      <c r="X472" s="26"/>
      <c r="Y472" s="29"/>
      <c r="Z472" s="28"/>
      <c r="AA472" s="28"/>
    </row>
    <row r="473" customFormat="false" ht="15" hidden="false" customHeight="false" outlineLevel="0" collapsed="false">
      <c r="A473" s="26"/>
      <c r="B473" s="26"/>
      <c r="C473" s="27" t="str">
        <f aca="false">IF($B473="","",IFERROR(INDEX(Clients!$B$6:$B$105,MATCH($B473,Clients!$A$6:$A$105,0)),"Client not found"))</f>
        <v/>
      </c>
      <c r="D473" s="26"/>
      <c r="E473" s="26"/>
      <c r="F473" s="26"/>
      <c r="G473" s="26"/>
      <c r="H473" s="28"/>
      <c r="I473" s="29"/>
      <c r="J473" s="30" t="str">
        <f aca="false">IF($A473="","",IFERROR(IF(N(INDEX(Clients!$E$6:$E$105,MATCH($B473,Clients!$A$6:$A$105,0)))&gt;0,INDEX(Clients!$E$6:$E$105,MATCH($B473,Clients!$A$6:$A$105,0)),Dashboard!$B$6),Dashboard!$B$6))</f>
        <v/>
      </c>
      <c r="K473" s="31" t="str">
        <f aca="false">IF(OR($A473="",$I473=""),"",$I473+$J473)</f>
        <v/>
      </c>
      <c r="L473" s="26"/>
      <c r="M473" s="32"/>
      <c r="N473" s="33"/>
      <c r="O473" s="34" t="str">
        <f aca="false">IF($A473="","",N($M473)*N($N473))</f>
        <v/>
      </c>
      <c r="P473" s="34" t="str">
        <f aca="false">IF($A473="","",N($M473)+$O473)</f>
        <v/>
      </c>
      <c r="Q473" s="34" t="str">
        <f aca="false">IF($A473="","",SUMIFS('Credit Notes'!$F$6:$F$205,'Credit Notes'!$B$6:$B$205,$A473,'Credit Notes'!$H$6:$H$205,"Issued"))</f>
        <v/>
      </c>
      <c r="R473" s="34" t="str">
        <f aca="false">IF($A473="","",SUMIFS(Payments!$I$6:$I$505,Payments!$C$6:$C$505,$A473))</f>
        <v/>
      </c>
      <c r="S473" s="34" t="str">
        <f aca="false">IF($A473="","",IF($T473="Void",0,$P473-$Q473-$R473))</f>
        <v/>
      </c>
      <c r="T473" s="26"/>
      <c r="U473" s="35" t="str">
        <f aca="false">IF($A473="","",IF($T473="Void","Void",IF(OR($T473="",$T473="Draft"),"Draft",IF($T473="Disputed","Disputed",IF($S473&lt;-0.005,"Overpaid",IF($S473&lt;=0.005,"Paid",IF($R473+$Q473&gt;0.005,IF($V473&gt;0,"Part-paid, overdue","Part-paid"),IF($V473&gt;0,"Overdue","Outstanding"))))))))</f>
        <v/>
      </c>
      <c r="V473" s="36" t="str">
        <f aca="true">IF($A473="","",IF(AND(OR($T473="Issued",$T473="Disputed"),$S473&gt;0.005,$K473&lt;&gt;"",$K473&lt;TODAY()),TODAY()-$K473,0))</f>
        <v/>
      </c>
      <c r="W473" s="35" t="str">
        <f aca="false">IF($A473="","",IF(AND(OR($T473="Issued",$T473="Disputed"),$S473&gt;0.005),IF($V473&lt;=0,"Not yet due",IF($V473&lt;=30,"1 to 30 days",IF($V473&lt;=60,"31 to 60 days",IF($V473&lt;=90,"61 to 90 days","Over 90 days")))),""))</f>
        <v/>
      </c>
      <c r="X473" s="26"/>
      <c r="Y473" s="29"/>
      <c r="Z473" s="28"/>
      <c r="AA473" s="28"/>
    </row>
    <row r="474" customFormat="false" ht="15" hidden="false" customHeight="false" outlineLevel="0" collapsed="false">
      <c r="A474" s="26"/>
      <c r="B474" s="26"/>
      <c r="C474" s="27" t="str">
        <f aca="false">IF($B474="","",IFERROR(INDEX(Clients!$B$6:$B$105,MATCH($B474,Clients!$A$6:$A$105,0)),"Client not found"))</f>
        <v/>
      </c>
      <c r="D474" s="26"/>
      <c r="E474" s="26"/>
      <c r="F474" s="26"/>
      <c r="G474" s="26"/>
      <c r="H474" s="28"/>
      <c r="I474" s="29"/>
      <c r="J474" s="30" t="str">
        <f aca="false">IF($A474="","",IFERROR(IF(N(INDEX(Clients!$E$6:$E$105,MATCH($B474,Clients!$A$6:$A$105,0)))&gt;0,INDEX(Clients!$E$6:$E$105,MATCH($B474,Clients!$A$6:$A$105,0)),Dashboard!$B$6),Dashboard!$B$6))</f>
        <v/>
      </c>
      <c r="K474" s="31" t="str">
        <f aca="false">IF(OR($A474="",$I474=""),"",$I474+$J474)</f>
        <v/>
      </c>
      <c r="L474" s="26"/>
      <c r="M474" s="32"/>
      <c r="N474" s="33"/>
      <c r="O474" s="34" t="str">
        <f aca="false">IF($A474="","",N($M474)*N($N474))</f>
        <v/>
      </c>
      <c r="P474" s="34" t="str">
        <f aca="false">IF($A474="","",N($M474)+$O474)</f>
        <v/>
      </c>
      <c r="Q474" s="34" t="str">
        <f aca="false">IF($A474="","",SUMIFS('Credit Notes'!$F$6:$F$205,'Credit Notes'!$B$6:$B$205,$A474,'Credit Notes'!$H$6:$H$205,"Issued"))</f>
        <v/>
      </c>
      <c r="R474" s="34" t="str">
        <f aca="false">IF($A474="","",SUMIFS(Payments!$I$6:$I$505,Payments!$C$6:$C$505,$A474))</f>
        <v/>
      </c>
      <c r="S474" s="34" t="str">
        <f aca="false">IF($A474="","",IF($T474="Void",0,$P474-$Q474-$R474))</f>
        <v/>
      </c>
      <c r="T474" s="26"/>
      <c r="U474" s="35" t="str">
        <f aca="false">IF($A474="","",IF($T474="Void","Void",IF(OR($T474="",$T474="Draft"),"Draft",IF($T474="Disputed","Disputed",IF($S474&lt;-0.005,"Overpaid",IF($S474&lt;=0.005,"Paid",IF($R474+$Q474&gt;0.005,IF($V474&gt;0,"Part-paid, overdue","Part-paid"),IF($V474&gt;0,"Overdue","Outstanding"))))))))</f>
        <v/>
      </c>
      <c r="V474" s="36" t="str">
        <f aca="true">IF($A474="","",IF(AND(OR($T474="Issued",$T474="Disputed"),$S474&gt;0.005,$K474&lt;&gt;"",$K474&lt;TODAY()),TODAY()-$K474,0))</f>
        <v/>
      </c>
      <c r="W474" s="35" t="str">
        <f aca="false">IF($A474="","",IF(AND(OR($T474="Issued",$T474="Disputed"),$S474&gt;0.005),IF($V474&lt;=0,"Not yet due",IF($V474&lt;=30,"1 to 30 days",IF($V474&lt;=60,"31 to 60 days",IF($V474&lt;=90,"61 to 90 days","Over 90 days")))),""))</f>
        <v/>
      </c>
      <c r="X474" s="26"/>
      <c r="Y474" s="29"/>
      <c r="Z474" s="28"/>
      <c r="AA474" s="28"/>
    </row>
    <row r="475" customFormat="false" ht="15" hidden="false" customHeight="false" outlineLevel="0" collapsed="false">
      <c r="A475" s="26"/>
      <c r="B475" s="26"/>
      <c r="C475" s="27" t="str">
        <f aca="false">IF($B475="","",IFERROR(INDEX(Clients!$B$6:$B$105,MATCH($B475,Clients!$A$6:$A$105,0)),"Client not found"))</f>
        <v/>
      </c>
      <c r="D475" s="26"/>
      <c r="E475" s="26"/>
      <c r="F475" s="26"/>
      <c r="G475" s="26"/>
      <c r="H475" s="28"/>
      <c r="I475" s="29"/>
      <c r="J475" s="30" t="str">
        <f aca="false">IF($A475="","",IFERROR(IF(N(INDEX(Clients!$E$6:$E$105,MATCH($B475,Clients!$A$6:$A$105,0)))&gt;0,INDEX(Clients!$E$6:$E$105,MATCH($B475,Clients!$A$6:$A$105,0)),Dashboard!$B$6),Dashboard!$B$6))</f>
        <v/>
      </c>
      <c r="K475" s="31" t="str">
        <f aca="false">IF(OR($A475="",$I475=""),"",$I475+$J475)</f>
        <v/>
      </c>
      <c r="L475" s="26"/>
      <c r="M475" s="32"/>
      <c r="N475" s="33"/>
      <c r="O475" s="34" t="str">
        <f aca="false">IF($A475="","",N($M475)*N($N475))</f>
        <v/>
      </c>
      <c r="P475" s="34" t="str">
        <f aca="false">IF($A475="","",N($M475)+$O475)</f>
        <v/>
      </c>
      <c r="Q475" s="34" t="str">
        <f aca="false">IF($A475="","",SUMIFS('Credit Notes'!$F$6:$F$205,'Credit Notes'!$B$6:$B$205,$A475,'Credit Notes'!$H$6:$H$205,"Issued"))</f>
        <v/>
      </c>
      <c r="R475" s="34" t="str">
        <f aca="false">IF($A475="","",SUMIFS(Payments!$I$6:$I$505,Payments!$C$6:$C$505,$A475))</f>
        <v/>
      </c>
      <c r="S475" s="34" t="str">
        <f aca="false">IF($A475="","",IF($T475="Void",0,$P475-$Q475-$R475))</f>
        <v/>
      </c>
      <c r="T475" s="26"/>
      <c r="U475" s="35" t="str">
        <f aca="false">IF($A475="","",IF($T475="Void","Void",IF(OR($T475="",$T475="Draft"),"Draft",IF($T475="Disputed","Disputed",IF($S475&lt;-0.005,"Overpaid",IF($S475&lt;=0.005,"Paid",IF($R475+$Q475&gt;0.005,IF($V475&gt;0,"Part-paid, overdue","Part-paid"),IF($V475&gt;0,"Overdue","Outstanding"))))))))</f>
        <v/>
      </c>
      <c r="V475" s="36" t="str">
        <f aca="true">IF($A475="","",IF(AND(OR($T475="Issued",$T475="Disputed"),$S475&gt;0.005,$K475&lt;&gt;"",$K475&lt;TODAY()),TODAY()-$K475,0))</f>
        <v/>
      </c>
      <c r="W475" s="35" t="str">
        <f aca="false">IF($A475="","",IF(AND(OR($T475="Issued",$T475="Disputed"),$S475&gt;0.005),IF($V475&lt;=0,"Not yet due",IF($V475&lt;=30,"1 to 30 days",IF($V475&lt;=60,"31 to 60 days",IF($V475&lt;=90,"61 to 90 days","Over 90 days")))),""))</f>
        <v/>
      </c>
      <c r="X475" s="26"/>
      <c r="Y475" s="29"/>
      <c r="Z475" s="28"/>
      <c r="AA475" s="28"/>
    </row>
    <row r="476" customFormat="false" ht="15" hidden="false" customHeight="false" outlineLevel="0" collapsed="false">
      <c r="A476" s="26"/>
      <c r="B476" s="26"/>
      <c r="C476" s="27" t="str">
        <f aca="false">IF($B476="","",IFERROR(INDEX(Clients!$B$6:$B$105,MATCH($B476,Clients!$A$6:$A$105,0)),"Client not found"))</f>
        <v/>
      </c>
      <c r="D476" s="26"/>
      <c r="E476" s="26"/>
      <c r="F476" s="26"/>
      <c r="G476" s="26"/>
      <c r="H476" s="28"/>
      <c r="I476" s="29"/>
      <c r="J476" s="30" t="str">
        <f aca="false">IF($A476="","",IFERROR(IF(N(INDEX(Clients!$E$6:$E$105,MATCH($B476,Clients!$A$6:$A$105,0)))&gt;0,INDEX(Clients!$E$6:$E$105,MATCH($B476,Clients!$A$6:$A$105,0)),Dashboard!$B$6),Dashboard!$B$6))</f>
        <v/>
      </c>
      <c r="K476" s="31" t="str">
        <f aca="false">IF(OR($A476="",$I476=""),"",$I476+$J476)</f>
        <v/>
      </c>
      <c r="L476" s="26"/>
      <c r="M476" s="32"/>
      <c r="N476" s="33"/>
      <c r="O476" s="34" t="str">
        <f aca="false">IF($A476="","",N($M476)*N($N476))</f>
        <v/>
      </c>
      <c r="P476" s="34" t="str">
        <f aca="false">IF($A476="","",N($M476)+$O476)</f>
        <v/>
      </c>
      <c r="Q476" s="34" t="str">
        <f aca="false">IF($A476="","",SUMIFS('Credit Notes'!$F$6:$F$205,'Credit Notes'!$B$6:$B$205,$A476,'Credit Notes'!$H$6:$H$205,"Issued"))</f>
        <v/>
      </c>
      <c r="R476" s="34" t="str">
        <f aca="false">IF($A476="","",SUMIFS(Payments!$I$6:$I$505,Payments!$C$6:$C$505,$A476))</f>
        <v/>
      </c>
      <c r="S476" s="34" t="str">
        <f aca="false">IF($A476="","",IF($T476="Void",0,$P476-$Q476-$R476))</f>
        <v/>
      </c>
      <c r="T476" s="26"/>
      <c r="U476" s="35" t="str">
        <f aca="false">IF($A476="","",IF($T476="Void","Void",IF(OR($T476="",$T476="Draft"),"Draft",IF($T476="Disputed","Disputed",IF($S476&lt;-0.005,"Overpaid",IF($S476&lt;=0.005,"Paid",IF($R476+$Q476&gt;0.005,IF($V476&gt;0,"Part-paid, overdue","Part-paid"),IF($V476&gt;0,"Overdue","Outstanding"))))))))</f>
        <v/>
      </c>
      <c r="V476" s="36" t="str">
        <f aca="true">IF($A476="","",IF(AND(OR($T476="Issued",$T476="Disputed"),$S476&gt;0.005,$K476&lt;&gt;"",$K476&lt;TODAY()),TODAY()-$K476,0))</f>
        <v/>
      </c>
      <c r="W476" s="35" t="str">
        <f aca="false">IF($A476="","",IF(AND(OR($T476="Issued",$T476="Disputed"),$S476&gt;0.005),IF($V476&lt;=0,"Not yet due",IF($V476&lt;=30,"1 to 30 days",IF($V476&lt;=60,"31 to 60 days",IF($V476&lt;=90,"61 to 90 days","Over 90 days")))),""))</f>
        <v/>
      </c>
      <c r="X476" s="26"/>
      <c r="Y476" s="29"/>
      <c r="Z476" s="28"/>
      <c r="AA476" s="28"/>
    </row>
    <row r="477" customFormat="false" ht="15" hidden="false" customHeight="false" outlineLevel="0" collapsed="false">
      <c r="A477" s="26"/>
      <c r="B477" s="26"/>
      <c r="C477" s="27" t="str">
        <f aca="false">IF($B477="","",IFERROR(INDEX(Clients!$B$6:$B$105,MATCH($B477,Clients!$A$6:$A$105,0)),"Client not found"))</f>
        <v/>
      </c>
      <c r="D477" s="26"/>
      <c r="E477" s="26"/>
      <c r="F477" s="26"/>
      <c r="G477" s="26"/>
      <c r="H477" s="28"/>
      <c r="I477" s="29"/>
      <c r="J477" s="30" t="str">
        <f aca="false">IF($A477="","",IFERROR(IF(N(INDEX(Clients!$E$6:$E$105,MATCH($B477,Clients!$A$6:$A$105,0)))&gt;0,INDEX(Clients!$E$6:$E$105,MATCH($B477,Clients!$A$6:$A$105,0)),Dashboard!$B$6),Dashboard!$B$6))</f>
        <v/>
      </c>
      <c r="K477" s="31" t="str">
        <f aca="false">IF(OR($A477="",$I477=""),"",$I477+$J477)</f>
        <v/>
      </c>
      <c r="L477" s="26"/>
      <c r="M477" s="32"/>
      <c r="N477" s="33"/>
      <c r="O477" s="34" t="str">
        <f aca="false">IF($A477="","",N($M477)*N($N477))</f>
        <v/>
      </c>
      <c r="P477" s="34" t="str">
        <f aca="false">IF($A477="","",N($M477)+$O477)</f>
        <v/>
      </c>
      <c r="Q477" s="34" t="str">
        <f aca="false">IF($A477="","",SUMIFS('Credit Notes'!$F$6:$F$205,'Credit Notes'!$B$6:$B$205,$A477,'Credit Notes'!$H$6:$H$205,"Issued"))</f>
        <v/>
      </c>
      <c r="R477" s="34" t="str">
        <f aca="false">IF($A477="","",SUMIFS(Payments!$I$6:$I$505,Payments!$C$6:$C$505,$A477))</f>
        <v/>
      </c>
      <c r="S477" s="34" t="str">
        <f aca="false">IF($A477="","",IF($T477="Void",0,$P477-$Q477-$R477))</f>
        <v/>
      </c>
      <c r="T477" s="26"/>
      <c r="U477" s="35" t="str">
        <f aca="false">IF($A477="","",IF($T477="Void","Void",IF(OR($T477="",$T477="Draft"),"Draft",IF($T477="Disputed","Disputed",IF($S477&lt;-0.005,"Overpaid",IF($S477&lt;=0.005,"Paid",IF($R477+$Q477&gt;0.005,IF($V477&gt;0,"Part-paid, overdue","Part-paid"),IF($V477&gt;0,"Overdue","Outstanding"))))))))</f>
        <v/>
      </c>
      <c r="V477" s="36" t="str">
        <f aca="true">IF($A477="","",IF(AND(OR($T477="Issued",$T477="Disputed"),$S477&gt;0.005,$K477&lt;&gt;"",$K477&lt;TODAY()),TODAY()-$K477,0))</f>
        <v/>
      </c>
      <c r="W477" s="35" t="str">
        <f aca="false">IF($A477="","",IF(AND(OR($T477="Issued",$T477="Disputed"),$S477&gt;0.005),IF($V477&lt;=0,"Not yet due",IF($V477&lt;=30,"1 to 30 days",IF($V477&lt;=60,"31 to 60 days",IF($V477&lt;=90,"61 to 90 days","Over 90 days")))),""))</f>
        <v/>
      </c>
      <c r="X477" s="26"/>
      <c r="Y477" s="29"/>
      <c r="Z477" s="28"/>
      <c r="AA477" s="28"/>
    </row>
    <row r="478" customFormat="false" ht="15" hidden="false" customHeight="false" outlineLevel="0" collapsed="false">
      <c r="A478" s="26"/>
      <c r="B478" s="26"/>
      <c r="C478" s="27" t="str">
        <f aca="false">IF($B478="","",IFERROR(INDEX(Clients!$B$6:$B$105,MATCH($B478,Clients!$A$6:$A$105,0)),"Client not found"))</f>
        <v/>
      </c>
      <c r="D478" s="26"/>
      <c r="E478" s="26"/>
      <c r="F478" s="26"/>
      <c r="G478" s="26"/>
      <c r="H478" s="28"/>
      <c r="I478" s="29"/>
      <c r="J478" s="30" t="str">
        <f aca="false">IF($A478="","",IFERROR(IF(N(INDEX(Clients!$E$6:$E$105,MATCH($B478,Clients!$A$6:$A$105,0)))&gt;0,INDEX(Clients!$E$6:$E$105,MATCH($B478,Clients!$A$6:$A$105,0)),Dashboard!$B$6),Dashboard!$B$6))</f>
        <v/>
      </c>
      <c r="K478" s="31" t="str">
        <f aca="false">IF(OR($A478="",$I478=""),"",$I478+$J478)</f>
        <v/>
      </c>
      <c r="L478" s="26"/>
      <c r="M478" s="32"/>
      <c r="N478" s="33"/>
      <c r="O478" s="34" t="str">
        <f aca="false">IF($A478="","",N($M478)*N($N478))</f>
        <v/>
      </c>
      <c r="P478" s="34" t="str">
        <f aca="false">IF($A478="","",N($M478)+$O478)</f>
        <v/>
      </c>
      <c r="Q478" s="34" t="str">
        <f aca="false">IF($A478="","",SUMIFS('Credit Notes'!$F$6:$F$205,'Credit Notes'!$B$6:$B$205,$A478,'Credit Notes'!$H$6:$H$205,"Issued"))</f>
        <v/>
      </c>
      <c r="R478" s="34" t="str">
        <f aca="false">IF($A478="","",SUMIFS(Payments!$I$6:$I$505,Payments!$C$6:$C$505,$A478))</f>
        <v/>
      </c>
      <c r="S478" s="34" t="str">
        <f aca="false">IF($A478="","",IF($T478="Void",0,$P478-$Q478-$R478))</f>
        <v/>
      </c>
      <c r="T478" s="26"/>
      <c r="U478" s="35" t="str">
        <f aca="false">IF($A478="","",IF($T478="Void","Void",IF(OR($T478="",$T478="Draft"),"Draft",IF($T478="Disputed","Disputed",IF($S478&lt;-0.005,"Overpaid",IF($S478&lt;=0.005,"Paid",IF($R478+$Q478&gt;0.005,IF($V478&gt;0,"Part-paid, overdue","Part-paid"),IF($V478&gt;0,"Overdue","Outstanding"))))))))</f>
        <v/>
      </c>
      <c r="V478" s="36" t="str">
        <f aca="true">IF($A478="","",IF(AND(OR($T478="Issued",$T478="Disputed"),$S478&gt;0.005,$K478&lt;&gt;"",$K478&lt;TODAY()),TODAY()-$K478,0))</f>
        <v/>
      </c>
      <c r="W478" s="35" t="str">
        <f aca="false">IF($A478="","",IF(AND(OR($T478="Issued",$T478="Disputed"),$S478&gt;0.005),IF($V478&lt;=0,"Not yet due",IF($V478&lt;=30,"1 to 30 days",IF($V478&lt;=60,"31 to 60 days",IF($V478&lt;=90,"61 to 90 days","Over 90 days")))),""))</f>
        <v/>
      </c>
      <c r="X478" s="26"/>
      <c r="Y478" s="29"/>
      <c r="Z478" s="28"/>
      <c r="AA478" s="28"/>
    </row>
    <row r="479" customFormat="false" ht="15" hidden="false" customHeight="false" outlineLevel="0" collapsed="false">
      <c r="A479" s="26"/>
      <c r="B479" s="26"/>
      <c r="C479" s="27" t="str">
        <f aca="false">IF($B479="","",IFERROR(INDEX(Clients!$B$6:$B$105,MATCH($B479,Clients!$A$6:$A$105,0)),"Client not found"))</f>
        <v/>
      </c>
      <c r="D479" s="26"/>
      <c r="E479" s="26"/>
      <c r="F479" s="26"/>
      <c r="G479" s="26"/>
      <c r="H479" s="28"/>
      <c r="I479" s="29"/>
      <c r="J479" s="30" t="str">
        <f aca="false">IF($A479="","",IFERROR(IF(N(INDEX(Clients!$E$6:$E$105,MATCH($B479,Clients!$A$6:$A$105,0)))&gt;0,INDEX(Clients!$E$6:$E$105,MATCH($B479,Clients!$A$6:$A$105,0)),Dashboard!$B$6),Dashboard!$B$6))</f>
        <v/>
      </c>
      <c r="K479" s="31" t="str">
        <f aca="false">IF(OR($A479="",$I479=""),"",$I479+$J479)</f>
        <v/>
      </c>
      <c r="L479" s="26"/>
      <c r="M479" s="32"/>
      <c r="N479" s="33"/>
      <c r="O479" s="34" t="str">
        <f aca="false">IF($A479="","",N($M479)*N($N479))</f>
        <v/>
      </c>
      <c r="P479" s="34" t="str">
        <f aca="false">IF($A479="","",N($M479)+$O479)</f>
        <v/>
      </c>
      <c r="Q479" s="34" t="str">
        <f aca="false">IF($A479="","",SUMIFS('Credit Notes'!$F$6:$F$205,'Credit Notes'!$B$6:$B$205,$A479,'Credit Notes'!$H$6:$H$205,"Issued"))</f>
        <v/>
      </c>
      <c r="R479" s="34" t="str">
        <f aca="false">IF($A479="","",SUMIFS(Payments!$I$6:$I$505,Payments!$C$6:$C$505,$A479))</f>
        <v/>
      </c>
      <c r="S479" s="34" t="str">
        <f aca="false">IF($A479="","",IF($T479="Void",0,$P479-$Q479-$R479))</f>
        <v/>
      </c>
      <c r="T479" s="26"/>
      <c r="U479" s="35" t="str">
        <f aca="false">IF($A479="","",IF($T479="Void","Void",IF(OR($T479="",$T479="Draft"),"Draft",IF($T479="Disputed","Disputed",IF($S479&lt;-0.005,"Overpaid",IF($S479&lt;=0.005,"Paid",IF($R479+$Q479&gt;0.005,IF($V479&gt;0,"Part-paid, overdue","Part-paid"),IF($V479&gt;0,"Overdue","Outstanding"))))))))</f>
        <v/>
      </c>
      <c r="V479" s="36" t="str">
        <f aca="true">IF($A479="","",IF(AND(OR($T479="Issued",$T479="Disputed"),$S479&gt;0.005,$K479&lt;&gt;"",$K479&lt;TODAY()),TODAY()-$K479,0))</f>
        <v/>
      </c>
      <c r="W479" s="35" t="str">
        <f aca="false">IF($A479="","",IF(AND(OR($T479="Issued",$T479="Disputed"),$S479&gt;0.005),IF($V479&lt;=0,"Not yet due",IF($V479&lt;=30,"1 to 30 days",IF($V479&lt;=60,"31 to 60 days",IF($V479&lt;=90,"61 to 90 days","Over 90 days")))),""))</f>
        <v/>
      </c>
      <c r="X479" s="26"/>
      <c r="Y479" s="29"/>
      <c r="Z479" s="28"/>
      <c r="AA479" s="28"/>
    </row>
    <row r="480" customFormat="false" ht="15" hidden="false" customHeight="false" outlineLevel="0" collapsed="false">
      <c r="A480" s="26"/>
      <c r="B480" s="26"/>
      <c r="C480" s="27" t="str">
        <f aca="false">IF($B480="","",IFERROR(INDEX(Clients!$B$6:$B$105,MATCH($B480,Clients!$A$6:$A$105,0)),"Client not found"))</f>
        <v/>
      </c>
      <c r="D480" s="26"/>
      <c r="E480" s="26"/>
      <c r="F480" s="26"/>
      <c r="G480" s="26"/>
      <c r="H480" s="28"/>
      <c r="I480" s="29"/>
      <c r="J480" s="30" t="str">
        <f aca="false">IF($A480="","",IFERROR(IF(N(INDEX(Clients!$E$6:$E$105,MATCH($B480,Clients!$A$6:$A$105,0)))&gt;0,INDEX(Clients!$E$6:$E$105,MATCH($B480,Clients!$A$6:$A$105,0)),Dashboard!$B$6),Dashboard!$B$6))</f>
        <v/>
      </c>
      <c r="K480" s="31" t="str">
        <f aca="false">IF(OR($A480="",$I480=""),"",$I480+$J480)</f>
        <v/>
      </c>
      <c r="L480" s="26"/>
      <c r="M480" s="32"/>
      <c r="N480" s="33"/>
      <c r="O480" s="34" t="str">
        <f aca="false">IF($A480="","",N($M480)*N($N480))</f>
        <v/>
      </c>
      <c r="P480" s="34" t="str">
        <f aca="false">IF($A480="","",N($M480)+$O480)</f>
        <v/>
      </c>
      <c r="Q480" s="34" t="str">
        <f aca="false">IF($A480="","",SUMIFS('Credit Notes'!$F$6:$F$205,'Credit Notes'!$B$6:$B$205,$A480,'Credit Notes'!$H$6:$H$205,"Issued"))</f>
        <v/>
      </c>
      <c r="R480" s="34" t="str">
        <f aca="false">IF($A480="","",SUMIFS(Payments!$I$6:$I$505,Payments!$C$6:$C$505,$A480))</f>
        <v/>
      </c>
      <c r="S480" s="34" t="str">
        <f aca="false">IF($A480="","",IF($T480="Void",0,$P480-$Q480-$R480))</f>
        <v/>
      </c>
      <c r="T480" s="26"/>
      <c r="U480" s="35" t="str">
        <f aca="false">IF($A480="","",IF($T480="Void","Void",IF(OR($T480="",$T480="Draft"),"Draft",IF($T480="Disputed","Disputed",IF($S480&lt;-0.005,"Overpaid",IF($S480&lt;=0.005,"Paid",IF($R480+$Q480&gt;0.005,IF($V480&gt;0,"Part-paid, overdue","Part-paid"),IF($V480&gt;0,"Overdue","Outstanding"))))))))</f>
        <v/>
      </c>
      <c r="V480" s="36" t="str">
        <f aca="true">IF($A480="","",IF(AND(OR($T480="Issued",$T480="Disputed"),$S480&gt;0.005,$K480&lt;&gt;"",$K480&lt;TODAY()),TODAY()-$K480,0))</f>
        <v/>
      </c>
      <c r="W480" s="35" t="str">
        <f aca="false">IF($A480="","",IF(AND(OR($T480="Issued",$T480="Disputed"),$S480&gt;0.005),IF($V480&lt;=0,"Not yet due",IF($V480&lt;=30,"1 to 30 days",IF($V480&lt;=60,"31 to 60 days",IF($V480&lt;=90,"61 to 90 days","Over 90 days")))),""))</f>
        <v/>
      </c>
      <c r="X480" s="26"/>
      <c r="Y480" s="29"/>
      <c r="Z480" s="28"/>
      <c r="AA480" s="28"/>
    </row>
    <row r="481" customFormat="false" ht="15" hidden="false" customHeight="false" outlineLevel="0" collapsed="false">
      <c r="A481" s="26"/>
      <c r="B481" s="26"/>
      <c r="C481" s="27" t="str">
        <f aca="false">IF($B481="","",IFERROR(INDEX(Clients!$B$6:$B$105,MATCH($B481,Clients!$A$6:$A$105,0)),"Client not found"))</f>
        <v/>
      </c>
      <c r="D481" s="26"/>
      <c r="E481" s="26"/>
      <c r="F481" s="26"/>
      <c r="G481" s="26"/>
      <c r="H481" s="28"/>
      <c r="I481" s="29"/>
      <c r="J481" s="30" t="str">
        <f aca="false">IF($A481="","",IFERROR(IF(N(INDEX(Clients!$E$6:$E$105,MATCH($B481,Clients!$A$6:$A$105,0)))&gt;0,INDEX(Clients!$E$6:$E$105,MATCH($B481,Clients!$A$6:$A$105,0)),Dashboard!$B$6),Dashboard!$B$6))</f>
        <v/>
      </c>
      <c r="K481" s="31" t="str">
        <f aca="false">IF(OR($A481="",$I481=""),"",$I481+$J481)</f>
        <v/>
      </c>
      <c r="L481" s="26"/>
      <c r="M481" s="32"/>
      <c r="N481" s="33"/>
      <c r="O481" s="34" t="str">
        <f aca="false">IF($A481="","",N($M481)*N($N481))</f>
        <v/>
      </c>
      <c r="P481" s="34" t="str">
        <f aca="false">IF($A481="","",N($M481)+$O481)</f>
        <v/>
      </c>
      <c r="Q481" s="34" t="str">
        <f aca="false">IF($A481="","",SUMIFS('Credit Notes'!$F$6:$F$205,'Credit Notes'!$B$6:$B$205,$A481,'Credit Notes'!$H$6:$H$205,"Issued"))</f>
        <v/>
      </c>
      <c r="R481" s="34" t="str">
        <f aca="false">IF($A481="","",SUMIFS(Payments!$I$6:$I$505,Payments!$C$6:$C$505,$A481))</f>
        <v/>
      </c>
      <c r="S481" s="34" t="str">
        <f aca="false">IF($A481="","",IF($T481="Void",0,$P481-$Q481-$R481))</f>
        <v/>
      </c>
      <c r="T481" s="26"/>
      <c r="U481" s="35" t="str">
        <f aca="false">IF($A481="","",IF($T481="Void","Void",IF(OR($T481="",$T481="Draft"),"Draft",IF($T481="Disputed","Disputed",IF($S481&lt;-0.005,"Overpaid",IF($S481&lt;=0.005,"Paid",IF($R481+$Q481&gt;0.005,IF($V481&gt;0,"Part-paid, overdue","Part-paid"),IF($V481&gt;0,"Overdue","Outstanding"))))))))</f>
        <v/>
      </c>
      <c r="V481" s="36" t="str">
        <f aca="true">IF($A481="","",IF(AND(OR($T481="Issued",$T481="Disputed"),$S481&gt;0.005,$K481&lt;&gt;"",$K481&lt;TODAY()),TODAY()-$K481,0))</f>
        <v/>
      </c>
      <c r="W481" s="35" t="str">
        <f aca="false">IF($A481="","",IF(AND(OR($T481="Issued",$T481="Disputed"),$S481&gt;0.005),IF($V481&lt;=0,"Not yet due",IF($V481&lt;=30,"1 to 30 days",IF($V481&lt;=60,"31 to 60 days",IF($V481&lt;=90,"61 to 90 days","Over 90 days")))),""))</f>
        <v/>
      </c>
      <c r="X481" s="26"/>
      <c r="Y481" s="29"/>
      <c r="Z481" s="28"/>
      <c r="AA481" s="28"/>
    </row>
    <row r="482" customFormat="false" ht="15" hidden="false" customHeight="false" outlineLevel="0" collapsed="false">
      <c r="A482" s="26"/>
      <c r="B482" s="26"/>
      <c r="C482" s="27" t="str">
        <f aca="false">IF($B482="","",IFERROR(INDEX(Clients!$B$6:$B$105,MATCH($B482,Clients!$A$6:$A$105,0)),"Client not found"))</f>
        <v/>
      </c>
      <c r="D482" s="26"/>
      <c r="E482" s="26"/>
      <c r="F482" s="26"/>
      <c r="G482" s="26"/>
      <c r="H482" s="28"/>
      <c r="I482" s="29"/>
      <c r="J482" s="30" t="str">
        <f aca="false">IF($A482="","",IFERROR(IF(N(INDEX(Clients!$E$6:$E$105,MATCH($B482,Clients!$A$6:$A$105,0)))&gt;0,INDEX(Clients!$E$6:$E$105,MATCH($B482,Clients!$A$6:$A$105,0)),Dashboard!$B$6),Dashboard!$B$6))</f>
        <v/>
      </c>
      <c r="K482" s="31" t="str">
        <f aca="false">IF(OR($A482="",$I482=""),"",$I482+$J482)</f>
        <v/>
      </c>
      <c r="L482" s="26"/>
      <c r="M482" s="32"/>
      <c r="N482" s="33"/>
      <c r="O482" s="34" t="str">
        <f aca="false">IF($A482="","",N($M482)*N($N482))</f>
        <v/>
      </c>
      <c r="P482" s="34" t="str">
        <f aca="false">IF($A482="","",N($M482)+$O482)</f>
        <v/>
      </c>
      <c r="Q482" s="34" t="str">
        <f aca="false">IF($A482="","",SUMIFS('Credit Notes'!$F$6:$F$205,'Credit Notes'!$B$6:$B$205,$A482,'Credit Notes'!$H$6:$H$205,"Issued"))</f>
        <v/>
      </c>
      <c r="R482" s="34" t="str">
        <f aca="false">IF($A482="","",SUMIFS(Payments!$I$6:$I$505,Payments!$C$6:$C$505,$A482))</f>
        <v/>
      </c>
      <c r="S482" s="34" t="str">
        <f aca="false">IF($A482="","",IF($T482="Void",0,$P482-$Q482-$R482))</f>
        <v/>
      </c>
      <c r="T482" s="26"/>
      <c r="U482" s="35" t="str">
        <f aca="false">IF($A482="","",IF($T482="Void","Void",IF(OR($T482="",$T482="Draft"),"Draft",IF($T482="Disputed","Disputed",IF($S482&lt;-0.005,"Overpaid",IF($S482&lt;=0.005,"Paid",IF($R482+$Q482&gt;0.005,IF($V482&gt;0,"Part-paid, overdue","Part-paid"),IF($V482&gt;0,"Overdue","Outstanding"))))))))</f>
        <v/>
      </c>
      <c r="V482" s="36" t="str">
        <f aca="true">IF($A482="","",IF(AND(OR($T482="Issued",$T482="Disputed"),$S482&gt;0.005,$K482&lt;&gt;"",$K482&lt;TODAY()),TODAY()-$K482,0))</f>
        <v/>
      </c>
      <c r="W482" s="35" t="str">
        <f aca="false">IF($A482="","",IF(AND(OR($T482="Issued",$T482="Disputed"),$S482&gt;0.005),IF($V482&lt;=0,"Not yet due",IF($V482&lt;=30,"1 to 30 days",IF($V482&lt;=60,"31 to 60 days",IF($V482&lt;=90,"61 to 90 days","Over 90 days")))),""))</f>
        <v/>
      </c>
      <c r="X482" s="26"/>
      <c r="Y482" s="29"/>
      <c r="Z482" s="28"/>
      <c r="AA482" s="28"/>
    </row>
    <row r="483" customFormat="false" ht="15" hidden="false" customHeight="false" outlineLevel="0" collapsed="false">
      <c r="A483" s="26"/>
      <c r="B483" s="26"/>
      <c r="C483" s="27" t="str">
        <f aca="false">IF($B483="","",IFERROR(INDEX(Clients!$B$6:$B$105,MATCH($B483,Clients!$A$6:$A$105,0)),"Client not found"))</f>
        <v/>
      </c>
      <c r="D483" s="26"/>
      <c r="E483" s="26"/>
      <c r="F483" s="26"/>
      <c r="G483" s="26"/>
      <c r="H483" s="28"/>
      <c r="I483" s="29"/>
      <c r="J483" s="30" t="str">
        <f aca="false">IF($A483="","",IFERROR(IF(N(INDEX(Clients!$E$6:$E$105,MATCH($B483,Clients!$A$6:$A$105,0)))&gt;0,INDEX(Clients!$E$6:$E$105,MATCH($B483,Clients!$A$6:$A$105,0)),Dashboard!$B$6),Dashboard!$B$6))</f>
        <v/>
      </c>
      <c r="K483" s="31" t="str">
        <f aca="false">IF(OR($A483="",$I483=""),"",$I483+$J483)</f>
        <v/>
      </c>
      <c r="L483" s="26"/>
      <c r="M483" s="32"/>
      <c r="N483" s="33"/>
      <c r="O483" s="34" t="str">
        <f aca="false">IF($A483="","",N($M483)*N($N483))</f>
        <v/>
      </c>
      <c r="P483" s="34" t="str">
        <f aca="false">IF($A483="","",N($M483)+$O483)</f>
        <v/>
      </c>
      <c r="Q483" s="34" t="str">
        <f aca="false">IF($A483="","",SUMIFS('Credit Notes'!$F$6:$F$205,'Credit Notes'!$B$6:$B$205,$A483,'Credit Notes'!$H$6:$H$205,"Issued"))</f>
        <v/>
      </c>
      <c r="R483" s="34" t="str">
        <f aca="false">IF($A483="","",SUMIFS(Payments!$I$6:$I$505,Payments!$C$6:$C$505,$A483))</f>
        <v/>
      </c>
      <c r="S483" s="34" t="str">
        <f aca="false">IF($A483="","",IF($T483="Void",0,$P483-$Q483-$R483))</f>
        <v/>
      </c>
      <c r="T483" s="26"/>
      <c r="U483" s="35" t="str">
        <f aca="false">IF($A483="","",IF($T483="Void","Void",IF(OR($T483="",$T483="Draft"),"Draft",IF($T483="Disputed","Disputed",IF($S483&lt;-0.005,"Overpaid",IF($S483&lt;=0.005,"Paid",IF($R483+$Q483&gt;0.005,IF($V483&gt;0,"Part-paid, overdue","Part-paid"),IF($V483&gt;0,"Overdue","Outstanding"))))))))</f>
        <v/>
      </c>
      <c r="V483" s="36" t="str">
        <f aca="true">IF($A483="","",IF(AND(OR($T483="Issued",$T483="Disputed"),$S483&gt;0.005,$K483&lt;&gt;"",$K483&lt;TODAY()),TODAY()-$K483,0))</f>
        <v/>
      </c>
      <c r="W483" s="35" t="str">
        <f aca="false">IF($A483="","",IF(AND(OR($T483="Issued",$T483="Disputed"),$S483&gt;0.005),IF($V483&lt;=0,"Not yet due",IF($V483&lt;=30,"1 to 30 days",IF($V483&lt;=60,"31 to 60 days",IF($V483&lt;=90,"61 to 90 days","Over 90 days")))),""))</f>
        <v/>
      </c>
      <c r="X483" s="26"/>
      <c r="Y483" s="29"/>
      <c r="Z483" s="28"/>
      <c r="AA483" s="28"/>
    </row>
    <row r="484" customFormat="false" ht="15" hidden="false" customHeight="false" outlineLevel="0" collapsed="false">
      <c r="A484" s="26"/>
      <c r="B484" s="26"/>
      <c r="C484" s="27" t="str">
        <f aca="false">IF($B484="","",IFERROR(INDEX(Clients!$B$6:$B$105,MATCH($B484,Clients!$A$6:$A$105,0)),"Client not found"))</f>
        <v/>
      </c>
      <c r="D484" s="26"/>
      <c r="E484" s="26"/>
      <c r="F484" s="26"/>
      <c r="G484" s="26"/>
      <c r="H484" s="28"/>
      <c r="I484" s="29"/>
      <c r="J484" s="30" t="str">
        <f aca="false">IF($A484="","",IFERROR(IF(N(INDEX(Clients!$E$6:$E$105,MATCH($B484,Clients!$A$6:$A$105,0)))&gt;0,INDEX(Clients!$E$6:$E$105,MATCH($B484,Clients!$A$6:$A$105,0)),Dashboard!$B$6),Dashboard!$B$6))</f>
        <v/>
      </c>
      <c r="K484" s="31" t="str">
        <f aca="false">IF(OR($A484="",$I484=""),"",$I484+$J484)</f>
        <v/>
      </c>
      <c r="L484" s="26"/>
      <c r="M484" s="32"/>
      <c r="N484" s="33"/>
      <c r="O484" s="34" t="str">
        <f aca="false">IF($A484="","",N($M484)*N($N484))</f>
        <v/>
      </c>
      <c r="P484" s="34" t="str">
        <f aca="false">IF($A484="","",N($M484)+$O484)</f>
        <v/>
      </c>
      <c r="Q484" s="34" t="str">
        <f aca="false">IF($A484="","",SUMIFS('Credit Notes'!$F$6:$F$205,'Credit Notes'!$B$6:$B$205,$A484,'Credit Notes'!$H$6:$H$205,"Issued"))</f>
        <v/>
      </c>
      <c r="R484" s="34" t="str">
        <f aca="false">IF($A484="","",SUMIFS(Payments!$I$6:$I$505,Payments!$C$6:$C$505,$A484))</f>
        <v/>
      </c>
      <c r="S484" s="34" t="str">
        <f aca="false">IF($A484="","",IF($T484="Void",0,$P484-$Q484-$R484))</f>
        <v/>
      </c>
      <c r="T484" s="26"/>
      <c r="U484" s="35" t="str">
        <f aca="false">IF($A484="","",IF($T484="Void","Void",IF(OR($T484="",$T484="Draft"),"Draft",IF($T484="Disputed","Disputed",IF($S484&lt;-0.005,"Overpaid",IF($S484&lt;=0.005,"Paid",IF($R484+$Q484&gt;0.005,IF($V484&gt;0,"Part-paid, overdue","Part-paid"),IF($V484&gt;0,"Overdue","Outstanding"))))))))</f>
        <v/>
      </c>
      <c r="V484" s="36" t="str">
        <f aca="true">IF($A484="","",IF(AND(OR($T484="Issued",$T484="Disputed"),$S484&gt;0.005,$K484&lt;&gt;"",$K484&lt;TODAY()),TODAY()-$K484,0))</f>
        <v/>
      </c>
      <c r="W484" s="35" t="str">
        <f aca="false">IF($A484="","",IF(AND(OR($T484="Issued",$T484="Disputed"),$S484&gt;0.005),IF($V484&lt;=0,"Not yet due",IF($V484&lt;=30,"1 to 30 days",IF($V484&lt;=60,"31 to 60 days",IF($V484&lt;=90,"61 to 90 days","Over 90 days")))),""))</f>
        <v/>
      </c>
      <c r="X484" s="26"/>
      <c r="Y484" s="29"/>
      <c r="Z484" s="28"/>
      <c r="AA484" s="28"/>
    </row>
    <row r="485" customFormat="false" ht="15" hidden="false" customHeight="false" outlineLevel="0" collapsed="false">
      <c r="A485" s="26"/>
      <c r="B485" s="26"/>
      <c r="C485" s="27" t="str">
        <f aca="false">IF($B485="","",IFERROR(INDEX(Clients!$B$6:$B$105,MATCH($B485,Clients!$A$6:$A$105,0)),"Client not found"))</f>
        <v/>
      </c>
      <c r="D485" s="26"/>
      <c r="E485" s="26"/>
      <c r="F485" s="26"/>
      <c r="G485" s="26"/>
      <c r="H485" s="28"/>
      <c r="I485" s="29"/>
      <c r="J485" s="30" t="str">
        <f aca="false">IF($A485="","",IFERROR(IF(N(INDEX(Clients!$E$6:$E$105,MATCH($B485,Clients!$A$6:$A$105,0)))&gt;0,INDEX(Clients!$E$6:$E$105,MATCH($B485,Clients!$A$6:$A$105,0)),Dashboard!$B$6),Dashboard!$B$6))</f>
        <v/>
      </c>
      <c r="K485" s="31" t="str">
        <f aca="false">IF(OR($A485="",$I485=""),"",$I485+$J485)</f>
        <v/>
      </c>
      <c r="L485" s="26"/>
      <c r="M485" s="32"/>
      <c r="N485" s="33"/>
      <c r="O485" s="34" t="str">
        <f aca="false">IF($A485="","",N($M485)*N($N485))</f>
        <v/>
      </c>
      <c r="P485" s="34" t="str">
        <f aca="false">IF($A485="","",N($M485)+$O485)</f>
        <v/>
      </c>
      <c r="Q485" s="34" t="str">
        <f aca="false">IF($A485="","",SUMIFS('Credit Notes'!$F$6:$F$205,'Credit Notes'!$B$6:$B$205,$A485,'Credit Notes'!$H$6:$H$205,"Issued"))</f>
        <v/>
      </c>
      <c r="R485" s="34" t="str">
        <f aca="false">IF($A485="","",SUMIFS(Payments!$I$6:$I$505,Payments!$C$6:$C$505,$A485))</f>
        <v/>
      </c>
      <c r="S485" s="34" t="str">
        <f aca="false">IF($A485="","",IF($T485="Void",0,$P485-$Q485-$R485))</f>
        <v/>
      </c>
      <c r="T485" s="26"/>
      <c r="U485" s="35" t="str">
        <f aca="false">IF($A485="","",IF($T485="Void","Void",IF(OR($T485="",$T485="Draft"),"Draft",IF($T485="Disputed","Disputed",IF($S485&lt;-0.005,"Overpaid",IF($S485&lt;=0.005,"Paid",IF($R485+$Q485&gt;0.005,IF($V485&gt;0,"Part-paid, overdue","Part-paid"),IF($V485&gt;0,"Overdue","Outstanding"))))))))</f>
        <v/>
      </c>
      <c r="V485" s="36" t="str">
        <f aca="true">IF($A485="","",IF(AND(OR($T485="Issued",$T485="Disputed"),$S485&gt;0.005,$K485&lt;&gt;"",$K485&lt;TODAY()),TODAY()-$K485,0))</f>
        <v/>
      </c>
      <c r="W485" s="35" t="str">
        <f aca="false">IF($A485="","",IF(AND(OR($T485="Issued",$T485="Disputed"),$S485&gt;0.005),IF($V485&lt;=0,"Not yet due",IF($V485&lt;=30,"1 to 30 days",IF($V485&lt;=60,"31 to 60 days",IF($V485&lt;=90,"61 to 90 days","Over 90 days")))),""))</f>
        <v/>
      </c>
      <c r="X485" s="26"/>
      <c r="Y485" s="29"/>
      <c r="Z485" s="28"/>
      <c r="AA485" s="28"/>
    </row>
    <row r="486" customFormat="false" ht="15" hidden="false" customHeight="false" outlineLevel="0" collapsed="false">
      <c r="A486" s="26"/>
      <c r="B486" s="26"/>
      <c r="C486" s="27" t="str">
        <f aca="false">IF($B486="","",IFERROR(INDEX(Clients!$B$6:$B$105,MATCH($B486,Clients!$A$6:$A$105,0)),"Client not found"))</f>
        <v/>
      </c>
      <c r="D486" s="26"/>
      <c r="E486" s="26"/>
      <c r="F486" s="26"/>
      <c r="G486" s="26"/>
      <c r="H486" s="28"/>
      <c r="I486" s="29"/>
      <c r="J486" s="30" t="str">
        <f aca="false">IF($A486="","",IFERROR(IF(N(INDEX(Clients!$E$6:$E$105,MATCH($B486,Clients!$A$6:$A$105,0)))&gt;0,INDEX(Clients!$E$6:$E$105,MATCH($B486,Clients!$A$6:$A$105,0)),Dashboard!$B$6),Dashboard!$B$6))</f>
        <v/>
      </c>
      <c r="K486" s="31" t="str">
        <f aca="false">IF(OR($A486="",$I486=""),"",$I486+$J486)</f>
        <v/>
      </c>
      <c r="L486" s="26"/>
      <c r="M486" s="32"/>
      <c r="N486" s="33"/>
      <c r="O486" s="34" t="str">
        <f aca="false">IF($A486="","",N($M486)*N($N486))</f>
        <v/>
      </c>
      <c r="P486" s="34" t="str">
        <f aca="false">IF($A486="","",N($M486)+$O486)</f>
        <v/>
      </c>
      <c r="Q486" s="34" t="str">
        <f aca="false">IF($A486="","",SUMIFS('Credit Notes'!$F$6:$F$205,'Credit Notes'!$B$6:$B$205,$A486,'Credit Notes'!$H$6:$H$205,"Issued"))</f>
        <v/>
      </c>
      <c r="R486" s="34" t="str">
        <f aca="false">IF($A486="","",SUMIFS(Payments!$I$6:$I$505,Payments!$C$6:$C$505,$A486))</f>
        <v/>
      </c>
      <c r="S486" s="34" t="str">
        <f aca="false">IF($A486="","",IF($T486="Void",0,$P486-$Q486-$R486))</f>
        <v/>
      </c>
      <c r="T486" s="26"/>
      <c r="U486" s="35" t="str">
        <f aca="false">IF($A486="","",IF($T486="Void","Void",IF(OR($T486="",$T486="Draft"),"Draft",IF($T486="Disputed","Disputed",IF($S486&lt;-0.005,"Overpaid",IF($S486&lt;=0.005,"Paid",IF($R486+$Q486&gt;0.005,IF($V486&gt;0,"Part-paid, overdue","Part-paid"),IF($V486&gt;0,"Overdue","Outstanding"))))))))</f>
        <v/>
      </c>
      <c r="V486" s="36" t="str">
        <f aca="true">IF($A486="","",IF(AND(OR($T486="Issued",$T486="Disputed"),$S486&gt;0.005,$K486&lt;&gt;"",$K486&lt;TODAY()),TODAY()-$K486,0))</f>
        <v/>
      </c>
      <c r="W486" s="35" t="str">
        <f aca="false">IF($A486="","",IF(AND(OR($T486="Issued",$T486="Disputed"),$S486&gt;0.005),IF($V486&lt;=0,"Not yet due",IF($V486&lt;=30,"1 to 30 days",IF($V486&lt;=60,"31 to 60 days",IF($V486&lt;=90,"61 to 90 days","Over 90 days")))),""))</f>
        <v/>
      </c>
      <c r="X486" s="26"/>
      <c r="Y486" s="29"/>
      <c r="Z486" s="28"/>
      <c r="AA486" s="28"/>
    </row>
    <row r="487" customFormat="false" ht="15" hidden="false" customHeight="false" outlineLevel="0" collapsed="false">
      <c r="A487" s="26"/>
      <c r="B487" s="26"/>
      <c r="C487" s="27" t="str">
        <f aca="false">IF($B487="","",IFERROR(INDEX(Clients!$B$6:$B$105,MATCH($B487,Clients!$A$6:$A$105,0)),"Client not found"))</f>
        <v/>
      </c>
      <c r="D487" s="26"/>
      <c r="E487" s="26"/>
      <c r="F487" s="26"/>
      <c r="G487" s="26"/>
      <c r="H487" s="28"/>
      <c r="I487" s="29"/>
      <c r="J487" s="30" t="str">
        <f aca="false">IF($A487="","",IFERROR(IF(N(INDEX(Clients!$E$6:$E$105,MATCH($B487,Clients!$A$6:$A$105,0)))&gt;0,INDEX(Clients!$E$6:$E$105,MATCH($B487,Clients!$A$6:$A$105,0)),Dashboard!$B$6),Dashboard!$B$6))</f>
        <v/>
      </c>
      <c r="K487" s="31" t="str">
        <f aca="false">IF(OR($A487="",$I487=""),"",$I487+$J487)</f>
        <v/>
      </c>
      <c r="L487" s="26"/>
      <c r="M487" s="32"/>
      <c r="N487" s="33"/>
      <c r="O487" s="34" t="str">
        <f aca="false">IF($A487="","",N($M487)*N($N487))</f>
        <v/>
      </c>
      <c r="P487" s="34" t="str">
        <f aca="false">IF($A487="","",N($M487)+$O487)</f>
        <v/>
      </c>
      <c r="Q487" s="34" t="str">
        <f aca="false">IF($A487="","",SUMIFS('Credit Notes'!$F$6:$F$205,'Credit Notes'!$B$6:$B$205,$A487,'Credit Notes'!$H$6:$H$205,"Issued"))</f>
        <v/>
      </c>
      <c r="R487" s="34" t="str">
        <f aca="false">IF($A487="","",SUMIFS(Payments!$I$6:$I$505,Payments!$C$6:$C$505,$A487))</f>
        <v/>
      </c>
      <c r="S487" s="34" t="str">
        <f aca="false">IF($A487="","",IF($T487="Void",0,$P487-$Q487-$R487))</f>
        <v/>
      </c>
      <c r="T487" s="26"/>
      <c r="U487" s="35" t="str">
        <f aca="false">IF($A487="","",IF($T487="Void","Void",IF(OR($T487="",$T487="Draft"),"Draft",IF($T487="Disputed","Disputed",IF($S487&lt;-0.005,"Overpaid",IF($S487&lt;=0.005,"Paid",IF($R487+$Q487&gt;0.005,IF($V487&gt;0,"Part-paid, overdue","Part-paid"),IF($V487&gt;0,"Overdue","Outstanding"))))))))</f>
        <v/>
      </c>
      <c r="V487" s="36" t="str">
        <f aca="true">IF($A487="","",IF(AND(OR($T487="Issued",$T487="Disputed"),$S487&gt;0.005,$K487&lt;&gt;"",$K487&lt;TODAY()),TODAY()-$K487,0))</f>
        <v/>
      </c>
      <c r="W487" s="35" t="str">
        <f aca="false">IF($A487="","",IF(AND(OR($T487="Issued",$T487="Disputed"),$S487&gt;0.005),IF($V487&lt;=0,"Not yet due",IF($V487&lt;=30,"1 to 30 days",IF($V487&lt;=60,"31 to 60 days",IF($V487&lt;=90,"61 to 90 days","Over 90 days")))),""))</f>
        <v/>
      </c>
      <c r="X487" s="26"/>
      <c r="Y487" s="29"/>
      <c r="Z487" s="28"/>
      <c r="AA487" s="28"/>
    </row>
    <row r="488" customFormat="false" ht="15" hidden="false" customHeight="false" outlineLevel="0" collapsed="false">
      <c r="A488" s="26"/>
      <c r="B488" s="26"/>
      <c r="C488" s="27" t="str">
        <f aca="false">IF($B488="","",IFERROR(INDEX(Clients!$B$6:$B$105,MATCH($B488,Clients!$A$6:$A$105,0)),"Client not found"))</f>
        <v/>
      </c>
      <c r="D488" s="26"/>
      <c r="E488" s="26"/>
      <c r="F488" s="26"/>
      <c r="G488" s="26"/>
      <c r="H488" s="28"/>
      <c r="I488" s="29"/>
      <c r="J488" s="30" t="str">
        <f aca="false">IF($A488="","",IFERROR(IF(N(INDEX(Clients!$E$6:$E$105,MATCH($B488,Clients!$A$6:$A$105,0)))&gt;0,INDEX(Clients!$E$6:$E$105,MATCH($B488,Clients!$A$6:$A$105,0)),Dashboard!$B$6),Dashboard!$B$6))</f>
        <v/>
      </c>
      <c r="K488" s="31" t="str">
        <f aca="false">IF(OR($A488="",$I488=""),"",$I488+$J488)</f>
        <v/>
      </c>
      <c r="L488" s="26"/>
      <c r="M488" s="32"/>
      <c r="N488" s="33"/>
      <c r="O488" s="34" t="str">
        <f aca="false">IF($A488="","",N($M488)*N($N488))</f>
        <v/>
      </c>
      <c r="P488" s="34" t="str">
        <f aca="false">IF($A488="","",N($M488)+$O488)</f>
        <v/>
      </c>
      <c r="Q488" s="34" t="str">
        <f aca="false">IF($A488="","",SUMIFS('Credit Notes'!$F$6:$F$205,'Credit Notes'!$B$6:$B$205,$A488,'Credit Notes'!$H$6:$H$205,"Issued"))</f>
        <v/>
      </c>
      <c r="R488" s="34" t="str">
        <f aca="false">IF($A488="","",SUMIFS(Payments!$I$6:$I$505,Payments!$C$6:$C$505,$A488))</f>
        <v/>
      </c>
      <c r="S488" s="34" t="str">
        <f aca="false">IF($A488="","",IF($T488="Void",0,$P488-$Q488-$R488))</f>
        <v/>
      </c>
      <c r="T488" s="26"/>
      <c r="U488" s="35" t="str">
        <f aca="false">IF($A488="","",IF($T488="Void","Void",IF(OR($T488="",$T488="Draft"),"Draft",IF($T488="Disputed","Disputed",IF($S488&lt;-0.005,"Overpaid",IF($S488&lt;=0.005,"Paid",IF($R488+$Q488&gt;0.005,IF($V488&gt;0,"Part-paid, overdue","Part-paid"),IF($V488&gt;0,"Overdue","Outstanding"))))))))</f>
        <v/>
      </c>
      <c r="V488" s="36" t="str">
        <f aca="true">IF($A488="","",IF(AND(OR($T488="Issued",$T488="Disputed"),$S488&gt;0.005,$K488&lt;&gt;"",$K488&lt;TODAY()),TODAY()-$K488,0))</f>
        <v/>
      </c>
      <c r="W488" s="35" t="str">
        <f aca="false">IF($A488="","",IF(AND(OR($T488="Issued",$T488="Disputed"),$S488&gt;0.005),IF($V488&lt;=0,"Not yet due",IF($V488&lt;=30,"1 to 30 days",IF($V488&lt;=60,"31 to 60 days",IF($V488&lt;=90,"61 to 90 days","Over 90 days")))),""))</f>
        <v/>
      </c>
      <c r="X488" s="26"/>
      <c r="Y488" s="29"/>
      <c r="Z488" s="28"/>
      <c r="AA488" s="28"/>
    </row>
    <row r="489" customFormat="false" ht="15" hidden="false" customHeight="false" outlineLevel="0" collapsed="false">
      <c r="A489" s="26"/>
      <c r="B489" s="26"/>
      <c r="C489" s="27" t="str">
        <f aca="false">IF($B489="","",IFERROR(INDEX(Clients!$B$6:$B$105,MATCH($B489,Clients!$A$6:$A$105,0)),"Client not found"))</f>
        <v/>
      </c>
      <c r="D489" s="26"/>
      <c r="E489" s="26"/>
      <c r="F489" s="26"/>
      <c r="G489" s="26"/>
      <c r="H489" s="28"/>
      <c r="I489" s="29"/>
      <c r="J489" s="30" t="str">
        <f aca="false">IF($A489="","",IFERROR(IF(N(INDEX(Clients!$E$6:$E$105,MATCH($B489,Clients!$A$6:$A$105,0)))&gt;0,INDEX(Clients!$E$6:$E$105,MATCH($B489,Clients!$A$6:$A$105,0)),Dashboard!$B$6),Dashboard!$B$6))</f>
        <v/>
      </c>
      <c r="K489" s="31" t="str">
        <f aca="false">IF(OR($A489="",$I489=""),"",$I489+$J489)</f>
        <v/>
      </c>
      <c r="L489" s="26"/>
      <c r="M489" s="32"/>
      <c r="N489" s="33"/>
      <c r="O489" s="34" t="str">
        <f aca="false">IF($A489="","",N($M489)*N($N489))</f>
        <v/>
      </c>
      <c r="P489" s="34" t="str">
        <f aca="false">IF($A489="","",N($M489)+$O489)</f>
        <v/>
      </c>
      <c r="Q489" s="34" t="str">
        <f aca="false">IF($A489="","",SUMIFS('Credit Notes'!$F$6:$F$205,'Credit Notes'!$B$6:$B$205,$A489,'Credit Notes'!$H$6:$H$205,"Issued"))</f>
        <v/>
      </c>
      <c r="R489" s="34" t="str">
        <f aca="false">IF($A489="","",SUMIFS(Payments!$I$6:$I$505,Payments!$C$6:$C$505,$A489))</f>
        <v/>
      </c>
      <c r="S489" s="34" t="str">
        <f aca="false">IF($A489="","",IF($T489="Void",0,$P489-$Q489-$R489))</f>
        <v/>
      </c>
      <c r="T489" s="26"/>
      <c r="U489" s="35" t="str">
        <f aca="false">IF($A489="","",IF($T489="Void","Void",IF(OR($T489="",$T489="Draft"),"Draft",IF($T489="Disputed","Disputed",IF($S489&lt;-0.005,"Overpaid",IF($S489&lt;=0.005,"Paid",IF($R489+$Q489&gt;0.005,IF($V489&gt;0,"Part-paid, overdue","Part-paid"),IF($V489&gt;0,"Overdue","Outstanding"))))))))</f>
        <v/>
      </c>
      <c r="V489" s="36" t="str">
        <f aca="true">IF($A489="","",IF(AND(OR($T489="Issued",$T489="Disputed"),$S489&gt;0.005,$K489&lt;&gt;"",$K489&lt;TODAY()),TODAY()-$K489,0))</f>
        <v/>
      </c>
      <c r="W489" s="35" t="str">
        <f aca="false">IF($A489="","",IF(AND(OR($T489="Issued",$T489="Disputed"),$S489&gt;0.005),IF($V489&lt;=0,"Not yet due",IF($V489&lt;=30,"1 to 30 days",IF($V489&lt;=60,"31 to 60 days",IF($V489&lt;=90,"61 to 90 days","Over 90 days")))),""))</f>
        <v/>
      </c>
      <c r="X489" s="26"/>
      <c r="Y489" s="29"/>
      <c r="Z489" s="28"/>
      <c r="AA489" s="28"/>
    </row>
    <row r="490" customFormat="false" ht="15" hidden="false" customHeight="false" outlineLevel="0" collapsed="false">
      <c r="A490" s="26"/>
      <c r="B490" s="26"/>
      <c r="C490" s="27" t="str">
        <f aca="false">IF($B490="","",IFERROR(INDEX(Clients!$B$6:$B$105,MATCH($B490,Clients!$A$6:$A$105,0)),"Client not found"))</f>
        <v/>
      </c>
      <c r="D490" s="26"/>
      <c r="E490" s="26"/>
      <c r="F490" s="26"/>
      <c r="G490" s="26"/>
      <c r="H490" s="28"/>
      <c r="I490" s="29"/>
      <c r="J490" s="30" t="str">
        <f aca="false">IF($A490="","",IFERROR(IF(N(INDEX(Clients!$E$6:$E$105,MATCH($B490,Clients!$A$6:$A$105,0)))&gt;0,INDEX(Clients!$E$6:$E$105,MATCH($B490,Clients!$A$6:$A$105,0)),Dashboard!$B$6),Dashboard!$B$6))</f>
        <v/>
      </c>
      <c r="K490" s="31" t="str">
        <f aca="false">IF(OR($A490="",$I490=""),"",$I490+$J490)</f>
        <v/>
      </c>
      <c r="L490" s="26"/>
      <c r="M490" s="32"/>
      <c r="N490" s="33"/>
      <c r="O490" s="34" t="str">
        <f aca="false">IF($A490="","",N($M490)*N($N490))</f>
        <v/>
      </c>
      <c r="P490" s="34" t="str">
        <f aca="false">IF($A490="","",N($M490)+$O490)</f>
        <v/>
      </c>
      <c r="Q490" s="34" t="str">
        <f aca="false">IF($A490="","",SUMIFS('Credit Notes'!$F$6:$F$205,'Credit Notes'!$B$6:$B$205,$A490,'Credit Notes'!$H$6:$H$205,"Issued"))</f>
        <v/>
      </c>
      <c r="R490" s="34" t="str">
        <f aca="false">IF($A490="","",SUMIFS(Payments!$I$6:$I$505,Payments!$C$6:$C$505,$A490))</f>
        <v/>
      </c>
      <c r="S490" s="34" t="str">
        <f aca="false">IF($A490="","",IF($T490="Void",0,$P490-$Q490-$R490))</f>
        <v/>
      </c>
      <c r="T490" s="26"/>
      <c r="U490" s="35" t="str">
        <f aca="false">IF($A490="","",IF($T490="Void","Void",IF(OR($T490="",$T490="Draft"),"Draft",IF($T490="Disputed","Disputed",IF($S490&lt;-0.005,"Overpaid",IF($S490&lt;=0.005,"Paid",IF($R490+$Q490&gt;0.005,IF($V490&gt;0,"Part-paid, overdue","Part-paid"),IF($V490&gt;0,"Overdue","Outstanding"))))))))</f>
        <v/>
      </c>
      <c r="V490" s="36" t="str">
        <f aca="true">IF($A490="","",IF(AND(OR($T490="Issued",$T490="Disputed"),$S490&gt;0.005,$K490&lt;&gt;"",$K490&lt;TODAY()),TODAY()-$K490,0))</f>
        <v/>
      </c>
      <c r="W490" s="35" t="str">
        <f aca="false">IF($A490="","",IF(AND(OR($T490="Issued",$T490="Disputed"),$S490&gt;0.005),IF($V490&lt;=0,"Not yet due",IF($V490&lt;=30,"1 to 30 days",IF($V490&lt;=60,"31 to 60 days",IF($V490&lt;=90,"61 to 90 days","Over 90 days")))),""))</f>
        <v/>
      </c>
      <c r="X490" s="26"/>
      <c r="Y490" s="29"/>
      <c r="Z490" s="28"/>
      <c r="AA490" s="28"/>
    </row>
    <row r="491" customFormat="false" ht="15" hidden="false" customHeight="false" outlineLevel="0" collapsed="false">
      <c r="A491" s="26"/>
      <c r="B491" s="26"/>
      <c r="C491" s="27" t="str">
        <f aca="false">IF($B491="","",IFERROR(INDEX(Clients!$B$6:$B$105,MATCH($B491,Clients!$A$6:$A$105,0)),"Client not found"))</f>
        <v/>
      </c>
      <c r="D491" s="26"/>
      <c r="E491" s="26"/>
      <c r="F491" s="26"/>
      <c r="G491" s="26"/>
      <c r="H491" s="28"/>
      <c r="I491" s="29"/>
      <c r="J491" s="30" t="str">
        <f aca="false">IF($A491="","",IFERROR(IF(N(INDEX(Clients!$E$6:$E$105,MATCH($B491,Clients!$A$6:$A$105,0)))&gt;0,INDEX(Clients!$E$6:$E$105,MATCH($B491,Clients!$A$6:$A$105,0)),Dashboard!$B$6),Dashboard!$B$6))</f>
        <v/>
      </c>
      <c r="K491" s="31" t="str">
        <f aca="false">IF(OR($A491="",$I491=""),"",$I491+$J491)</f>
        <v/>
      </c>
      <c r="L491" s="26"/>
      <c r="M491" s="32"/>
      <c r="N491" s="33"/>
      <c r="O491" s="34" t="str">
        <f aca="false">IF($A491="","",N($M491)*N($N491))</f>
        <v/>
      </c>
      <c r="P491" s="34" t="str">
        <f aca="false">IF($A491="","",N($M491)+$O491)</f>
        <v/>
      </c>
      <c r="Q491" s="34" t="str">
        <f aca="false">IF($A491="","",SUMIFS('Credit Notes'!$F$6:$F$205,'Credit Notes'!$B$6:$B$205,$A491,'Credit Notes'!$H$6:$H$205,"Issued"))</f>
        <v/>
      </c>
      <c r="R491" s="34" t="str">
        <f aca="false">IF($A491="","",SUMIFS(Payments!$I$6:$I$505,Payments!$C$6:$C$505,$A491))</f>
        <v/>
      </c>
      <c r="S491" s="34" t="str">
        <f aca="false">IF($A491="","",IF($T491="Void",0,$P491-$Q491-$R491))</f>
        <v/>
      </c>
      <c r="T491" s="26"/>
      <c r="U491" s="35" t="str">
        <f aca="false">IF($A491="","",IF($T491="Void","Void",IF(OR($T491="",$T491="Draft"),"Draft",IF($T491="Disputed","Disputed",IF($S491&lt;-0.005,"Overpaid",IF($S491&lt;=0.005,"Paid",IF($R491+$Q491&gt;0.005,IF($V491&gt;0,"Part-paid, overdue","Part-paid"),IF($V491&gt;0,"Overdue","Outstanding"))))))))</f>
        <v/>
      </c>
      <c r="V491" s="36" t="str">
        <f aca="true">IF($A491="","",IF(AND(OR($T491="Issued",$T491="Disputed"),$S491&gt;0.005,$K491&lt;&gt;"",$K491&lt;TODAY()),TODAY()-$K491,0))</f>
        <v/>
      </c>
      <c r="W491" s="35" t="str">
        <f aca="false">IF($A491="","",IF(AND(OR($T491="Issued",$T491="Disputed"),$S491&gt;0.005),IF($V491&lt;=0,"Not yet due",IF($V491&lt;=30,"1 to 30 days",IF($V491&lt;=60,"31 to 60 days",IF($V491&lt;=90,"61 to 90 days","Over 90 days")))),""))</f>
        <v/>
      </c>
      <c r="X491" s="26"/>
      <c r="Y491" s="29"/>
      <c r="Z491" s="28"/>
      <c r="AA491" s="28"/>
    </row>
    <row r="492" customFormat="false" ht="15" hidden="false" customHeight="false" outlineLevel="0" collapsed="false">
      <c r="A492" s="26"/>
      <c r="B492" s="26"/>
      <c r="C492" s="27" t="str">
        <f aca="false">IF($B492="","",IFERROR(INDEX(Clients!$B$6:$B$105,MATCH($B492,Clients!$A$6:$A$105,0)),"Client not found"))</f>
        <v/>
      </c>
      <c r="D492" s="26"/>
      <c r="E492" s="26"/>
      <c r="F492" s="26"/>
      <c r="G492" s="26"/>
      <c r="H492" s="28"/>
      <c r="I492" s="29"/>
      <c r="J492" s="30" t="str">
        <f aca="false">IF($A492="","",IFERROR(IF(N(INDEX(Clients!$E$6:$E$105,MATCH($B492,Clients!$A$6:$A$105,0)))&gt;0,INDEX(Clients!$E$6:$E$105,MATCH($B492,Clients!$A$6:$A$105,0)),Dashboard!$B$6),Dashboard!$B$6))</f>
        <v/>
      </c>
      <c r="K492" s="31" t="str">
        <f aca="false">IF(OR($A492="",$I492=""),"",$I492+$J492)</f>
        <v/>
      </c>
      <c r="L492" s="26"/>
      <c r="M492" s="32"/>
      <c r="N492" s="33"/>
      <c r="O492" s="34" t="str">
        <f aca="false">IF($A492="","",N($M492)*N($N492))</f>
        <v/>
      </c>
      <c r="P492" s="34" t="str">
        <f aca="false">IF($A492="","",N($M492)+$O492)</f>
        <v/>
      </c>
      <c r="Q492" s="34" t="str">
        <f aca="false">IF($A492="","",SUMIFS('Credit Notes'!$F$6:$F$205,'Credit Notes'!$B$6:$B$205,$A492,'Credit Notes'!$H$6:$H$205,"Issued"))</f>
        <v/>
      </c>
      <c r="R492" s="34" t="str">
        <f aca="false">IF($A492="","",SUMIFS(Payments!$I$6:$I$505,Payments!$C$6:$C$505,$A492))</f>
        <v/>
      </c>
      <c r="S492" s="34" t="str">
        <f aca="false">IF($A492="","",IF($T492="Void",0,$P492-$Q492-$R492))</f>
        <v/>
      </c>
      <c r="T492" s="26"/>
      <c r="U492" s="35" t="str">
        <f aca="false">IF($A492="","",IF($T492="Void","Void",IF(OR($T492="",$T492="Draft"),"Draft",IF($T492="Disputed","Disputed",IF($S492&lt;-0.005,"Overpaid",IF($S492&lt;=0.005,"Paid",IF($R492+$Q492&gt;0.005,IF($V492&gt;0,"Part-paid, overdue","Part-paid"),IF($V492&gt;0,"Overdue","Outstanding"))))))))</f>
        <v/>
      </c>
      <c r="V492" s="36" t="str">
        <f aca="true">IF($A492="","",IF(AND(OR($T492="Issued",$T492="Disputed"),$S492&gt;0.005,$K492&lt;&gt;"",$K492&lt;TODAY()),TODAY()-$K492,0))</f>
        <v/>
      </c>
      <c r="W492" s="35" t="str">
        <f aca="false">IF($A492="","",IF(AND(OR($T492="Issued",$T492="Disputed"),$S492&gt;0.005),IF($V492&lt;=0,"Not yet due",IF($V492&lt;=30,"1 to 30 days",IF($V492&lt;=60,"31 to 60 days",IF($V492&lt;=90,"61 to 90 days","Over 90 days")))),""))</f>
        <v/>
      </c>
      <c r="X492" s="26"/>
      <c r="Y492" s="29"/>
      <c r="Z492" s="28"/>
      <c r="AA492" s="28"/>
    </row>
    <row r="493" customFormat="false" ht="15" hidden="false" customHeight="false" outlineLevel="0" collapsed="false">
      <c r="A493" s="26"/>
      <c r="B493" s="26"/>
      <c r="C493" s="27" t="str">
        <f aca="false">IF($B493="","",IFERROR(INDEX(Clients!$B$6:$B$105,MATCH($B493,Clients!$A$6:$A$105,0)),"Client not found"))</f>
        <v/>
      </c>
      <c r="D493" s="26"/>
      <c r="E493" s="26"/>
      <c r="F493" s="26"/>
      <c r="G493" s="26"/>
      <c r="H493" s="28"/>
      <c r="I493" s="29"/>
      <c r="J493" s="30" t="str">
        <f aca="false">IF($A493="","",IFERROR(IF(N(INDEX(Clients!$E$6:$E$105,MATCH($B493,Clients!$A$6:$A$105,0)))&gt;0,INDEX(Clients!$E$6:$E$105,MATCH($B493,Clients!$A$6:$A$105,0)),Dashboard!$B$6),Dashboard!$B$6))</f>
        <v/>
      </c>
      <c r="K493" s="31" t="str">
        <f aca="false">IF(OR($A493="",$I493=""),"",$I493+$J493)</f>
        <v/>
      </c>
      <c r="L493" s="26"/>
      <c r="M493" s="32"/>
      <c r="N493" s="33"/>
      <c r="O493" s="34" t="str">
        <f aca="false">IF($A493="","",N($M493)*N($N493))</f>
        <v/>
      </c>
      <c r="P493" s="34" t="str">
        <f aca="false">IF($A493="","",N($M493)+$O493)</f>
        <v/>
      </c>
      <c r="Q493" s="34" t="str">
        <f aca="false">IF($A493="","",SUMIFS('Credit Notes'!$F$6:$F$205,'Credit Notes'!$B$6:$B$205,$A493,'Credit Notes'!$H$6:$H$205,"Issued"))</f>
        <v/>
      </c>
      <c r="R493" s="34" t="str">
        <f aca="false">IF($A493="","",SUMIFS(Payments!$I$6:$I$505,Payments!$C$6:$C$505,$A493))</f>
        <v/>
      </c>
      <c r="S493" s="34" t="str">
        <f aca="false">IF($A493="","",IF($T493="Void",0,$P493-$Q493-$R493))</f>
        <v/>
      </c>
      <c r="T493" s="26"/>
      <c r="U493" s="35" t="str">
        <f aca="false">IF($A493="","",IF($T493="Void","Void",IF(OR($T493="",$T493="Draft"),"Draft",IF($T493="Disputed","Disputed",IF($S493&lt;-0.005,"Overpaid",IF($S493&lt;=0.005,"Paid",IF($R493+$Q493&gt;0.005,IF($V493&gt;0,"Part-paid, overdue","Part-paid"),IF($V493&gt;0,"Overdue","Outstanding"))))))))</f>
        <v/>
      </c>
      <c r="V493" s="36" t="str">
        <f aca="true">IF($A493="","",IF(AND(OR($T493="Issued",$T493="Disputed"),$S493&gt;0.005,$K493&lt;&gt;"",$K493&lt;TODAY()),TODAY()-$K493,0))</f>
        <v/>
      </c>
      <c r="W493" s="35" t="str">
        <f aca="false">IF($A493="","",IF(AND(OR($T493="Issued",$T493="Disputed"),$S493&gt;0.005),IF($V493&lt;=0,"Not yet due",IF($V493&lt;=30,"1 to 30 days",IF($V493&lt;=60,"31 to 60 days",IF($V493&lt;=90,"61 to 90 days","Over 90 days")))),""))</f>
        <v/>
      </c>
      <c r="X493" s="26"/>
      <c r="Y493" s="29"/>
      <c r="Z493" s="28"/>
      <c r="AA493" s="28"/>
    </row>
    <row r="494" customFormat="false" ht="15" hidden="false" customHeight="false" outlineLevel="0" collapsed="false">
      <c r="A494" s="26"/>
      <c r="B494" s="26"/>
      <c r="C494" s="27" t="str">
        <f aca="false">IF($B494="","",IFERROR(INDEX(Clients!$B$6:$B$105,MATCH($B494,Clients!$A$6:$A$105,0)),"Client not found"))</f>
        <v/>
      </c>
      <c r="D494" s="26"/>
      <c r="E494" s="26"/>
      <c r="F494" s="26"/>
      <c r="G494" s="26"/>
      <c r="H494" s="28"/>
      <c r="I494" s="29"/>
      <c r="J494" s="30" t="str">
        <f aca="false">IF($A494="","",IFERROR(IF(N(INDEX(Clients!$E$6:$E$105,MATCH($B494,Clients!$A$6:$A$105,0)))&gt;0,INDEX(Clients!$E$6:$E$105,MATCH($B494,Clients!$A$6:$A$105,0)),Dashboard!$B$6),Dashboard!$B$6))</f>
        <v/>
      </c>
      <c r="K494" s="31" t="str">
        <f aca="false">IF(OR($A494="",$I494=""),"",$I494+$J494)</f>
        <v/>
      </c>
      <c r="L494" s="26"/>
      <c r="M494" s="32"/>
      <c r="N494" s="33"/>
      <c r="O494" s="34" t="str">
        <f aca="false">IF($A494="","",N($M494)*N($N494))</f>
        <v/>
      </c>
      <c r="P494" s="34" t="str">
        <f aca="false">IF($A494="","",N($M494)+$O494)</f>
        <v/>
      </c>
      <c r="Q494" s="34" t="str">
        <f aca="false">IF($A494="","",SUMIFS('Credit Notes'!$F$6:$F$205,'Credit Notes'!$B$6:$B$205,$A494,'Credit Notes'!$H$6:$H$205,"Issued"))</f>
        <v/>
      </c>
      <c r="R494" s="34" t="str">
        <f aca="false">IF($A494="","",SUMIFS(Payments!$I$6:$I$505,Payments!$C$6:$C$505,$A494))</f>
        <v/>
      </c>
      <c r="S494" s="34" t="str">
        <f aca="false">IF($A494="","",IF($T494="Void",0,$P494-$Q494-$R494))</f>
        <v/>
      </c>
      <c r="T494" s="26"/>
      <c r="U494" s="35" t="str">
        <f aca="false">IF($A494="","",IF($T494="Void","Void",IF(OR($T494="",$T494="Draft"),"Draft",IF($T494="Disputed","Disputed",IF($S494&lt;-0.005,"Overpaid",IF($S494&lt;=0.005,"Paid",IF($R494+$Q494&gt;0.005,IF($V494&gt;0,"Part-paid, overdue","Part-paid"),IF($V494&gt;0,"Overdue","Outstanding"))))))))</f>
        <v/>
      </c>
      <c r="V494" s="36" t="str">
        <f aca="true">IF($A494="","",IF(AND(OR($T494="Issued",$T494="Disputed"),$S494&gt;0.005,$K494&lt;&gt;"",$K494&lt;TODAY()),TODAY()-$K494,0))</f>
        <v/>
      </c>
      <c r="W494" s="35" t="str">
        <f aca="false">IF($A494="","",IF(AND(OR($T494="Issued",$T494="Disputed"),$S494&gt;0.005),IF($V494&lt;=0,"Not yet due",IF($V494&lt;=30,"1 to 30 days",IF($V494&lt;=60,"31 to 60 days",IF($V494&lt;=90,"61 to 90 days","Over 90 days")))),""))</f>
        <v/>
      </c>
      <c r="X494" s="26"/>
      <c r="Y494" s="29"/>
      <c r="Z494" s="28"/>
      <c r="AA494" s="28"/>
    </row>
    <row r="495" customFormat="false" ht="15" hidden="false" customHeight="false" outlineLevel="0" collapsed="false">
      <c r="A495" s="26"/>
      <c r="B495" s="26"/>
      <c r="C495" s="27" t="str">
        <f aca="false">IF($B495="","",IFERROR(INDEX(Clients!$B$6:$B$105,MATCH($B495,Clients!$A$6:$A$105,0)),"Client not found"))</f>
        <v/>
      </c>
      <c r="D495" s="26"/>
      <c r="E495" s="26"/>
      <c r="F495" s="26"/>
      <c r="G495" s="26"/>
      <c r="H495" s="28"/>
      <c r="I495" s="29"/>
      <c r="J495" s="30" t="str">
        <f aca="false">IF($A495="","",IFERROR(IF(N(INDEX(Clients!$E$6:$E$105,MATCH($B495,Clients!$A$6:$A$105,0)))&gt;0,INDEX(Clients!$E$6:$E$105,MATCH($B495,Clients!$A$6:$A$105,0)),Dashboard!$B$6),Dashboard!$B$6))</f>
        <v/>
      </c>
      <c r="K495" s="31" t="str">
        <f aca="false">IF(OR($A495="",$I495=""),"",$I495+$J495)</f>
        <v/>
      </c>
      <c r="L495" s="26"/>
      <c r="M495" s="32"/>
      <c r="N495" s="33"/>
      <c r="O495" s="34" t="str">
        <f aca="false">IF($A495="","",N($M495)*N($N495))</f>
        <v/>
      </c>
      <c r="P495" s="34" t="str">
        <f aca="false">IF($A495="","",N($M495)+$O495)</f>
        <v/>
      </c>
      <c r="Q495" s="34" t="str">
        <f aca="false">IF($A495="","",SUMIFS('Credit Notes'!$F$6:$F$205,'Credit Notes'!$B$6:$B$205,$A495,'Credit Notes'!$H$6:$H$205,"Issued"))</f>
        <v/>
      </c>
      <c r="R495" s="34" t="str">
        <f aca="false">IF($A495="","",SUMIFS(Payments!$I$6:$I$505,Payments!$C$6:$C$505,$A495))</f>
        <v/>
      </c>
      <c r="S495" s="34" t="str">
        <f aca="false">IF($A495="","",IF($T495="Void",0,$P495-$Q495-$R495))</f>
        <v/>
      </c>
      <c r="T495" s="26"/>
      <c r="U495" s="35" t="str">
        <f aca="false">IF($A495="","",IF($T495="Void","Void",IF(OR($T495="",$T495="Draft"),"Draft",IF($T495="Disputed","Disputed",IF($S495&lt;-0.005,"Overpaid",IF($S495&lt;=0.005,"Paid",IF($R495+$Q495&gt;0.005,IF($V495&gt;0,"Part-paid, overdue","Part-paid"),IF($V495&gt;0,"Overdue","Outstanding"))))))))</f>
        <v/>
      </c>
      <c r="V495" s="36" t="str">
        <f aca="true">IF($A495="","",IF(AND(OR($T495="Issued",$T495="Disputed"),$S495&gt;0.005,$K495&lt;&gt;"",$K495&lt;TODAY()),TODAY()-$K495,0))</f>
        <v/>
      </c>
      <c r="W495" s="35" t="str">
        <f aca="false">IF($A495="","",IF(AND(OR($T495="Issued",$T495="Disputed"),$S495&gt;0.005),IF($V495&lt;=0,"Not yet due",IF($V495&lt;=30,"1 to 30 days",IF($V495&lt;=60,"31 to 60 days",IF($V495&lt;=90,"61 to 90 days","Over 90 days")))),""))</f>
        <v/>
      </c>
      <c r="X495" s="26"/>
      <c r="Y495" s="29"/>
      <c r="Z495" s="28"/>
      <c r="AA495" s="28"/>
    </row>
    <row r="496" customFormat="false" ht="15" hidden="false" customHeight="false" outlineLevel="0" collapsed="false">
      <c r="A496" s="26"/>
      <c r="B496" s="26"/>
      <c r="C496" s="27" t="str">
        <f aca="false">IF($B496="","",IFERROR(INDEX(Clients!$B$6:$B$105,MATCH($B496,Clients!$A$6:$A$105,0)),"Client not found"))</f>
        <v/>
      </c>
      <c r="D496" s="26"/>
      <c r="E496" s="26"/>
      <c r="F496" s="26"/>
      <c r="G496" s="26"/>
      <c r="H496" s="28"/>
      <c r="I496" s="29"/>
      <c r="J496" s="30" t="str">
        <f aca="false">IF($A496="","",IFERROR(IF(N(INDEX(Clients!$E$6:$E$105,MATCH($B496,Clients!$A$6:$A$105,0)))&gt;0,INDEX(Clients!$E$6:$E$105,MATCH($B496,Clients!$A$6:$A$105,0)),Dashboard!$B$6),Dashboard!$B$6))</f>
        <v/>
      </c>
      <c r="K496" s="31" t="str">
        <f aca="false">IF(OR($A496="",$I496=""),"",$I496+$J496)</f>
        <v/>
      </c>
      <c r="L496" s="26"/>
      <c r="M496" s="32"/>
      <c r="N496" s="33"/>
      <c r="O496" s="34" t="str">
        <f aca="false">IF($A496="","",N($M496)*N($N496))</f>
        <v/>
      </c>
      <c r="P496" s="34" t="str">
        <f aca="false">IF($A496="","",N($M496)+$O496)</f>
        <v/>
      </c>
      <c r="Q496" s="34" t="str">
        <f aca="false">IF($A496="","",SUMIFS('Credit Notes'!$F$6:$F$205,'Credit Notes'!$B$6:$B$205,$A496,'Credit Notes'!$H$6:$H$205,"Issued"))</f>
        <v/>
      </c>
      <c r="R496" s="34" t="str">
        <f aca="false">IF($A496="","",SUMIFS(Payments!$I$6:$I$505,Payments!$C$6:$C$505,$A496))</f>
        <v/>
      </c>
      <c r="S496" s="34" t="str">
        <f aca="false">IF($A496="","",IF($T496="Void",0,$P496-$Q496-$R496))</f>
        <v/>
      </c>
      <c r="T496" s="26"/>
      <c r="U496" s="35" t="str">
        <f aca="false">IF($A496="","",IF($T496="Void","Void",IF(OR($T496="",$T496="Draft"),"Draft",IF($T496="Disputed","Disputed",IF($S496&lt;-0.005,"Overpaid",IF($S496&lt;=0.005,"Paid",IF($R496+$Q496&gt;0.005,IF($V496&gt;0,"Part-paid, overdue","Part-paid"),IF($V496&gt;0,"Overdue","Outstanding"))))))))</f>
        <v/>
      </c>
      <c r="V496" s="36" t="str">
        <f aca="true">IF($A496="","",IF(AND(OR($T496="Issued",$T496="Disputed"),$S496&gt;0.005,$K496&lt;&gt;"",$K496&lt;TODAY()),TODAY()-$K496,0))</f>
        <v/>
      </c>
      <c r="W496" s="35" t="str">
        <f aca="false">IF($A496="","",IF(AND(OR($T496="Issued",$T496="Disputed"),$S496&gt;0.005),IF($V496&lt;=0,"Not yet due",IF($V496&lt;=30,"1 to 30 days",IF($V496&lt;=60,"31 to 60 days",IF($V496&lt;=90,"61 to 90 days","Over 90 days")))),""))</f>
        <v/>
      </c>
      <c r="X496" s="26"/>
      <c r="Y496" s="29"/>
      <c r="Z496" s="28"/>
      <c r="AA496" s="28"/>
    </row>
    <row r="497" customFormat="false" ht="15" hidden="false" customHeight="false" outlineLevel="0" collapsed="false">
      <c r="A497" s="26"/>
      <c r="B497" s="26"/>
      <c r="C497" s="27" t="str">
        <f aca="false">IF($B497="","",IFERROR(INDEX(Clients!$B$6:$B$105,MATCH($B497,Clients!$A$6:$A$105,0)),"Client not found"))</f>
        <v/>
      </c>
      <c r="D497" s="26"/>
      <c r="E497" s="26"/>
      <c r="F497" s="26"/>
      <c r="G497" s="26"/>
      <c r="H497" s="28"/>
      <c r="I497" s="29"/>
      <c r="J497" s="30" t="str">
        <f aca="false">IF($A497="","",IFERROR(IF(N(INDEX(Clients!$E$6:$E$105,MATCH($B497,Clients!$A$6:$A$105,0)))&gt;0,INDEX(Clients!$E$6:$E$105,MATCH($B497,Clients!$A$6:$A$105,0)),Dashboard!$B$6),Dashboard!$B$6))</f>
        <v/>
      </c>
      <c r="K497" s="31" t="str">
        <f aca="false">IF(OR($A497="",$I497=""),"",$I497+$J497)</f>
        <v/>
      </c>
      <c r="L497" s="26"/>
      <c r="M497" s="32"/>
      <c r="N497" s="33"/>
      <c r="O497" s="34" t="str">
        <f aca="false">IF($A497="","",N($M497)*N($N497))</f>
        <v/>
      </c>
      <c r="P497" s="34" t="str">
        <f aca="false">IF($A497="","",N($M497)+$O497)</f>
        <v/>
      </c>
      <c r="Q497" s="34" t="str">
        <f aca="false">IF($A497="","",SUMIFS('Credit Notes'!$F$6:$F$205,'Credit Notes'!$B$6:$B$205,$A497,'Credit Notes'!$H$6:$H$205,"Issued"))</f>
        <v/>
      </c>
      <c r="R497" s="34" t="str">
        <f aca="false">IF($A497="","",SUMIFS(Payments!$I$6:$I$505,Payments!$C$6:$C$505,$A497))</f>
        <v/>
      </c>
      <c r="S497" s="34" t="str">
        <f aca="false">IF($A497="","",IF($T497="Void",0,$P497-$Q497-$R497))</f>
        <v/>
      </c>
      <c r="T497" s="26"/>
      <c r="U497" s="35" t="str">
        <f aca="false">IF($A497="","",IF($T497="Void","Void",IF(OR($T497="",$T497="Draft"),"Draft",IF($T497="Disputed","Disputed",IF($S497&lt;-0.005,"Overpaid",IF($S497&lt;=0.005,"Paid",IF($R497+$Q497&gt;0.005,IF($V497&gt;0,"Part-paid, overdue","Part-paid"),IF($V497&gt;0,"Overdue","Outstanding"))))))))</f>
        <v/>
      </c>
      <c r="V497" s="36" t="str">
        <f aca="true">IF($A497="","",IF(AND(OR($T497="Issued",$T497="Disputed"),$S497&gt;0.005,$K497&lt;&gt;"",$K497&lt;TODAY()),TODAY()-$K497,0))</f>
        <v/>
      </c>
      <c r="W497" s="35" t="str">
        <f aca="false">IF($A497="","",IF(AND(OR($T497="Issued",$T497="Disputed"),$S497&gt;0.005),IF($V497&lt;=0,"Not yet due",IF($V497&lt;=30,"1 to 30 days",IF($V497&lt;=60,"31 to 60 days",IF($V497&lt;=90,"61 to 90 days","Over 90 days")))),""))</f>
        <v/>
      </c>
      <c r="X497" s="26"/>
      <c r="Y497" s="29"/>
      <c r="Z497" s="28"/>
      <c r="AA497" s="28"/>
    </row>
    <row r="498" customFormat="false" ht="15" hidden="false" customHeight="false" outlineLevel="0" collapsed="false">
      <c r="A498" s="26"/>
      <c r="B498" s="26"/>
      <c r="C498" s="27" t="str">
        <f aca="false">IF($B498="","",IFERROR(INDEX(Clients!$B$6:$B$105,MATCH($B498,Clients!$A$6:$A$105,0)),"Client not found"))</f>
        <v/>
      </c>
      <c r="D498" s="26"/>
      <c r="E498" s="26"/>
      <c r="F498" s="26"/>
      <c r="G498" s="26"/>
      <c r="H498" s="28"/>
      <c r="I498" s="29"/>
      <c r="J498" s="30" t="str">
        <f aca="false">IF($A498="","",IFERROR(IF(N(INDEX(Clients!$E$6:$E$105,MATCH($B498,Clients!$A$6:$A$105,0)))&gt;0,INDEX(Clients!$E$6:$E$105,MATCH($B498,Clients!$A$6:$A$105,0)),Dashboard!$B$6),Dashboard!$B$6))</f>
        <v/>
      </c>
      <c r="K498" s="31" t="str">
        <f aca="false">IF(OR($A498="",$I498=""),"",$I498+$J498)</f>
        <v/>
      </c>
      <c r="L498" s="26"/>
      <c r="M498" s="32"/>
      <c r="N498" s="33"/>
      <c r="O498" s="34" t="str">
        <f aca="false">IF($A498="","",N($M498)*N($N498))</f>
        <v/>
      </c>
      <c r="P498" s="34" t="str">
        <f aca="false">IF($A498="","",N($M498)+$O498)</f>
        <v/>
      </c>
      <c r="Q498" s="34" t="str">
        <f aca="false">IF($A498="","",SUMIFS('Credit Notes'!$F$6:$F$205,'Credit Notes'!$B$6:$B$205,$A498,'Credit Notes'!$H$6:$H$205,"Issued"))</f>
        <v/>
      </c>
      <c r="R498" s="34" t="str">
        <f aca="false">IF($A498="","",SUMIFS(Payments!$I$6:$I$505,Payments!$C$6:$C$505,$A498))</f>
        <v/>
      </c>
      <c r="S498" s="34" t="str">
        <f aca="false">IF($A498="","",IF($T498="Void",0,$P498-$Q498-$R498))</f>
        <v/>
      </c>
      <c r="T498" s="26"/>
      <c r="U498" s="35" t="str">
        <f aca="false">IF($A498="","",IF($T498="Void","Void",IF(OR($T498="",$T498="Draft"),"Draft",IF($T498="Disputed","Disputed",IF($S498&lt;-0.005,"Overpaid",IF($S498&lt;=0.005,"Paid",IF($R498+$Q498&gt;0.005,IF($V498&gt;0,"Part-paid, overdue","Part-paid"),IF($V498&gt;0,"Overdue","Outstanding"))))))))</f>
        <v/>
      </c>
      <c r="V498" s="36" t="str">
        <f aca="true">IF($A498="","",IF(AND(OR($T498="Issued",$T498="Disputed"),$S498&gt;0.005,$K498&lt;&gt;"",$K498&lt;TODAY()),TODAY()-$K498,0))</f>
        <v/>
      </c>
      <c r="W498" s="35" t="str">
        <f aca="false">IF($A498="","",IF(AND(OR($T498="Issued",$T498="Disputed"),$S498&gt;0.005),IF($V498&lt;=0,"Not yet due",IF($V498&lt;=30,"1 to 30 days",IF($V498&lt;=60,"31 to 60 days",IF($V498&lt;=90,"61 to 90 days","Over 90 days")))),""))</f>
        <v/>
      </c>
      <c r="X498" s="26"/>
      <c r="Y498" s="29"/>
      <c r="Z498" s="28"/>
      <c r="AA498" s="28"/>
    </row>
    <row r="499" customFormat="false" ht="15" hidden="false" customHeight="false" outlineLevel="0" collapsed="false">
      <c r="A499" s="26"/>
      <c r="B499" s="26"/>
      <c r="C499" s="27" t="str">
        <f aca="false">IF($B499="","",IFERROR(INDEX(Clients!$B$6:$B$105,MATCH($B499,Clients!$A$6:$A$105,0)),"Client not found"))</f>
        <v/>
      </c>
      <c r="D499" s="26"/>
      <c r="E499" s="26"/>
      <c r="F499" s="26"/>
      <c r="G499" s="26"/>
      <c r="H499" s="28"/>
      <c r="I499" s="29"/>
      <c r="J499" s="30" t="str">
        <f aca="false">IF($A499="","",IFERROR(IF(N(INDEX(Clients!$E$6:$E$105,MATCH($B499,Clients!$A$6:$A$105,0)))&gt;0,INDEX(Clients!$E$6:$E$105,MATCH($B499,Clients!$A$6:$A$105,0)),Dashboard!$B$6),Dashboard!$B$6))</f>
        <v/>
      </c>
      <c r="K499" s="31" t="str">
        <f aca="false">IF(OR($A499="",$I499=""),"",$I499+$J499)</f>
        <v/>
      </c>
      <c r="L499" s="26"/>
      <c r="M499" s="32"/>
      <c r="N499" s="33"/>
      <c r="O499" s="34" t="str">
        <f aca="false">IF($A499="","",N($M499)*N($N499))</f>
        <v/>
      </c>
      <c r="P499" s="34" t="str">
        <f aca="false">IF($A499="","",N($M499)+$O499)</f>
        <v/>
      </c>
      <c r="Q499" s="34" t="str">
        <f aca="false">IF($A499="","",SUMIFS('Credit Notes'!$F$6:$F$205,'Credit Notes'!$B$6:$B$205,$A499,'Credit Notes'!$H$6:$H$205,"Issued"))</f>
        <v/>
      </c>
      <c r="R499" s="34" t="str">
        <f aca="false">IF($A499="","",SUMIFS(Payments!$I$6:$I$505,Payments!$C$6:$C$505,$A499))</f>
        <v/>
      </c>
      <c r="S499" s="34" t="str">
        <f aca="false">IF($A499="","",IF($T499="Void",0,$P499-$Q499-$R499))</f>
        <v/>
      </c>
      <c r="T499" s="26"/>
      <c r="U499" s="35" t="str">
        <f aca="false">IF($A499="","",IF($T499="Void","Void",IF(OR($T499="",$T499="Draft"),"Draft",IF($T499="Disputed","Disputed",IF($S499&lt;-0.005,"Overpaid",IF($S499&lt;=0.005,"Paid",IF($R499+$Q499&gt;0.005,IF($V499&gt;0,"Part-paid, overdue","Part-paid"),IF($V499&gt;0,"Overdue","Outstanding"))))))))</f>
        <v/>
      </c>
      <c r="V499" s="36" t="str">
        <f aca="true">IF($A499="","",IF(AND(OR($T499="Issued",$T499="Disputed"),$S499&gt;0.005,$K499&lt;&gt;"",$K499&lt;TODAY()),TODAY()-$K499,0))</f>
        <v/>
      </c>
      <c r="W499" s="35" t="str">
        <f aca="false">IF($A499="","",IF(AND(OR($T499="Issued",$T499="Disputed"),$S499&gt;0.005),IF($V499&lt;=0,"Not yet due",IF($V499&lt;=30,"1 to 30 days",IF($V499&lt;=60,"31 to 60 days",IF($V499&lt;=90,"61 to 90 days","Over 90 days")))),""))</f>
        <v/>
      </c>
      <c r="X499" s="26"/>
      <c r="Y499" s="29"/>
      <c r="Z499" s="28"/>
      <c r="AA499" s="28"/>
    </row>
    <row r="500" customFormat="false" ht="15" hidden="false" customHeight="false" outlineLevel="0" collapsed="false">
      <c r="A500" s="26"/>
      <c r="B500" s="26"/>
      <c r="C500" s="27" t="str">
        <f aca="false">IF($B500="","",IFERROR(INDEX(Clients!$B$6:$B$105,MATCH($B500,Clients!$A$6:$A$105,0)),"Client not found"))</f>
        <v/>
      </c>
      <c r="D500" s="26"/>
      <c r="E500" s="26"/>
      <c r="F500" s="26"/>
      <c r="G500" s="26"/>
      <c r="H500" s="28"/>
      <c r="I500" s="29"/>
      <c r="J500" s="30" t="str">
        <f aca="false">IF($A500="","",IFERROR(IF(N(INDEX(Clients!$E$6:$E$105,MATCH($B500,Clients!$A$6:$A$105,0)))&gt;0,INDEX(Clients!$E$6:$E$105,MATCH($B500,Clients!$A$6:$A$105,0)),Dashboard!$B$6),Dashboard!$B$6))</f>
        <v/>
      </c>
      <c r="K500" s="31" t="str">
        <f aca="false">IF(OR($A500="",$I500=""),"",$I500+$J500)</f>
        <v/>
      </c>
      <c r="L500" s="26"/>
      <c r="M500" s="32"/>
      <c r="N500" s="33"/>
      <c r="O500" s="34" t="str">
        <f aca="false">IF($A500="","",N($M500)*N($N500))</f>
        <v/>
      </c>
      <c r="P500" s="34" t="str">
        <f aca="false">IF($A500="","",N($M500)+$O500)</f>
        <v/>
      </c>
      <c r="Q500" s="34" t="str">
        <f aca="false">IF($A500="","",SUMIFS('Credit Notes'!$F$6:$F$205,'Credit Notes'!$B$6:$B$205,$A500,'Credit Notes'!$H$6:$H$205,"Issued"))</f>
        <v/>
      </c>
      <c r="R500" s="34" t="str">
        <f aca="false">IF($A500="","",SUMIFS(Payments!$I$6:$I$505,Payments!$C$6:$C$505,$A500))</f>
        <v/>
      </c>
      <c r="S500" s="34" t="str">
        <f aca="false">IF($A500="","",IF($T500="Void",0,$P500-$Q500-$R500))</f>
        <v/>
      </c>
      <c r="T500" s="26"/>
      <c r="U500" s="35" t="str">
        <f aca="false">IF($A500="","",IF($T500="Void","Void",IF(OR($T500="",$T500="Draft"),"Draft",IF($T500="Disputed","Disputed",IF($S500&lt;-0.005,"Overpaid",IF($S500&lt;=0.005,"Paid",IF($R500+$Q500&gt;0.005,IF($V500&gt;0,"Part-paid, overdue","Part-paid"),IF($V500&gt;0,"Overdue","Outstanding"))))))))</f>
        <v/>
      </c>
      <c r="V500" s="36" t="str">
        <f aca="true">IF($A500="","",IF(AND(OR($T500="Issued",$T500="Disputed"),$S500&gt;0.005,$K500&lt;&gt;"",$K500&lt;TODAY()),TODAY()-$K500,0))</f>
        <v/>
      </c>
      <c r="W500" s="35" t="str">
        <f aca="false">IF($A500="","",IF(AND(OR($T500="Issued",$T500="Disputed"),$S500&gt;0.005),IF($V500&lt;=0,"Not yet due",IF($V500&lt;=30,"1 to 30 days",IF($V500&lt;=60,"31 to 60 days",IF($V500&lt;=90,"61 to 90 days","Over 90 days")))),""))</f>
        <v/>
      </c>
      <c r="X500" s="26"/>
      <c r="Y500" s="29"/>
      <c r="Z500" s="28"/>
      <c r="AA500" s="28"/>
    </row>
    <row r="501" customFormat="false" ht="15" hidden="false" customHeight="false" outlineLevel="0" collapsed="false">
      <c r="A501" s="26"/>
      <c r="B501" s="26"/>
      <c r="C501" s="27" t="str">
        <f aca="false">IF($B501="","",IFERROR(INDEX(Clients!$B$6:$B$105,MATCH($B501,Clients!$A$6:$A$105,0)),"Client not found"))</f>
        <v/>
      </c>
      <c r="D501" s="26"/>
      <c r="E501" s="26"/>
      <c r="F501" s="26"/>
      <c r="G501" s="26"/>
      <c r="H501" s="28"/>
      <c r="I501" s="29"/>
      <c r="J501" s="30" t="str">
        <f aca="false">IF($A501="","",IFERROR(IF(N(INDEX(Clients!$E$6:$E$105,MATCH($B501,Clients!$A$6:$A$105,0)))&gt;0,INDEX(Clients!$E$6:$E$105,MATCH($B501,Clients!$A$6:$A$105,0)),Dashboard!$B$6),Dashboard!$B$6))</f>
        <v/>
      </c>
      <c r="K501" s="31" t="str">
        <f aca="false">IF(OR($A501="",$I501=""),"",$I501+$J501)</f>
        <v/>
      </c>
      <c r="L501" s="26"/>
      <c r="M501" s="32"/>
      <c r="N501" s="33"/>
      <c r="O501" s="34" t="str">
        <f aca="false">IF($A501="","",N($M501)*N($N501))</f>
        <v/>
      </c>
      <c r="P501" s="34" t="str">
        <f aca="false">IF($A501="","",N($M501)+$O501)</f>
        <v/>
      </c>
      <c r="Q501" s="34" t="str">
        <f aca="false">IF($A501="","",SUMIFS('Credit Notes'!$F$6:$F$205,'Credit Notes'!$B$6:$B$205,$A501,'Credit Notes'!$H$6:$H$205,"Issued"))</f>
        <v/>
      </c>
      <c r="R501" s="34" t="str">
        <f aca="false">IF($A501="","",SUMIFS(Payments!$I$6:$I$505,Payments!$C$6:$C$505,$A501))</f>
        <v/>
      </c>
      <c r="S501" s="34" t="str">
        <f aca="false">IF($A501="","",IF($T501="Void",0,$P501-$Q501-$R501))</f>
        <v/>
      </c>
      <c r="T501" s="26"/>
      <c r="U501" s="35" t="str">
        <f aca="false">IF($A501="","",IF($T501="Void","Void",IF(OR($T501="",$T501="Draft"),"Draft",IF($T501="Disputed","Disputed",IF($S501&lt;-0.005,"Overpaid",IF($S501&lt;=0.005,"Paid",IF($R501+$Q501&gt;0.005,IF($V501&gt;0,"Part-paid, overdue","Part-paid"),IF($V501&gt;0,"Overdue","Outstanding"))))))))</f>
        <v/>
      </c>
      <c r="V501" s="36" t="str">
        <f aca="true">IF($A501="","",IF(AND(OR($T501="Issued",$T501="Disputed"),$S501&gt;0.005,$K501&lt;&gt;"",$K501&lt;TODAY()),TODAY()-$K501,0))</f>
        <v/>
      </c>
      <c r="W501" s="35" t="str">
        <f aca="false">IF($A501="","",IF(AND(OR($T501="Issued",$T501="Disputed"),$S501&gt;0.005),IF($V501&lt;=0,"Not yet due",IF($V501&lt;=30,"1 to 30 days",IF($V501&lt;=60,"31 to 60 days",IF($V501&lt;=90,"61 to 90 days","Over 90 days")))),""))</f>
        <v/>
      </c>
      <c r="X501" s="26"/>
      <c r="Y501" s="29"/>
      <c r="Z501" s="28"/>
      <c r="AA501" s="28"/>
    </row>
    <row r="502" customFormat="false" ht="15" hidden="false" customHeight="false" outlineLevel="0" collapsed="false">
      <c r="A502" s="26"/>
      <c r="B502" s="26"/>
      <c r="C502" s="27" t="str">
        <f aca="false">IF($B502="","",IFERROR(INDEX(Clients!$B$6:$B$105,MATCH($B502,Clients!$A$6:$A$105,0)),"Client not found"))</f>
        <v/>
      </c>
      <c r="D502" s="26"/>
      <c r="E502" s="26"/>
      <c r="F502" s="26"/>
      <c r="G502" s="26"/>
      <c r="H502" s="28"/>
      <c r="I502" s="29"/>
      <c r="J502" s="30" t="str">
        <f aca="false">IF($A502="","",IFERROR(IF(N(INDEX(Clients!$E$6:$E$105,MATCH($B502,Clients!$A$6:$A$105,0)))&gt;0,INDEX(Clients!$E$6:$E$105,MATCH($B502,Clients!$A$6:$A$105,0)),Dashboard!$B$6),Dashboard!$B$6))</f>
        <v/>
      </c>
      <c r="K502" s="31" t="str">
        <f aca="false">IF(OR($A502="",$I502=""),"",$I502+$J502)</f>
        <v/>
      </c>
      <c r="L502" s="26"/>
      <c r="M502" s="32"/>
      <c r="N502" s="33"/>
      <c r="O502" s="34" t="str">
        <f aca="false">IF($A502="","",N($M502)*N($N502))</f>
        <v/>
      </c>
      <c r="P502" s="34" t="str">
        <f aca="false">IF($A502="","",N($M502)+$O502)</f>
        <v/>
      </c>
      <c r="Q502" s="34" t="str">
        <f aca="false">IF($A502="","",SUMIFS('Credit Notes'!$F$6:$F$205,'Credit Notes'!$B$6:$B$205,$A502,'Credit Notes'!$H$6:$H$205,"Issued"))</f>
        <v/>
      </c>
      <c r="R502" s="34" t="str">
        <f aca="false">IF($A502="","",SUMIFS(Payments!$I$6:$I$505,Payments!$C$6:$C$505,$A502))</f>
        <v/>
      </c>
      <c r="S502" s="34" t="str">
        <f aca="false">IF($A502="","",IF($T502="Void",0,$P502-$Q502-$R502))</f>
        <v/>
      </c>
      <c r="T502" s="26"/>
      <c r="U502" s="35" t="str">
        <f aca="false">IF($A502="","",IF($T502="Void","Void",IF(OR($T502="",$T502="Draft"),"Draft",IF($T502="Disputed","Disputed",IF($S502&lt;-0.005,"Overpaid",IF($S502&lt;=0.005,"Paid",IF($R502+$Q502&gt;0.005,IF($V502&gt;0,"Part-paid, overdue","Part-paid"),IF($V502&gt;0,"Overdue","Outstanding"))))))))</f>
        <v/>
      </c>
      <c r="V502" s="36" t="str">
        <f aca="true">IF($A502="","",IF(AND(OR($T502="Issued",$T502="Disputed"),$S502&gt;0.005,$K502&lt;&gt;"",$K502&lt;TODAY()),TODAY()-$K502,0))</f>
        <v/>
      </c>
      <c r="W502" s="35" t="str">
        <f aca="false">IF($A502="","",IF(AND(OR($T502="Issued",$T502="Disputed"),$S502&gt;0.005),IF($V502&lt;=0,"Not yet due",IF($V502&lt;=30,"1 to 30 days",IF($V502&lt;=60,"31 to 60 days",IF($V502&lt;=90,"61 to 90 days","Over 90 days")))),""))</f>
        <v/>
      </c>
      <c r="X502" s="26"/>
      <c r="Y502" s="29"/>
      <c r="Z502" s="28"/>
      <c r="AA502" s="28"/>
    </row>
    <row r="503" customFormat="false" ht="15" hidden="false" customHeight="false" outlineLevel="0" collapsed="false">
      <c r="A503" s="26"/>
      <c r="B503" s="26"/>
      <c r="C503" s="27" t="str">
        <f aca="false">IF($B503="","",IFERROR(INDEX(Clients!$B$6:$B$105,MATCH($B503,Clients!$A$6:$A$105,0)),"Client not found"))</f>
        <v/>
      </c>
      <c r="D503" s="26"/>
      <c r="E503" s="26"/>
      <c r="F503" s="26"/>
      <c r="G503" s="26"/>
      <c r="H503" s="28"/>
      <c r="I503" s="29"/>
      <c r="J503" s="30" t="str">
        <f aca="false">IF($A503="","",IFERROR(IF(N(INDEX(Clients!$E$6:$E$105,MATCH($B503,Clients!$A$6:$A$105,0)))&gt;0,INDEX(Clients!$E$6:$E$105,MATCH($B503,Clients!$A$6:$A$105,0)),Dashboard!$B$6),Dashboard!$B$6))</f>
        <v/>
      </c>
      <c r="K503" s="31" t="str">
        <f aca="false">IF(OR($A503="",$I503=""),"",$I503+$J503)</f>
        <v/>
      </c>
      <c r="L503" s="26"/>
      <c r="M503" s="32"/>
      <c r="N503" s="33"/>
      <c r="O503" s="34" t="str">
        <f aca="false">IF($A503="","",N($M503)*N($N503))</f>
        <v/>
      </c>
      <c r="P503" s="34" t="str">
        <f aca="false">IF($A503="","",N($M503)+$O503)</f>
        <v/>
      </c>
      <c r="Q503" s="34" t="str">
        <f aca="false">IF($A503="","",SUMIFS('Credit Notes'!$F$6:$F$205,'Credit Notes'!$B$6:$B$205,$A503,'Credit Notes'!$H$6:$H$205,"Issued"))</f>
        <v/>
      </c>
      <c r="R503" s="34" t="str">
        <f aca="false">IF($A503="","",SUMIFS(Payments!$I$6:$I$505,Payments!$C$6:$C$505,$A503))</f>
        <v/>
      </c>
      <c r="S503" s="34" t="str">
        <f aca="false">IF($A503="","",IF($T503="Void",0,$P503-$Q503-$R503))</f>
        <v/>
      </c>
      <c r="T503" s="26"/>
      <c r="U503" s="35" t="str">
        <f aca="false">IF($A503="","",IF($T503="Void","Void",IF(OR($T503="",$T503="Draft"),"Draft",IF($T503="Disputed","Disputed",IF($S503&lt;-0.005,"Overpaid",IF($S503&lt;=0.005,"Paid",IF($R503+$Q503&gt;0.005,IF($V503&gt;0,"Part-paid, overdue","Part-paid"),IF($V503&gt;0,"Overdue","Outstanding"))))))))</f>
        <v/>
      </c>
      <c r="V503" s="36" t="str">
        <f aca="true">IF($A503="","",IF(AND(OR($T503="Issued",$T503="Disputed"),$S503&gt;0.005,$K503&lt;&gt;"",$K503&lt;TODAY()),TODAY()-$K503,0))</f>
        <v/>
      </c>
      <c r="W503" s="35" t="str">
        <f aca="false">IF($A503="","",IF(AND(OR($T503="Issued",$T503="Disputed"),$S503&gt;0.005),IF($V503&lt;=0,"Not yet due",IF($V503&lt;=30,"1 to 30 days",IF($V503&lt;=60,"31 to 60 days",IF($V503&lt;=90,"61 to 90 days","Over 90 days")))),""))</f>
        <v/>
      </c>
      <c r="X503" s="26"/>
      <c r="Y503" s="29"/>
      <c r="Z503" s="28"/>
      <c r="AA503" s="28"/>
    </row>
    <row r="504" customFormat="false" ht="15" hidden="false" customHeight="false" outlineLevel="0" collapsed="false">
      <c r="A504" s="26"/>
      <c r="B504" s="26"/>
      <c r="C504" s="27" t="str">
        <f aca="false">IF($B504="","",IFERROR(INDEX(Clients!$B$6:$B$105,MATCH($B504,Clients!$A$6:$A$105,0)),"Client not found"))</f>
        <v/>
      </c>
      <c r="D504" s="26"/>
      <c r="E504" s="26"/>
      <c r="F504" s="26"/>
      <c r="G504" s="26"/>
      <c r="H504" s="28"/>
      <c r="I504" s="29"/>
      <c r="J504" s="30" t="str">
        <f aca="false">IF($A504="","",IFERROR(IF(N(INDEX(Clients!$E$6:$E$105,MATCH($B504,Clients!$A$6:$A$105,0)))&gt;0,INDEX(Clients!$E$6:$E$105,MATCH($B504,Clients!$A$6:$A$105,0)),Dashboard!$B$6),Dashboard!$B$6))</f>
        <v/>
      </c>
      <c r="K504" s="31" t="str">
        <f aca="false">IF(OR($A504="",$I504=""),"",$I504+$J504)</f>
        <v/>
      </c>
      <c r="L504" s="26"/>
      <c r="M504" s="32"/>
      <c r="N504" s="33"/>
      <c r="O504" s="34" t="str">
        <f aca="false">IF($A504="","",N($M504)*N($N504))</f>
        <v/>
      </c>
      <c r="P504" s="34" t="str">
        <f aca="false">IF($A504="","",N($M504)+$O504)</f>
        <v/>
      </c>
      <c r="Q504" s="34" t="str">
        <f aca="false">IF($A504="","",SUMIFS('Credit Notes'!$F$6:$F$205,'Credit Notes'!$B$6:$B$205,$A504,'Credit Notes'!$H$6:$H$205,"Issued"))</f>
        <v/>
      </c>
      <c r="R504" s="34" t="str">
        <f aca="false">IF($A504="","",SUMIFS(Payments!$I$6:$I$505,Payments!$C$6:$C$505,$A504))</f>
        <v/>
      </c>
      <c r="S504" s="34" t="str">
        <f aca="false">IF($A504="","",IF($T504="Void",0,$P504-$Q504-$R504))</f>
        <v/>
      </c>
      <c r="T504" s="26"/>
      <c r="U504" s="35" t="str">
        <f aca="false">IF($A504="","",IF($T504="Void","Void",IF(OR($T504="",$T504="Draft"),"Draft",IF($T504="Disputed","Disputed",IF($S504&lt;-0.005,"Overpaid",IF($S504&lt;=0.005,"Paid",IF($R504+$Q504&gt;0.005,IF($V504&gt;0,"Part-paid, overdue","Part-paid"),IF($V504&gt;0,"Overdue","Outstanding"))))))))</f>
        <v/>
      </c>
      <c r="V504" s="36" t="str">
        <f aca="true">IF($A504="","",IF(AND(OR($T504="Issued",$T504="Disputed"),$S504&gt;0.005,$K504&lt;&gt;"",$K504&lt;TODAY()),TODAY()-$K504,0))</f>
        <v/>
      </c>
      <c r="W504" s="35" t="str">
        <f aca="false">IF($A504="","",IF(AND(OR($T504="Issued",$T504="Disputed"),$S504&gt;0.005),IF($V504&lt;=0,"Not yet due",IF($V504&lt;=30,"1 to 30 days",IF($V504&lt;=60,"31 to 60 days",IF($V504&lt;=90,"61 to 90 days","Over 90 days")))),""))</f>
        <v/>
      </c>
      <c r="X504" s="26"/>
      <c r="Y504" s="29"/>
      <c r="Z504" s="28"/>
      <c r="AA504" s="28"/>
    </row>
    <row r="505" customFormat="false" ht="15" hidden="false" customHeight="false" outlineLevel="0" collapsed="false">
      <c r="A505" s="26"/>
      <c r="B505" s="26"/>
      <c r="C505" s="27" t="str">
        <f aca="false">IF($B505="","",IFERROR(INDEX(Clients!$B$6:$B$105,MATCH($B505,Clients!$A$6:$A$105,0)),"Client not found"))</f>
        <v/>
      </c>
      <c r="D505" s="26"/>
      <c r="E505" s="26"/>
      <c r="F505" s="26"/>
      <c r="G505" s="26"/>
      <c r="H505" s="28"/>
      <c r="I505" s="29"/>
      <c r="J505" s="30" t="str">
        <f aca="false">IF($A505="","",IFERROR(IF(N(INDEX(Clients!$E$6:$E$105,MATCH($B505,Clients!$A$6:$A$105,0)))&gt;0,INDEX(Clients!$E$6:$E$105,MATCH($B505,Clients!$A$6:$A$105,0)),Dashboard!$B$6),Dashboard!$B$6))</f>
        <v/>
      </c>
      <c r="K505" s="31" t="str">
        <f aca="false">IF(OR($A505="",$I505=""),"",$I505+$J505)</f>
        <v/>
      </c>
      <c r="L505" s="26"/>
      <c r="M505" s="32"/>
      <c r="N505" s="33"/>
      <c r="O505" s="34" t="str">
        <f aca="false">IF($A505="","",N($M505)*N($N505))</f>
        <v/>
      </c>
      <c r="P505" s="34" t="str">
        <f aca="false">IF($A505="","",N($M505)+$O505)</f>
        <v/>
      </c>
      <c r="Q505" s="34" t="str">
        <f aca="false">IF($A505="","",SUMIFS('Credit Notes'!$F$6:$F$205,'Credit Notes'!$B$6:$B$205,$A505,'Credit Notes'!$H$6:$H$205,"Issued"))</f>
        <v/>
      </c>
      <c r="R505" s="34" t="str">
        <f aca="false">IF($A505="","",SUMIFS(Payments!$I$6:$I$505,Payments!$C$6:$C$505,$A505))</f>
        <v/>
      </c>
      <c r="S505" s="34" t="str">
        <f aca="false">IF($A505="","",IF($T505="Void",0,$P505-$Q505-$R505))</f>
        <v/>
      </c>
      <c r="T505" s="26"/>
      <c r="U505" s="35" t="str">
        <f aca="false">IF($A505="","",IF($T505="Void","Void",IF(OR($T505="",$T505="Draft"),"Draft",IF($T505="Disputed","Disputed",IF($S505&lt;-0.005,"Overpaid",IF($S505&lt;=0.005,"Paid",IF($R505+$Q505&gt;0.005,IF($V505&gt;0,"Part-paid, overdue","Part-paid"),IF($V505&gt;0,"Overdue","Outstanding"))))))))</f>
        <v/>
      </c>
      <c r="V505" s="36" t="str">
        <f aca="true">IF($A505="","",IF(AND(OR($T505="Issued",$T505="Disputed"),$S505&gt;0.005,$K505&lt;&gt;"",$K505&lt;TODAY()),TODAY()-$K505,0))</f>
        <v/>
      </c>
      <c r="W505" s="35" t="str">
        <f aca="false">IF($A505="","",IF(AND(OR($T505="Issued",$T505="Disputed"),$S505&gt;0.005),IF($V505&lt;=0,"Not yet due",IF($V505&lt;=30,"1 to 30 days",IF($V505&lt;=60,"31 to 60 days",IF($V505&lt;=90,"61 to 90 days","Over 90 days")))),""))</f>
        <v/>
      </c>
      <c r="X505" s="26"/>
      <c r="Y505" s="29"/>
      <c r="Z505" s="28"/>
      <c r="AA505" s="28"/>
    </row>
  </sheetData>
  <conditionalFormatting sqref="A6:A505">
    <cfRule type="expression" priority="2" aboveAverage="0" equalAverage="0" bottom="0" percent="0" rank="0" text="" dxfId="0">
      <formula>AND($A6&lt;&gt;"",COUNTIF($A$6:$A$505,$A6)&gt;1)</formula>
    </cfRule>
  </conditionalFormatting>
  <conditionalFormatting sqref="C6:C505">
    <cfRule type="expression" priority="3" aboveAverage="0" equalAverage="0" bottom="0" percent="0" rank="0" text="" dxfId="2">
      <formula>$C6="Client not found"</formula>
    </cfRule>
  </conditionalFormatting>
  <conditionalFormatting sqref="U6:U505">
    <cfRule type="expression" priority="4" aboveAverage="0" equalAverage="0" bottom="0" percent="0" rank="0" text="" dxfId="1">
      <formula>$U6="Paid"</formula>
    </cfRule>
    <cfRule type="expression" priority="5" aboveAverage="0" equalAverage="0" bottom="0" percent="0" rank="0" text="" dxfId="0">
      <formula>OR($U6="Overdue",$U6="Part-paid, overdue",$U6="Overpaid")</formula>
    </cfRule>
    <cfRule type="expression" priority="6" aboveAverage="0" equalAverage="0" bottom="0" percent="0" rank="0" text="" dxfId="3">
      <formula>$U6="Disputed"</formula>
    </cfRule>
    <cfRule type="expression" priority="7" aboveAverage="0" equalAverage="0" bottom="0" percent="0" rank="0" text="" dxfId="4">
      <formula>OR($U6="Void",$U6="Draft")</formula>
    </cfRule>
  </conditionalFormatting>
  <conditionalFormatting sqref="W6:W505">
    <cfRule type="expression" priority="8" aboveAverage="0" equalAverage="0" bottom="0" percent="0" rank="0" text="" dxfId="0">
      <formula>$W6="Over 90 days"</formula>
    </cfRule>
  </conditionalFormatting>
  <dataValidations count="7">
    <dataValidation allowBlank="true" error="Use INV-YYYY-### (12 characters), e.g. INV-2026-001." errorStyle="stop" errorTitle="Check the ID" operator="between" showDropDown="false" showErrorMessage="true" showInputMessage="false" sqref="A6:A505" type="custom">
      <formula1>AND(LEFT(A6,4)="INV-",LEN(A6)=12)</formula1>
      <formula2>0</formula2>
    </dataValidation>
    <dataValidation allowBlank="true" errorStyle="stop" operator="between" showDropDown="false" showErrorMessage="true" showInputMessage="false" sqref="B6:B505" type="list">
      <formula1>Clients!$A$6:$A$105</formula1>
      <formula2>0</formula2>
    </dataValidation>
    <dataValidation allowBlank="true" errorStyle="stop" operator="between" showDropDown="false" showErrorMessage="true" showInputMessage="false" sqref="G6:G505" type="list">
      <formula1>Lists!$B$2:$B$8</formula1>
      <formula2>0</formula2>
    </dataValidation>
    <dataValidation allowBlank="true" errorStyle="stop" operator="between" showDropDown="false" showErrorMessage="true" showInputMessage="false" sqref="L6:L505" type="list">
      <formula1>Lists!$C$2:$C$8</formula1>
      <formula2>0</formula2>
    </dataValidation>
    <dataValidation allowBlank="true" errorStyle="stop" operator="between" showDropDown="false" showErrorMessage="true" showInputMessage="false" sqref="T6:T505" type="list">
      <formula1>Lists!$A$2:$A$5</formula1>
      <formula2>0</formula2>
    </dataValidation>
    <dataValidation allowBlank="true" error="Enter a number of 0 or more" errorStyle="stop" operator="greaterThanOrEqual" showDropDown="false" showErrorMessage="true" showInputMessage="false" sqref="M6:M505" type="decimal">
      <formula1>0</formula1>
      <formula2>0</formula2>
    </dataValidation>
    <dataValidation allowBlank="true" error="Enter a number between 0 and 1" errorStyle="stop" operator="between" showDropDown="false" showErrorMessage="true" showInputMessage="false" sqref="N6:N505"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5"/>
    <col collapsed="false" customWidth="true" hidden="false" outlineLevel="0" max="4" min="4" style="0" width="26"/>
    <col collapsed="false" customWidth="true" hidden="false" outlineLevel="0" max="5" min="5" style="0" width="10"/>
    <col collapsed="false" customWidth="true" hidden="false" outlineLevel="0" max="6" min="6" style="0" width="16"/>
    <col collapsed="false" customWidth="true" hidden="false" outlineLevel="0" max="7" min="7" style="0" width="15"/>
    <col collapsed="false" customWidth="true" hidden="false" outlineLevel="0" max="8" min="8" style="0" width="18"/>
    <col collapsed="false" customWidth="true" hidden="false" outlineLevel="0" max="9" min="9" style="0" width="17"/>
    <col collapsed="false" customWidth="true" hidden="false" outlineLevel="0" max="10" min="10" style="0" width="16"/>
    <col collapsed="false" customWidth="true" hidden="false" outlineLevel="0" max="11" min="11" style="0" width="26"/>
    <col collapsed="false" customWidth="true" hidden="false" outlineLevel="0" max="12" min="12" style="0" width="18"/>
    <col collapsed="false" customWidth="true" hidden="false" outlineLevel="0" max="13" min="13" style="0" width="16"/>
    <col collapsed="false" customWidth="true" hidden="false" outlineLevel="0" max="14" min="14" style="0" width="34"/>
    <col collapsed="false" customWidth="true" hidden="false" outlineLevel="0" max="15" min="15" style="0" width="40"/>
  </cols>
  <sheetData>
    <row r="1" customFormat="false" ht="17.35" hidden="false" customHeight="false" outlineLevel="0" collapsed="false">
      <c r="A1" s="1" t="s">
        <v>162</v>
      </c>
    </row>
    <row r="2" customFormat="false" ht="15" hidden="false" customHeight="false" outlineLevel="0" collapsed="false">
      <c r="A2" s="6" t="s">
        <v>163</v>
      </c>
    </row>
    <row r="3" customFormat="false" ht="15" hidden="false" customHeight="false" outlineLevel="0" collapsed="false">
      <c r="A3" s="6" t="s">
        <v>123</v>
      </c>
    </row>
    <row r="5" customFormat="false" ht="31.5" hidden="false" customHeight="true" outlineLevel="0" collapsed="false">
      <c r="A5" s="25" t="s">
        <v>164</v>
      </c>
      <c r="B5" s="25" t="s">
        <v>165</v>
      </c>
      <c r="C5" s="25" t="s">
        <v>124</v>
      </c>
      <c r="D5" s="25" t="s">
        <v>126</v>
      </c>
      <c r="E5" s="25" t="s">
        <v>135</v>
      </c>
      <c r="F5" s="25" t="s">
        <v>166</v>
      </c>
      <c r="G5" s="25" t="s">
        <v>167</v>
      </c>
      <c r="H5" s="25" t="s">
        <v>168</v>
      </c>
      <c r="I5" s="25" t="s">
        <v>169</v>
      </c>
      <c r="J5" s="25" t="s">
        <v>170</v>
      </c>
      <c r="K5" s="25" t="s">
        <v>171</v>
      </c>
      <c r="L5" s="25" t="s">
        <v>172</v>
      </c>
      <c r="M5" s="25" t="s">
        <v>173</v>
      </c>
      <c r="N5" s="25" t="s">
        <v>148</v>
      </c>
      <c r="O5" s="25" t="s">
        <v>149</v>
      </c>
    </row>
    <row r="6" customFormat="false" ht="23.85" hidden="false" customHeight="false" outlineLevel="0" collapsed="false">
      <c r="A6" s="26" t="s">
        <v>174</v>
      </c>
      <c r="B6" s="29" t="n">
        <v>46293</v>
      </c>
      <c r="C6" s="26" t="s">
        <v>150</v>
      </c>
      <c r="D6" s="27" t="str">
        <f aca="false">IF($C6="","",IFERROR(INDEX(Invoices!$C$6:$C$505,MATCH($C6,Invoices!$A$6:$A$505,0)),"Invoice not found"))</f>
        <v>Northwind Bank</v>
      </c>
      <c r="E6" s="35" t="str">
        <f aca="false">IF($C6="","",IFERROR(INDEX(Invoices!$L$6:$L$505,MATCH($C6,Invoices!$A$6:$A$505,0)),""))</f>
        <v>USD</v>
      </c>
      <c r="F6" s="32" t="n">
        <v>20000</v>
      </c>
      <c r="G6" s="32"/>
      <c r="H6" s="32"/>
      <c r="I6" s="34" t="n">
        <f aca="false">IF($A6="","",N($F6)+N($G6)+N($H6))</f>
        <v>20000</v>
      </c>
      <c r="J6" s="26" t="s">
        <v>175</v>
      </c>
      <c r="K6" s="28" t="s">
        <v>176</v>
      </c>
      <c r="L6" s="26" t="s">
        <v>177</v>
      </c>
      <c r="M6" s="26" t="s">
        <v>159</v>
      </c>
      <c r="N6" s="28" t="s">
        <v>178</v>
      </c>
      <c r="O6" s="28" t="s">
        <v>179</v>
      </c>
    </row>
    <row r="7" customFormat="false" ht="15" hidden="false" customHeight="false" outlineLevel="0" collapsed="false">
      <c r="A7" s="26"/>
      <c r="B7" s="29"/>
      <c r="C7" s="26"/>
      <c r="D7" s="27" t="str">
        <f aca="false">IF($C7="","",IFERROR(INDEX(Invoices!$C$6:$C$505,MATCH($C7,Invoices!$A$6:$A$505,0)),"Invoice not found"))</f>
        <v/>
      </c>
      <c r="E7" s="35" t="str">
        <f aca="false">IF($C7="","",IFERROR(INDEX(Invoices!$L$6:$L$505,MATCH($C7,Invoices!$A$6:$A$505,0)),""))</f>
        <v/>
      </c>
      <c r="F7" s="32"/>
      <c r="G7" s="32"/>
      <c r="H7" s="32"/>
      <c r="I7" s="34" t="str">
        <f aca="false">IF($A7="","",N($F7)+N($G7)+N($H7))</f>
        <v/>
      </c>
      <c r="J7" s="26"/>
      <c r="K7" s="28"/>
      <c r="L7" s="26"/>
      <c r="M7" s="26"/>
      <c r="N7" s="28"/>
      <c r="O7" s="28"/>
    </row>
    <row r="8" customFormat="false" ht="15" hidden="false" customHeight="false" outlineLevel="0" collapsed="false">
      <c r="A8" s="26"/>
      <c r="B8" s="29"/>
      <c r="C8" s="26"/>
      <c r="D8" s="27" t="str">
        <f aca="false">IF($C8="","",IFERROR(INDEX(Invoices!$C$6:$C$505,MATCH($C8,Invoices!$A$6:$A$505,0)),"Invoice not found"))</f>
        <v/>
      </c>
      <c r="E8" s="35" t="str">
        <f aca="false">IF($C8="","",IFERROR(INDEX(Invoices!$L$6:$L$505,MATCH($C8,Invoices!$A$6:$A$505,0)),""))</f>
        <v/>
      </c>
      <c r="F8" s="32"/>
      <c r="G8" s="32"/>
      <c r="H8" s="32"/>
      <c r="I8" s="34" t="str">
        <f aca="false">IF($A8="","",N($F8)+N($G8)+N($H8))</f>
        <v/>
      </c>
      <c r="J8" s="26"/>
      <c r="K8" s="28"/>
      <c r="L8" s="26"/>
      <c r="M8" s="26"/>
      <c r="N8" s="28"/>
      <c r="O8" s="28"/>
    </row>
    <row r="9" customFormat="false" ht="15" hidden="false" customHeight="false" outlineLevel="0" collapsed="false">
      <c r="A9" s="26"/>
      <c r="B9" s="29"/>
      <c r="C9" s="26"/>
      <c r="D9" s="27" t="str">
        <f aca="false">IF($C9="","",IFERROR(INDEX(Invoices!$C$6:$C$505,MATCH($C9,Invoices!$A$6:$A$505,0)),"Invoice not found"))</f>
        <v/>
      </c>
      <c r="E9" s="35" t="str">
        <f aca="false">IF($C9="","",IFERROR(INDEX(Invoices!$L$6:$L$505,MATCH($C9,Invoices!$A$6:$A$505,0)),""))</f>
        <v/>
      </c>
      <c r="F9" s="32"/>
      <c r="G9" s="32"/>
      <c r="H9" s="32"/>
      <c r="I9" s="34" t="str">
        <f aca="false">IF($A9="","",N($F9)+N($G9)+N($H9))</f>
        <v/>
      </c>
      <c r="J9" s="26"/>
      <c r="K9" s="28"/>
      <c r="L9" s="26"/>
      <c r="M9" s="26"/>
      <c r="N9" s="28"/>
      <c r="O9" s="28"/>
    </row>
    <row r="10" customFormat="false" ht="15" hidden="false" customHeight="false" outlineLevel="0" collapsed="false">
      <c r="A10" s="26"/>
      <c r="B10" s="29"/>
      <c r="C10" s="26"/>
      <c r="D10" s="27" t="str">
        <f aca="false">IF($C10="","",IFERROR(INDEX(Invoices!$C$6:$C$505,MATCH($C10,Invoices!$A$6:$A$505,0)),"Invoice not found"))</f>
        <v/>
      </c>
      <c r="E10" s="35" t="str">
        <f aca="false">IF($C10="","",IFERROR(INDEX(Invoices!$L$6:$L$505,MATCH($C10,Invoices!$A$6:$A$505,0)),""))</f>
        <v/>
      </c>
      <c r="F10" s="32"/>
      <c r="G10" s="32"/>
      <c r="H10" s="32"/>
      <c r="I10" s="34" t="str">
        <f aca="false">IF($A10="","",N($F10)+N($G10)+N($H10))</f>
        <v/>
      </c>
      <c r="J10" s="26"/>
      <c r="K10" s="28"/>
      <c r="L10" s="26"/>
      <c r="M10" s="26"/>
      <c r="N10" s="28"/>
      <c r="O10" s="28"/>
    </row>
    <row r="11" customFormat="false" ht="15" hidden="false" customHeight="false" outlineLevel="0" collapsed="false">
      <c r="A11" s="26"/>
      <c r="B11" s="29"/>
      <c r="C11" s="26"/>
      <c r="D11" s="27" t="str">
        <f aca="false">IF($C11="","",IFERROR(INDEX(Invoices!$C$6:$C$505,MATCH($C11,Invoices!$A$6:$A$505,0)),"Invoice not found"))</f>
        <v/>
      </c>
      <c r="E11" s="35" t="str">
        <f aca="false">IF($C11="","",IFERROR(INDEX(Invoices!$L$6:$L$505,MATCH($C11,Invoices!$A$6:$A$505,0)),""))</f>
        <v/>
      </c>
      <c r="F11" s="32"/>
      <c r="G11" s="32"/>
      <c r="H11" s="32"/>
      <c r="I11" s="34" t="str">
        <f aca="false">IF($A11="","",N($F11)+N($G11)+N($H11))</f>
        <v/>
      </c>
      <c r="J11" s="26"/>
      <c r="K11" s="28"/>
      <c r="L11" s="26"/>
      <c r="M11" s="26"/>
      <c r="N11" s="28"/>
      <c r="O11" s="28"/>
    </row>
    <row r="12" customFormat="false" ht="15" hidden="false" customHeight="false" outlineLevel="0" collapsed="false">
      <c r="A12" s="26"/>
      <c r="B12" s="29"/>
      <c r="C12" s="26"/>
      <c r="D12" s="27" t="str">
        <f aca="false">IF($C12="","",IFERROR(INDEX(Invoices!$C$6:$C$505,MATCH($C12,Invoices!$A$6:$A$505,0)),"Invoice not found"))</f>
        <v/>
      </c>
      <c r="E12" s="35" t="str">
        <f aca="false">IF($C12="","",IFERROR(INDEX(Invoices!$L$6:$L$505,MATCH($C12,Invoices!$A$6:$A$505,0)),""))</f>
        <v/>
      </c>
      <c r="F12" s="32"/>
      <c r="G12" s="32"/>
      <c r="H12" s="32"/>
      <c r="I12" s="34" t="str">
        <f aca="false">IF($A12="","",N($F12)+N($G12)+N($H12))</f>
        <v/>
      </c>
      <c r="J12" s="26"/>
      <c r="K12" s="28"/>
      <c r="L12" s="26"/>
      <c r="M12" s="26"/>
      <c r="N12" s="28"/>
      <c r="O12" s="28"/>
    </row>
    <row r="13" customFormat="false" ht="15" hidden="false" customHeight="false" outlineLevel="0" collapsed="false">
      <c r="A13" s="26"/>
      <c r="B13" s="29"/>
      <c r="C13" s="26"/>
      <c r="D13" s="27" t="str">
        <f aca="false">IF($C13="","",IFERROR(INDEX(Invoices!$C$6:$C$505,MATCH($C13,Invoices!$A$6:$A$505,0)),"Invoice not found"))</f>
        <v/>
      </c>
      <c r="E13" s="35" t="str">
        <f aca="false">IF($C13="","",IFERROR(INDEX(Invoices!$L$6:$L$505,MATCH($C13,Invoices!$A$6:$A$505,0)),""))</f>
        <v/>
      </c>
      <c r="F13" s="32"/>
      <c r="G13" s="32"/>
      <c r="H13" s="32"/>
      <c r="I13" s="34" t="str">
        <f aca="false">IF($A13="","",N($F13)+N($G13)+N($H13))</f>
        <v/>
      </c>
      <c r="J13" s="26"/>
      <c r="K13" s="28"/>
      <c r="L13" s="26"/>
      <c r="M13" s="26"/>
      <c r="N13" s="28"/>
      <c r="O13" s="28"/>
    </row>
    <row r="14" customFormat="false" ht="15" hidden="false" customHeight="false" outlineLevel="0" collapsed="false">
      <c r="A14" s="26"/>
      <c r="B14" s="29"/>
      <c r="C14" s="26"/>
      <c r="D14" s="27" t="str">
        <f aca="false">IF($C14="","",IFERROR(INDEX(Invoices!$C$6:$C$505,MATCH($C14,Invoices!$A$6:$A$505,0)),"Invoice not found"))</f>
        <v/>
      </c>
      <c r="E14" s="35" t="str">
        <f aca="false">IF($C14="","",IFERROR(INDEX(Invoices!$L$6:$L$505,MATCH($C14,Invoices!$A$6:$A$505,0)),""))</f>
        <v/>
      </c>
      <c r="F14" s="32"/>
      <c r="G14" s="32"/>
      <c r="H14" s="32"/>
      <c r="I14" s="34" t="str">
        <f aca="false">IF($A14="","",N($F14)+N($G14)+N($H14))</f>
        <v/>
      </c>
      <c r="J14" s="26"/>
      <c r="K14" s="28"/>
      <c r="L14" s="26"/>
      <c r="M14" s="26"/>
      <c r="N14" s="28"/>
      <c r="O14" s="28"/>
    </row>
    <row r="15" customFormat="false" ht="15" hidden="false" customHeight="false" outlineLevel="0" collapsed="false">
      <c r="A15" s="26"/>
      <c r="B15" s="29"/>
      <c r="C15" s="26"/>
      <c r="D15" s="27" t="str">
        <f aca="false">IF($C15="","",IFERROR(INDEX(Invoices!$C$6:$C$505,MATCH($C15,Invoices!$A$6:$A$505,0)),"Invoice not found"))</f>
        <v/>
      </c>
      <c r="E15" s="35" t="str">
        <f aca="false">IF($C15="","",IFERROR(INDEX(Invoices!$L$6:$L$505,MATCH($C15,Invoices!$A$6:$A$505,0)),""))</f>
        <v/>
      </c>
      <c r="F15" s="32"/>
      <c r="G15" s="32"/>
      <c r="H15" s="32"/>
      <c r="I15" s="34" t="str">
        <f aca="false">IF($A15="","",N($F15)+N($G15)+N($H15))</f>
        <v/>
      </c>
      <c r="J15" s="26"/>
      <c r="K15" s="28"/>
      <c r="L15" s="26"/>
      <c r="M15" s="26"/>
      <c r="N15" s="28"/>
      <c r="O15" s="28"/>
    </row>
    <row r="16" customFormat="false" ht="15" hidden="false" customHeight="false" outlineLevel="0" collapsed="false">
      <c r="A16" s="26"/>
      <c r="B16" s="29"/>
      <c r="C16" s="26"/>
      <c r="D16" s="27" t="str">
        <f aca="false">IF($C16="","",IFERROR(INDEX(Invoices!$C$6:$C$505,MATCH($C16,Invoices!$A$6:$A$505,0)),"Invoice not found"))</f>
        <v/>
      </c>
      <c r="E16" s="35" t="str">
        <f aca="false">IF($C16="","",IFERROR(INDEX(Invoices!$L$6:$L$505,MATCH($C16,Invoices!$A$6:$A$505,0)),""))</f>
        <v/>
      </c>
      <c r="F16" s="32"/>
      <c r="G16" s="32"/>
      <c r="H16" s="32"/>
      <c r="I16" s="34" t="str">
        <f aca="false">IF($A16="","",N($F16)+N($G16)+N($H16))</f>
        <v/>
      </c>
      <c r="J16" s="26"/>
      <c r="K16" s="28"/>
      <c r="L16" s="26"/>
      <c r="M16" s="26"/>
      <c r="N16" s="28"/>
      <c r="O16" s="28"/>
    </row>
    <row r="17" customFormat="false" ht="15" hidden="false" customHeight="false" outlineLevel="0" collapsed="false">
      <c r="A17" s="26"/>
      <c r="B17" s="29"/>
      <c r="C17" s="26"/>
      <c r="D17" s="27" t="str">
        <f aca="false">IF($C17="","",IFERROR(INDEX(Invoices!$C$6:$C$505,MATCH($C17,Invoices!$A$6:$A$505,0)),"Invoice not found"))</f>
        <v/>
      </c>
      <c r="E17" s="35" t="str">
        <f aca="false">IF($C17="","",IFERROR(INDEX(Invoices!$L$6:$L$505,MATCH($C17,Invoices!$A$6:$A$505,0)),""))</f>
        <v/>
      </c>
      <c r="F17" s="32"/>
      <c r="G17" s="32"/>
      <c r="H17" s="32"/>
      <c r="I17" s="34" t="str">
        <f aca="false">IF($A17="","",N($F17)+N($G17)+N($H17))</f>
        <v/>
      </c>
      <c r="J17" s="26"/>
      <c r="K17" s="28"/>
      <c r="L17" s="26"/>
      <c r="M17" s="26"/>
      <c r="N17" s="28"/>
      <c r="O17" s="28"/>
    </row>
    <row r="18" customFormat="false" ht="15" hidden="false" customHeight="false" outlineLevel="0" collapsed="false">
      <c r="A18" s="26"/>
      <c r="B18" s="29"/>
      <c r="C18" s="26"/>
      <c r="D18" s="27" t="str">
        <f aca="false">IF($C18="","",IFERROR(INDEX(Invoices!$C$6:$C$505,MATCH($C18,Invoices!$A$6:$A$505,0)),"Invoice not found"))</f>
        <v/>
      </c>
      <c r="E18" s="35" t="str">
        <f aca="false">IF($C18="","",IFERROR(INDEX(Invoices!$L$6:$L$505,MATCH($C18,Invoices!$A$6:$A$505,0)),""))</f>
        <v/>
      </c>
      <c r="F18" s="32"/>
      <c r="G18" s="32"/>
      <c r="H18" s="32"/>
      <c r="I18" s="34" t="str">
        <f aca="false">IF($A18="","",N($F18)+N($G18)+N($H18))</f>
        <v/>
      </c>
      <c r="J18" s="26"/>
      <c r="K18" s="28"/>
      <c r="L18" s="26"/>
      <c r="M18" s="26"/>
      <c r="N18" s="28"/>
      <c r="O18" s="28"/>
    </row>
    <row r="19" customFormat="false" ht="15" hidden="false" customHeight="false" outlineLevel="0" collapsed="false">
      <c r="A19" s="26"/>
      <c r="B19" s="29"/>
      <c r="C19" s="26"/>
      <c r="D19" s="27" t="str">
        <f aca="false">IF($C19="","",IFERROR(INDEX(Invoices!$C$6:$C$505,MATCH($C19,Invoices!$A$6:$A$505,0)),"Invoice not found"))</f>
        <v/>
      </c>
      <c r="E19" s="35" t="str">
        <f aca="false">IF($C19="","",IFERROR(INDEX(Invoices!$L$6:$L$505,MATCH($C19,Invoices!$A$6:$A$505,0)),""))</f>
        <v/>
      </c>
      <c r="F19" s="32"/>
      <c r="G19" s="32"/>
      <c r="H19" s="32"/>
      <c r="I19" s="34" t="str">
        <f aca="false">IF($A19="","",N($F19)+N($G19)+N($H19))</f>
        <v/>
      </c>
      <c r="J19" s="26"/>
      <c r="K19" s="28"/>
      <c r="L19" s="26"/>
      <c r="M19" s="26"/>
      <c r="N19" s="28"/>
      <c r="O19" s="28"/>
    </row>
    <row r="20" customFormat="false" ht="15" hidden="false" customHeight="false" outlineLevel="0" collapsed="false">
      <c r="A20" s="26"/>
      <c r="B20" s="29"/>
      <c r="C20" s="26"/>
      <c r="D20" s="27" t="str">
        <f aca="false">IF($C20="","",IFERROR(INDEX(Invoices!$C$6:$C$505,MATCH($C20,Invoices!$A$6:$A$505,0)),"Invoice not found"))</f>
        <v/>
      </c>
      <c r="E20" s="35" t="str">
        <f aca="false">IF($C20="","",IFERROR(INDEX(Invoices!$L$6:$L$505,MATCH($C20,Invoices!$A$6:$A$505,0)),""))</f>
        <v/>
      </c>
      <c r="F20" s="32"/>
      <c r="G20" s="32"/>
      <c r="H20" s="32"/>
      <c r="I20" s="34" t="str">
        <f aca="false">IF($A20="","",N($F20)+N($G20)+N($H20))</f>
        <v/>
      </c>
      <c r="J20" s="26"/>
      <c r="K20" s="28"/>
      <c r="L20" s="26"/>
      <c r="M20" s="26"/>
      <c r="N20" s="28"/>
      <c r="O20" s="28"/>
    </row>
    <row r="21" customFormat="false" ht="15" hidden="false" customHeight="false" outlineLevel="0" collapsed="false">
      <c r="A21" s="26"/>
      <c r="B21" s="29"/>
      <c r="C21" s="26"/>
      <c r="D21" s="27" t="str">
        <f aca="false">IF($C21="","",IFERROR(INDEX(Invoices!$C$6:$C$505,MATCH($C21,Invoices!$A$6:$A$505,0)),"Invoice not found"))</f>
        <v/>
      </c>
      <c r="E21" s="35" t="str">
        <f aca="false">IF($C21="","",IFERROR(INDEX(Invoices!$L$6:$L$505,MATCH($C21,Invoices!$A$6:$A$505,0)),""))</f>
        <v/>
      </c>
      <c r="F21" s="32"/>
      <c r="G21" s="32"/>
      <c r="H21" s="32"/>
      <c r="I21" s="34" t="str">
        <f aca="false">IF($A21="","",N($F21)+N($G21)+N($H21))</f>
        <v/>
      </c>
      <c r="J21" s="26"/>
      <c r="K21" s="28"/>
      <c r="L21" s="26"/>
      <c r="M21" s="26"/>
      <c r="N21" s="28"/>
      <c r="O21" s="28"/>
    </row>
    <row r="22" customFormat="false" ht="15" hidden="false" customHeight="false" outlineLevel="0" collapsed="false">
      <c r="A22" s="26"/>
      <c r="B22" s="29"/>
      <c r="C22" s="26"/>
      <c r="D22" s="27" t="str">
        <f aca="false">IF($C22="","",IFERROR(INDEX(Invoices!$C$6:$C$505,MATCH($C22,Invoices!$A$6:$A$505,0)),"Invoice not found"))</f>
        <v/>
      </c>
      <c r="E22" s="35" t="str">
        <f aca="false">IF($C22="","",IFERROR(INDEX(Invoices!$L$6:$L$505,MATCH($C22,Invoices!$A$6:$A$505,0)),""))</f>
        <v/>
      </c>
      <c r="F22" s="32"/>
      <c r="G22" s="32"/>
      <c r="H22" s="32"/>
      <c r="I22" s="34" t="str">
        <f aca="false">IF($A22="","",N($F22)+N($G22)+N($H22))</f>
        <v/>
      </c>
      <c r="J22" s="26"/>
      <c r="K22" s="28"/>
      <c r="L22" s="26"/>
      <c r="M22" s="26"/>
      <c r="N22" s="28"/>
      <c r="O22" s="28"/>
    </row>
    <row r="23" customFormat="false" ht="15" hidden="false" customHeight="false" outlineLevel="0" collapsed="false">
      <c r="A23" s="26"/>
      <c r="B23" s="29"/>
      <c r="C23" s="26"/>
      <c r="D23" s="27" t="str">
        <f aca="false">IF($C23="","",IFERROR(INDEX(Invoices!$C$6:$C$505,MATCH($C23,Invoices!$A$6:$A$505,0)),"Invoice not found"))</f>
        <v/>
      </c>
      <c r="E23" s="35" t="str">
        <f aca="false">IF($C23="","",IFERROR(INDEX(Invoices!$L$6:$L$505,MATCH($C23,Invoices!$A$6:$A$505,0)),""))</f>
        <v/>
      </c>
      <c r="F23" s="32"/>
      <c r="G23" s="32"/>
      <c r="H23" s="32"/>
      <c r="I23" s="34" t="str">
        <f aca="false">IF($A23="","",N($F23)+N($G23)+N($H23))</f>
        <v/>
      </c>
      <c r="J23" s="26"/>
      <c r="K23" s="28"/>
      <c r="L23" s="26"/>
      <c r="M23" s="26"/>
      <c r="N23" s="28"/>
      <c r="O23" s="28"/>
    </row>
    <row r="24" customFormat="false" ht="15" hidden="false" customHeight="false" outlineLevel="0" collapsed="false">
      <c r="A24" s="26"/>
      <c r="B24" s="29"/>
      <c r="C24" s="26"/>
      <c r="D24" s="27" t="str">
        <f aca="false">IF($C24="","",IFERROR(INDEX(Invoices!$C$6:$C$505,MATCH($C24,Invoices!$A$6:$A$505,0)),"Invoice not found"))</f>
        <v/>
      </c>
      <c r="E24" s="35" t="str">
        <f aca="false">IF($C24="","",IFERROR(INDEX(Invoices!$L$6:$L$505,MATCH($C24,Invoices!$A$6:$A$505,0)),""))</f>
        <v/>
      </c>
      <c r="F24" s="32"/>
      <c r="G24" s="32"/>
      <c r="H24" s="32"/>
      <c r="I24" s="34" t="str">
        <f aca="false">IF($A24="","",N($F24)+N($G24)+N($H24))</f>
        <v/>
      </c>
      <c r="J24" s="26"/>
      <c r="K24" s="28"/>
      <c r="L24" s="26"/>
      <c r="M24" s="26"/>
      <c r="N24" s="28"/>
      <c r="O24" s="28"/>
    </row>
    <row r="25" customFormat="false" ht="15" hidden="false" customHeight="false" outlineLevel="0" collapsed="false">
      <c r="A25" s="26"/>
      <c r="B25" s="29"/>
      <c r="C25" s="26"/>
      <c r="D25" s="27" t="str">
        <f aca="false">IF($C25="","",IFERROR(INDEX(Invoices!$C$6:$C$505,MATCH($C25,Invoices!$A$6:$A$505,0)),"Invoice not found"))</f>
        <v/>
      </c>
      <c r="E25" s="35" t="str">
        <f aca="false">IF($C25="","",IFERROR(INDEX(Invoices!$L$6:$L$505,MATCH($C25,Invoices!$A$6:$A$505,0)),""))</f>
        <v/>
      </c>
      <c r="F25" s="32"/>
      <c r="G25" s="32"/>
      <c r="H25" s="32"/>
      <c r="I25" s="34" t="str">
        <f aca="false">IF($A25="","",N($F25)+N($G25)+N($H25))</f>
        <v/>
      </c>
      <c r="J25" s="26"/>
      <c r="K25" s="28"/>
      <c r="L25" s="26"/>
      <c r="M25" s="26"/>
      <c r="N25" s="28"/>
      <c r="O25" s="28"/>
    </row>
    <row r="26" customFormat="false" ht="15" hidden="false" customHeight="false" outlineLevel="0" collapsed="false">
      <c r="A26" s="26"/>
      <c r="B26" s="29"/>
      <c r="C26" s="26"/>
      <c r="D26" s="27" t="str">
        <f aca="false">IF($C26="","",IFERROR(INDEX(Invoices!$C$6:$C$505,MATCH($C26,Invoices!$A$6:$A$505,0)),"Invoice not found"))</f>
        <v/>
      </c>
      <c r="E26" s="35" t="str">
        <f aca="false">IF($C26="","",IFERROR(INDEX(Invoices!$L$6:$L$505,MATCH($C26,Invoices!$A$6:$A$505,0)),""))</f>
        <v/>
      </c>
      <c r="F26" s="32"/>
      <c r="G26" s="32"/>
      <c r="H26" s="32"/>
      <c r="I26" s="34" t="str">
        <f aca="false">IF($A26="","",N($F26)+N($G26)+N($H26))</f>
        <v/>
      </c>
      <c r="J26" s="26"/>
      <c r="K26" s="28"/>
      <c r="L26" s="26"/>
      <c r="M26" s="26"/>
      <c r="N26" s="28"/>
      <c r="O26" s="28"/>
    </row>
    <row r="27" customFormat="false" ht="15" hidden="false" customHeight="false" outlineLevel="0" collapsed="false">
      <c r="A27" s="26"/>
      <c r="B27" s="29"/>
      <c r="C27" s="26"/>
      <c r="D27" s="27" t="str">
        <f aca="false">IF($C27="","",IFERROR(INDEX(Invoices!$C$6:$C$505,MATCH($C27,Invoices!$A$6:$A$505,0)),"Invoice not found"))</f>
        <v/>
      </c>
      <c r="E27" s="35" t="str">
        <f aca="false">IF($C27="","",IFERROR(INDEX(Invoices!$L$6:$L$505,MATCH($C27,Invoices!$A$6:$A$505,0)),""))</f>
        <v/>
      </c>
      <c r="F27" s="32"/>
      <c r="G27" s="32"/>
      <c r="H27" s="32"/>
      <c r="I27" s="34" t="str">
        <f aca="false">IF($A27="","",N($F27)+N($G27)+N($H27))</f>
        <v/>
      </c>
      <c r="J27" s="26"/>
      <c r="K27" s="28"/>
      <c r="L27" s="26"/>
      <c r="M27" s="26"/>
      <c r="N27" s="28"/>
      <c r="O27" s="28"/>
    </row>
    <row r="28" customFormat="false" ht="15" hidden="false" customHeight="false" outlineLevel="0" collapsed="false">
      <c r="A28" s="26"/>
      <c r="B28" s="29"/>
      <c r="C28" s="26"/>
      <c r="D28" s="27" t="str">
        <f aca="false">IF($C28="","",IFERROR(INDEX(Invoices!$C$6:$C$505,MATCH($C28,Invoices!$A$6:$A$505,0)),"Invoice not found"))</f>
        <v/>
      </c>
      <c r="E28" s="35" t="str">
        <f aca="false">IF($C28="","",IFERROR(INDEX(Invoices!$L$6:$L$505,MATCH($C28,Invoices!$A$6:$A$505,0)),""))</f>
        <v/>
      </c>
      <c r="F28" s="32"/>
      <c r="G28" s="32"/>
      <c r="H28" s="32"/>
      <c r="I28" s="34" t="str">
        <f aca="false">IF($A28="","",N($F28)+N($G28)+N($H28))</f>
        <v/>
      </c>
      <c r="J28" s="26"/>
      <c r="K28" s="28"/>
      <c r="L28" s="26"/>
      <c r="M28" s="26"/>
      <c r="N28" s="28"/>
      <c r="O28" s="28"/>
    </row>
    <row r="29" customFormat="false" ht="15" hidden="false" customHeight="false" outlineLevel="0" collapsed="false">
      <c r="A29" s="26"/>
      <c r="B29" s="29"/>
      <c r="C29" s="26"/>
      <c r="D29" s="27" t="str">
        <f aca="false">IF($C29="","",IFERROR(INDEX(Invoices!$C$6:$C$505,MATCH($C29,Invoices!$A$6:$A$505,0)),"Invoice not found"))</f>
        <v/>
      </c>
      <c r="E29" s="35" t="str">
        <f aca="false">IF($C29="","",IFERROR(INDEX(Invoices!$L$6:$L$505,MATCH($C29,Invoices!$A$6:$A$505,0)),""))</f>
        <v/>
      </c>
      <c r="F29" s="32"/>
      <c r="G29" s="32"/>
      <c r="H29" s="32"/>
      <c r="I29" s="34" t="str">
        <f aca="false">IF($A29="","",N($F29)+N($G29)+N($H29))</f>
        <v/>
      </c>
      <c r="J29" s="26"/>
      <c r="K29" s="28"/>
      <c r="L29" s="26"/>
      <c r="M29" s="26"/>
      <c r="N29" s="28"/>
      <c r="O29" s="28"/>
    </row>
    <row r="30" customFormat="false" ht="15" hidden="false" customHeight="false" outlineLevel="0" collapsed="false">
      <c r="A30" s="26"/>
      <c r="B30" s="29"/>
      <c r="C30" s="26"/>
      <c r="D30" s="27" t="str">
        <f aca="false">IF($C30="","",IFERROR(INDEX(Invoices!$C$6:$C$505,MATCH($C30,Invoices!$A$6:$A$505,0)),"Invoice not found"))</f>
        <v/>
      </c>
      <c r="E30" s="35" t="str">
        <f aca="false">IF($C30="","",IFERROR(INDEX(Invoices!$L$6:$L$505,MATCH($C30,Invoices!$A$6:$A$505,0)),""))</f>
        <v/>
      </c>
      <c r="F30" s="32"/>
      <c r="G30" s="32"/>
      <c r="H30" s="32"/>
      <c r="I30" s="34" t="str">
        <f aca="false">IF($A30="","",N($F30)+N($G30)+N($H30))</f>
        <v/>
      </c>
      <c r="J30" s="26"/>
      <c r="K30" s="28"/>
      <c r="L30" s="26"/>
      <c r="M30" s="26"/>
      <c r="N30" s="28"/>
      <c r="O30" s="28"/>
    </row>
    <row r="31" customFormat="false" ht="15" hidden="false" customHeight="false" outlineLevel="0" collapsed="false">
      <c r="A31" s="26"/>
      <c r="B31" s="29"/>
      <c r="C31" s="26"/>
      <c r="D31" s="27" t="str">
        <f aca="false">IF($C31="","",IFERROR(INDEX(Invoices!$C$6:$C$505,MATCH($C31,Invoices!$A$6:$A$505,0)),"Invoice not found"))</f>
        <v/>
      </c>
      <c r="E31" s="35" t="str">
        <f aca="false">IF($C31="","",IFERROR(INDEX(Invoices!$L$6:$L$505,MATCH($C31,Invoices!$A$6:$A$505,0)),""))</f>
        <v/>
      </c>
      <c r="F31" s="32"/>
      <c r="G31" s="32"/>
      <c r="H31" s="32"/>
      <c r="I31" s="34" t="str">
        <f aca="false">IF($A31="","",N($F31)+N($G31)+N($H31))</f>
        <v/>
      </c>
      <c r="J31" s="26"/>
      <c r="K31" s="28"/>
      <c r="L31" s="26"/>
      <c r="M31" s="26"/>
      <c r="N31" s="28"/>
      <c r="O31" s="28"/>
    </row>
    <row r="32" customFormat="false" ht="15" hidden="false" customHeight="false" outlineLevel="0" collapsed="false">
      <c r="A32" s="26"/>
      <c r="B32" s="29"/>
      <c r="C32" s="26"/>
      <c r="D32" s="27" t="str">
        <f aca="false">IF($C32="","",IFERROR(INDEX(Invoices!$C$6:$C$505,MATCH($C32,Invoices!$A$6:$A$505,0)),"Invoice not found"))</f>
        <v/>
      </c>
      <c r="E32" s="35" t="str">
        <f aca="false">IF($C32="","",IFERROR(INDEX(Invoices!$L$6:$L$505,MATCH($C32,Invoices!$A$6:$A$505,0)),""))</f>
        <v/>
      </c>
      <c r="F32" s="32"/>
      <c r="G32" s="32"/>
      <c r="H32" s="32"/>
      <c r="I32" s="34" t="str">
        <f aca="false">IF($A32="","",N($F32)+N($G32)+N($H32))</f>
        <v/>
      </c>
      <c r="J32" s="26"/>
      <c r="K32" s="28"/>
      <c r="L32" s="26"/>
      <c r="M32" s="26"/>
      <c r="N32" s="28"/>
      <c r="O32" s="28"/>
    </row>
    <row r="33" customFormat="false" ht="15" hidden="false" customHeight="false" outlineLevel="0" collapsed="false">
      <c r="A33" s="26"/>
      <c r="B33" s="29"/>
      <c r="C33" s="26"/>
      <c r="D33" s="27" t="str">
        <f aca="false">IF($C33="","",IFERROR(INDEX(Invoices!$C$6:$C$505,MATCH($C33,Invoices!$A$6:$A$505,0)),"Invoice not found"))</f>
        <v/>
      </c>
      <c r="E33" s="35" t="str">
        <f aca="false">IF($C33="","",IFERROR(INDEX(Invoices!$L$6:$L$505,MATCH($C33,Invoices!$A$6:$A$505,0)),""))</f>
        <v/>
      </c>
      <c r="F33" s="32"/>
      <c r="G33" s="32"/>
      <c r="H33" s="32"/>
      <c r="I33" s="34" t="str">
        <f aca="false">IF($A33="","",N($F33)+N($G33)+N($H33))</f>
        <v/>
      </c>
      <c r="J33" s="26"/>
      <c r="K33" s="28"/>
      <c r="L33" s="26"/>
      <c r="M33" s="26"/>
      <c r="N33" s="28"/>
      <c r="O33" s="28"/>
    </row>
    <row r="34" customFormat="false" ht="15" hidden="false" customHeight="false" outlineLevel="0" collapsed="false">
      <c r="A34" s="26"/>
      <c r="B34" s="29"/>
      <c r="C34" s="26"/>
      <c r="D34" s="27" t="str">
        <f aca="false">IF($C34="","",IFERROR(INDEX(Invoices!$C$6:$C$505,MATCH($C34,Invoices!$A$6:$A$505,0)),"Invoice not found"))</f>
        <v/>
      </c>
      <c r="E34" s="35" t="str">
        <f aca="false">IF($C34="","",IFERROR(INDEX(Invoices!$L$6:$L$505,MATCH($C34,Invoices!$A$6:$A$505,0)),""))</f>
        <v/>
      </c>
      <c r="F34" s="32"/>
      <c r="G34" s="32"/>
      <c r="H34" s="32"/>
      <c r="I34" s="34" t="str">
        <f aca="false">IF($A34="","",N($F34)+N($G34)+N($H34))</f>
        <v/>
      </c>
      <c r="J34" s="26"/>
      <c r="K34" s="28"/>
      <c r="L34" s="26"/>
      <c r="M34" s="26"/>
      <c r="N34" s="28"/>
      <c r="O34" s="28"/>
    </row>
    <row r="35" customFormat="false" ht="15" hidden="false" customHeight="false" outlineLevel="0" collapsed="false">
      <c r="A35" s="26"/>
      <c r="B35" s="29"/>
      <c r="C35" s="26"/>
      <c r="D35" s="27" t="str">
        <f aca="false">IF($C35="","",IFERROR(INDEX(Invoices!$C$6:$C$505,MATCH($C35,Invoices!$A$6:$A$505,0)),"Invoice not found"))</f>
        <v/>
      </c>
      <c r="E35" s="35" t="str">
        <f aca="false">IF($C35="","",IFERROR(INDEX(Invoices!$L$6:$L$505,MATCH($C35,Invoices!$A$6:$A$505,0)),""))</f>
        <v/>
      </c>
      <c r="F35" s="32"/>
      <c r="G35" s="32"/>
      <c r="H35" s="32"/>
      <c r="I35" s="34" t="str">
        <f aca="false">IF($A35="","",N($F35)+N($G35)+N($H35))</f>
        <v/>
      </c>
      <c r="J35" s="26"/>
      <c r="K35" s="28"/>
      <c r="L35" s="26"/>
      <c r="M35" s="26"/>
      <c r="N35" s="28"/>
      <c r="O35" s="28"/>
    </row>
    <row r="36" customFormat="false" ht="15" hidden="false" customHeight="false" outlineLevel="0" collapsed="false">
      <c r="A36" s="26"/>
      <c r="B36" s="29"/>
      <c r="C36" s="26"/>
      <c r="D36" s="27" t="str">
        <f aca="false">IF($C36="","",IFERROR(INDEX(Invoices!$C$6:$C$505,MATCH($C36,Invoices!$A$6:$A$505,0)),"Invoice not found"))</f>
        <v/>
      </c>
      <c r="E36" s="35" t="str">
        <f aca="false">IF($C36="","",IFERROR(INDEX(Invoices!$L$6:$L$505,MATCH($C36,Invoices!$A$6:$A$505,0)),""))</f>
        <v/>
      </c>
      <c r="F36" s="32"/>
      <c r="G36" s="32"/>
      <c r="H36" s="32"/>
      <c r="I36" s="34" t="str">
        <f aca="false">IF($A36="","",N($F36)+N($G36)+N($H36))</f>
        <v/>
      </c>
      <c r="J36" s="26"/>
      <c r="K36" s="28"/>
      <c r="L36" s="26"/>
      <c r="M36" s="26"/>
      <c r="N36" s="28"/>
      <c r="O36" s="28"/>
    </row>
    <row r="37" customFormat="false" ht="15" hidden="false" customHeight="false" outlineLevel="0" collapsed="false">
      <c r="A37" s="26"/>
      <c r="B37" s="29"/>
      <c r="C37" s="26"/>
      <c r="D37" s="27" t="str">
        <f aca="false">IF($C37="","",IFERROR(INDEX(Invoices!$C$6:$C$505,MATCH($C37,Invoices!$A$6:$A$505,0)),"Invoice not found"))</f>
        <v/>
      </c>
      <c r="E37" s="35" t="str">
        <f aca="false">IF($C37="","",IFERROR(INDEX(Invoices!$L$6:$L$505,MATCH($C37,Invoices!$A$6:$A$505,0)),""))</f>
        <v/>
      </c>
      <c r="F37" s="32"/>
      <c r="G37" s="32"/>
      <c r="H37" s="32"/>
      <c r="I37" s="34" t="str">
        <f aca="false">IF($A37="","",N($F37)+N($G37)+N($H37))</f>
        <v/>
      </c>
      <c r="J37" s="26"/>
      <c r="K37" s="28"/>
      <c r="L37" s="26"/>
      <c r="M37" s="26"/>
      <c r="N37" s="28"/>
      <c r="O37" s="28"/>
    </row>
    <row r="38" customFormat="false" ht="15" hidden="false" customHeight="false" outlineLevel="0" collapsed="false">
      <c r="A38" s="26"/>
      <c r="B38" s="29"/>
      <c r="C38" s="26"/>
      <c r="D38" s="27" t="str">
        <f aca="false">IF($C38="","",IFERROR(INDEX(Invoices!$C$6:$C$505,MATCH($C38,Invoices!$A$6:$A$505,0)),"Invoice not found"))</f>
        <v/>
      </c>
      <c r="E38" s="35" t="str">
        <f aca="false">IF($C38="","",IFERROR(INDEX(Invoices!$L$6:$L$505,MATCH($C38,Invoices!$A$6:$A$505,0)),""))</f>
        <v/>
      </c>
      <c r="F38" s="32"/>
      <c r="G38" s="32"/>
      <c r="H38" s="32"/>
      <c r="I38" s="34" t="str">
        <f aca="false">IF($A38="","",N($F38)+N($G38)+N($H38))</f>
        <v/>
      </c>
      <c r="J38" s="26"/>
      <c r="K38" s="28"/>
      <c r="L38" s="26"/>
      <c r="M38" s="26"/>
      <c r="N38" s="28"/>
      <c r="O38" s="28"/>
    </row>
    <row r="39" customFormat="false" ht="15" hidden="false" customHeight="false" outlineLevel="0" collapsed="false">
      <c r="A39" s="26"/>
      <c r="B39" s="29"/>
      <c r="C39" s="26"/>
      <c r="D39" s="27" t="str">
        <f aca="false">IF($C39="","",IFERROR(INDEX(Invoices!$C$6:$C$505,MATCH($C39,Invoices!$A$6:$A$505,0)),"Invoice not found"))</f>
        <v/>
      </c>
      <c r="E39" s="35" t="str">
        <f aca="false">IF($C39="","",IFERROR(INDEX(Invoices!$L$6:$L$505,MATCH($C39,Invoices!$A$6:$A$505,0)),""))</f>
        <v/>
      </c>
      <c r="F39" s="32"/>
      <c r="G39" s="32"/>
      <c r="H39" s="32"/>
      <c r="I39" s="34" t="str">
        <f aca="false">IF($A39="","",N($F39)+N($G39)+N($H39))</f>
        <v/>
      </c>
      <c r="J39" s="26"/>
      <c r="K39" s="28"/>
      <c r="L39" s="26"/>
      <c r="M39" s="26"/>
      <c r="N39" s="28"/>
      <c r="O39" s="28"/>
    </row>
    <row r="40" customFormat="false" ht="15" hidden="false" customHeight="false" outlineLevel="0" collapsed="false">
      <c r="A40" s="26"/>
      <c r="B40" s="29"/>
      <c r="C40" s="26"/>
      <c r="D40" s="27" t="str">
        <f aca="false">IF($C40="","",IFERROR(INDEX(Invoices!$C$6:$C$505,MATCH($C40,Invoices!$A$6:$A$505,0)),"Invoice not found"))</f>
        <v/>
      </c>
      <c r="E40" s="35" t="str">
        <f aca="false">IF($C40="","",IFERROR(INDEX(Invoices!$L$6:$L$505,MATCH($C40,Invoices!$A$6:$A$505,0)),""))</f>
        <v/>
      </c>
      <c r="F40" s="32"/>
      <c r="G40" s="32"/>
      <c r="H40" s="32"/>
      <c r="I40" s="34" t="str">
        <f aca="false">IF($A40="","",N($F40)+N($G40)+N($H40))</f>
        <v/>
      </c>
      <c r="J40" s="26"/>
      <c r="K40" s="28"/>
      <c r="L40" s="26"/>
      <c r="M40" s="26"/>
      <c r="N40" s="28"/>
      <c r="O40" s="28"/>
    </row>
    <row r="41" customFormat="false" ht="15" hidden="false" customHeight="false" outlineLevel="0" collapsed="false">
      <c r="A41" s="26"/>
      <c r="B41" s="29"/>
      <c r="C41" s="26"/>
      <c r="D41" s="27" t="str">
        <f aca="false">IF($C41="","",IFERROR(INDEX(Invoices!$C$6:$C$505,MATCH($C41,Invoices!$A$6:$A$505,0)),"Invoice not found"))</f>
        <v/>
      </c>
      <c r="E41" s="35" t="str">
        <f aca="false">IF($C41="","",IFERROR(INDEX(Invoices!$L$6:$L$505,MATCH($C41,Invoices!$A$6:$A$505,0)),""))</f>
        <v/>
      </c>
      <c r="F41" s="32"/>
      <c r="G41" s="32"/>
      <c r="H41" s="32"/>
      <c r="I41" s="34" t="str">
        <f aca="false">IF($A41="","",N($F41)+N($G41)+N($H41))</f>
        <v/>
      </c>
      <c r="J41" s="26"/>
      <c r="K41" s="28"/>
      <c r="L41" s="26"/>
      <c r="M41" s="26"/>
      <c r="N41" s="28"/>
      <c r="O41" s="28"/>
    </row>
    <row r="42" customFormat="false" ht="15" hidden="false" customHeight="false" outlineLevel="0" collapsed="false">
      <c r="A42" s="26"/>
      <c r="B42" s="29"/>
      <c r="C42" s="26"/>
      <c r="D42" s="27" t="str">
        <f aca="false">IF($C42="","",IFERROR(INDEX(Invoices!$C$6:$C$505,MATCH($C42,Invoices!$A$6:$A$505,0)),"Invoice not found"))</f>
        <v/>
      </c>
      <c r="E42" s="35" t="str">
        <f aca="false">IF($C42="","",IFERROR(INDEX(Invoices!$L$6:$L$505,MATCH($C42,Invoices!$A$6:$A$505,0)),""))</f>
        <v/>
      </c>
      <c r="F42" s="32"/>
      <c r="G42" s="32"/>
      <c r="H42" s="32"/>
      <c r="I42" s="34" t="str">
        <f aca="false">IF($A42="","",N($F42)+N($G42)+N($H42))</f>
        <v/>
      </c>
      <c r="J42" s="26"/>
      <c r="K42" s="28"/>
      <c r="L42" s="26"/>
      <c r="M42" s="26"/>
      <c r="N42" s="28"/>
      <c r="O42" s="28"/>
    </row>
    <row r="43" customFormat="false" ht="15" hidden="false" customHeight="false" outlineLevel="0" collapsed="false">
      <c r="A43" s="26"/>
      <c r="B43" s="29"/>
      <c r="C43" s="26"/>
      <c r="D43" s="27" t="str">
        <f aca="false">IF($C43="","",IFERROR(INDEX(Invoices!$C$6:$C$505,MATCH($C43,Invoices!$A$6:$A$505,0)),"Invoice not found"))</f>
        <v/>
      </c>
      <c r="E43" s="35" t="str">
        <f aca="false">IF($C43="","",IFERROR(INDEX(Invoices!$L$6:$L$505,MATCH($C43,Invoices!$A$6:$A$505,0)),""))</f>
        <v/>
      </c>
      <c r="F43" s="32"/>
      <c r="G43" s="32"/>
      <c r="H43" s="32"/>
      <c r="I43" s="34" t="str">
        <f aca="false">IF($A43="","",N($F43)+N($G43)+N($H43))</f>
        <v/>
      </c>
      <c r="J43" s="26"/>
      <c r="K43" s="28"/>
      <c r="L43" s="26"/>
      <c r="M43" s="26"/>
      <c r="N43" s="28"/>
      <c r="O43" s="28"/>
    </row>
    <row r="44" customFormat="false" ht="15" hidden="false" customHeight="false" outlineLevel="0" collapsed="false">
      <c r="A44" s="26"/>
      <c r="B44" s="29"/>
      <c r="C44" s="26"/>
      <c r="D44" s="27" t="str">
        <f aca="false">IF($C44="","",IFERROR(INDEX(Invoices!$C$6:$C$505,MATCH($C44,Invoices!$A$6:$A$505,0)),"Invoice not found"))</f>
        <v/>
      </c>
      <c r="E44" s="35" t="str">
        <f aca="false">IF($C44="","",IFERROR(INDEX(Invoices!$L$6:$L$505,MATCH($C44,Invoices!$A$6:$A$505,0)),""))</f>
        <v/>
      </c>
      <c r="F44" s="32"/>
      <c r="G44" s="32"/>
      <c r="H44" s="32"/>
      <c r="I44" s="34" t="str">
        <f aca="false">IF($A44="","",N($F44)+N($G44)+N($H44))</f>
        <v/>
      </c>
      <c r="J44" s="26"/>
      <c r="K44" s="28"/>
      <c r="L44" s="26"/>
      <c r="M44" s="26"/>
      <c r="N44" s="28"/>
      <c r="O44" s="28"/>
    </row>
    <row r="45" customFormat="false" ht="15" hidden="false" customHeight="false" outlineLevel="0" collapsed="false">
      <c r="A45" s="26"/>
      <c r="B45" s="29"/>
      <c r="C45" s="26"/>
      <c r="D45" s="27" t="str">
        <f aca="false">IF($C45="","",IFERROR(INDEX(Invoices!$C$6:$C$505,MATCH($C45,Invoices!$A$6:$A$505,0)),"Invoice not found"))</f>
        <v/>
      </c>
      <c r="E45" s="35" t="str">
        <f aca="false">IF($C45="","",IFERROR(INDEX(Invoices!$L$6:$L$505,MATCH($C45,Invoices!$A$6:$A$505,0)),""))</f>
        <v/>
      </c>
      <c r="F45" s="32"/>
      <c r="G45" s="32"/>
      <c r="H45" s="32"/>
      <c r="I45" s="34" t="str">
        <f aca="false">IF($A45="","",N($F45)+N($G45)+N($H45))</f>
        <v/>
      </c>
      <c r="J45" s="26"/>
      <c r="K45" s="28"/>
      <c r="L45" s="26"/>
      <c r="M45" s="26"/>
      <c r="N45" s="28"/>
      <c r="O45" s="28"/>
    </row>
    <row r="46" customFormat="false" ht="15" hidden="false" customHeight="false" outlineLevel="0" collapsed="false">
      <c r="A46" s="26"/>
      <c r="B46" s="29"/>
      <c r="C46" s="26"/>
      <c r="D46" s="27" t="str">
        <f aca="false">IF($C46="","",IFERROR(INDEX(Invoices!$C$6:$C$505,MATCH($C46,Invoices!$A$6:$A$505,0)),"Invoice not found"))</f>
        <v/>
      </c>
      <c r="E46" s="35" t="str">
        <f aca="false">IF($C46="","",IFERROR(INDEX(Invoices!$L$6:$L$505,MATCH($C46,Invoices!$A$6:$A$505,0)),""))</f>
        <v/>
      </c>
      <c r="F46" s="32"/>
      <c r="G46" s="32"/>
      <c r="H46" s="32"/>
      <c r="I46" s="34" t="str">
        <f aca="false">IF($A46="","",N($F46)+N($G46)+N($H46))</f>
        <v/>
      </c>
      <c r="J46" s="26"/>
      <c r="K46" s="28"/>
      <c r="L46" s="26"/>
      <c r="M46" s="26"/>
      <c r="N46" s="28"/>
      <c r="O46" s="28"/>
    </row>
    <row r="47" customFormat="false" ht="15" hidden="false" customHeight="false" outlineLevel="0" collapsed="false">
      <c r="A47" s="26"/>
      <c r="B47" s="29"/>
      <c r="C47" s="26"/>
      <c r="D47" s="27" t="str">
        <f aca="false">IF($C47="","",IFERROR(INDEX(Invoices!$C$6:$C$505,MATCH($C47,Invoices!$A$6:$A$505,0)),"Invoice not found"))</f>
        <v/>
      </c>
      <c r="E47" s="35" t="str">
        <f aca="false">IF($C47="","",IFERROR(INDEX(Invoices!$L$6:$L$505,MATCH($C47,Invoices!$A$6:$A$505,0)),""))</f>
        <v/>
      </c>
      <c r="F47" s="32"/>
      <c r="G47" s="32"/>
      <c r="H47" s="32"/>
      <c r="I47" s="34" t="str">
        <f aca="false">IF($A47="","",N($F47)+N($G47)+N($H47))</f>
        <v/>
      </c>
      <c r="J47" s="26"/>
      <c r="K47" s="28"/>
      <c r="L47" s="26"/>
      <c r="M47" s="26"/>
      <c r="N47" s="28"/>
      <c r="O47" s="28"/>
    </row>
    <row r="48" customFormat="false" ht="15" hidden="false" customHeight="false" outlineLevel="0" collapsed="false">
      <c r="A48" s="26"/>
      <c r="B48" s="29"/>
      <c r="C48" s="26"/>
      <c r="D48" s="27" t="str">
        <f aca="false">IF($C48="","",IFERROR(INDEX(Invoices!$C$6:$C$505,MATCH($C48,Invoices!$A$6:$A$505,0)),"Invoice not found"))</f>
        <v/>
      </c>
      <c r="E48" s="35" t="str">
        <f aca="false">IF($C48="","",IFERROR(INDEX(Invoices!$L$6:$L$505,MATCH($C48,Invoices!$A$6:$A$505,0)),""))</f>
        <v/>
      </c>
      <c r="F48" s="32"/>
      <c r="G48" s="32"/>
      <c r="H48" s="32"/>
      <c r="I48" s="34" t="str">
        <f aca="false">IF($A48="","",N($F48)+N($G48)+N($H48))</f>
        <v/>
      </c>
      <c r="J48" s="26"/>
      <c r="K48" s="28"/>
      <c r="L48" s="26"/>
      <c r="M48" s="26"/>
      <c r="N48" s="28"/>
      <c r="O48" s="28"/>
    </row>
    <row r="49" customFormat="false" ht="15" hidden="false" customHeight="false" outlineLevel="0" collapsed="false">
      <c r="A49" s="26"/>
      <c r="B49" s="29"/>
      <c r="C49" s="26"/>
      <c r="D49" s="27" t="str">
        <f aca="false">IF($C49="","",IFERROR(INDEX(Invoices!$C$6:$C$505,MATCH($C49,Invoices!$A$6:$A$505,0)),"Invoice not found"))</f>
        <v/>
      </c>
      <c r="E49" s="35" t="str">
        <f aca="false">IF($C49="","",IFERROR(INDEX(Invoices!$L$6:$L$505,MATCH($C49,Invoices!$A$6:$A$505,0)),""))</f>
        <v/>
      </c>
      <c r="F49" s="32"/>
      <c r="G49" s="32"/>
      <c r="H49" s="32"/>
      <c r="I49" s="34" t="str">
        <f aca="false">IF($A49="","",N($F49)+N($G49)+N($H49))</f>
        <v/>
      </c>
      <c r="J49" s="26"/>
      <c r="K49" s="28"/>
      <c r="L49" s="26"/>
      <c r="M49" s="26"/>
      <c r="N49" s="28"/>
      <c r="O49" s="28"/>
    </row>
    <row r="50" customFormat="false" ht="15" hidden="false" customHeight="false" outlineLevel="0" collapsed="false">
      <c r="A50" s="26"/>
      <c r="B50" s="29"/>
      <c r="C50" s="26"/>
      <c r="D50" s="27" t="str">
        <f aca="false">IF($C50="","",IFERROR(INDEX(Invoices!$C$6:$C$505,MATCH($C50,Invoices!$A$6:$A$505,0)),"Invoice not found"))</f>
        <v/>
      </c>
      <c r="E50" s="35" t="str">
        <f aca="false">IF($C50="","",IFERROR(INDEX(Invoices!$L$6:$L$505,MATCH($C50,Invoices!$A$6:$A$505,0)),""))</f>
        <v/>
      </c>
      <c r="F50" s="32"/>
      <c r="G50" s="32"/>
      <c r="H50" s="32"/>
      <c r="I50" s="34" t="str">
        <f aca="false">IF($A50="","",N($F50)+N($G50)+N($H50))</f>
        <v/>
      </c>
      <c r="J50" s="26"/>
      <c r="K50" s="28"/>
      <c r="L50" s="26"/>
      <c r="M50" s="26"/>
      <c r="N50" s="28"/>
      <c r="O50" s="28"/>
    </row>
    <row r="51" customFormat="false" ht="15" hidden="false" customHeight="false" outlineLevel="0" collapsed="false">
      <c r="A51" s="26"/>
      <c r="B51" s="29"/>
      <c r="C51" s="26"/>
      <c r="D51" s="27" t="str">
        <f aca="false">IF($C51="","",IFERROR(INDEX(Invoices!$C$6:$C$505,MATCH($C51,Invoices!$A$6:$A$505,0)),"Invoice not found"))</f>
        <v/>
      </c>
      <c r="E51" s="35" t="str">
        <f aca="false">IF($C51="","",IFERROR(INDEX(Invoices!$L$6:$L$505,MATCH($C51,Invoices!$A$6:$A$505,0)),""))</f>
        <v/>
      </c>
      <c r="F51" s="32"/>
      <c r="G51" s="32"/>
      <c r="H51" s="32"/>
      <c r="I51" s="34" t="str">
        <f aca="false">IF($A51="","",N($F51)+N($G51)+N($H51))</f>
        <v/>
      </c>
      <c r="J51" s="26"/>
      <c r="K51" s="28"/>
      <c r="L51" s="26"/>
      <c r="M51" s="26"/>
      <c r="N51" s="28"/>
      <c r="O51" s="28"/>
    </row>
    <row r="52" customFormat="false" ht="15" hidden="false" customHeight="false" outlineLevel="0" collapsed="false">
      <c r="A52" s="26"/>
      <c r="B52" s="29"/>
      <c r="C52" s="26"/>
      <c r="D52" s="27" t="str">
        <f aca="false">IF($C52="","",IFERROR(INDEX(Invoices!$C$6:$C$505,MATCH($C52,Invoices!$A$6:$A$505,0)),"Invoice not found"))</f>
        <v/>
      </c>
      <c r="E52" s="35" t="str">
        <f aca="false">IF($C52="","",IFERROR(INDEX(Invoices!$L$6:$L$505,MATCH($C52,Invoices!$A$6:$A$505,0)),""))</f>
        <v/>
      </c>
      <c r="F52" s="32"/>
      <c r="G52" s="32"/>
      <c r="H52" s="32"/>
      <c r="I52" s="34" t="str">
        <f aca="false">IF($A52="","",N($F52)+N($G52)+N($H52))</f>
        <v/>
      </c>
      <c r="J52" s="26"/>
      <c r="K52" s="28"/>
      <c r="L52" s="26"/>
      <c r="M52" s="26"/>
      <c r="N52" s="28"/>
      <c r="O52" s="28"/>
    </row>
    <row r="53" customFormat="false" ht="15" hidden="false" customHeight="false" outlineLevel="0" collapsed="false">
      <c r="A53" s="26"/>
      <c r="B53" s="29"/>
      <c r="C53" s="26"/>
      <c r="D53" s="27" t="str">
        <f aca="false">IF($C53="","",IFERROR(INDEX(Invoices!$C$6:$C$505,MATCH($C53,Invoices!$A$6:$A$505,0)),"Invoice not found"))</f>
        <v/>
      </c>
      <c r="E53" s="35" t="str">
        <f aca="false">IF($C53="","",IFERROR(INDEX(Invoices!$L$6:$L$505,MATCH($C53,Invoices!$A$6:$A$505,0)),""))</f>
        <v/>
      </c>
      <c r="F53" s="32"/>
      <c r="G53" s="32"/>
      <c r="H53" s="32"/>
      <c r="I53" s="34" t="str">
        <f aca="false">IF($A53="","",N($F53)+N($G53)+N($H53))</f>
        <v/>
      </c>
      <c r="J53" s="26"/>
      <c r="K53" s="28"/>
      <c r="L53" s="26"/>
      <c r="M53" s="26"/>
      <c r="N53" s="28"/>
      <c r="O53" s="28"/>
    </row>
    <row r="54" customFormat="false" ht="15" hidden="false" customHeight="false" outlineLevel="0" collapsed="false">
      <c r="A54" s="26"/>
      <c r="B54" s="29"/>
      <c r="C54" s="26"/>
      <c r="D54" s="27" t="str">
        <f aca="false">IF($C54="","",IFERROR(INDEX(Invoices!$C$6:$C$505,MATCH($C54,Invoices!$A$6:$A$505,0)),"Invoice not found"))</f>
        <v/>
      </c>
      <c r="E54" s="35" t="str">
        <f aca="false">IF($C54="","",IFERROR(INDEX(Invoices!$L$6:$L$505,MATCH($C54,Invoices!$A$6:$A$505,0)),""))</f>
        <v/>
      </c>
      <c r="F54" s="32"/>
      <c r="G54" s="32"/>
      <c r="H54" s="32"/>
      <c r="I54" s="34" t="str">
        <f aca="false">IF($A54="","",N($F54)+N($G54)+N($H54))</f>
        <v/>
      </c>
      <c r="J54" s="26"/>
      <c r="K54" s="28"/>
      <c r="L54" s="26"/>
      <c r="M54" s="26"/>
      <c r="N54" s="28"/>
      <c r="O54" s="28"/>
    </row>
    <row r="55" customFormat="false" ht="15" hidden="false" customHeight="false" outlineLevel="0" collapsed="false">
      <c r="A55" s="26"/>
      <c r="B55" s="29"/>
      <c r="C55" s="26"/>
      <c r="D55" s="27" t="str">
        <f aca="false">IF($C55="","",IFERROR(INDEX(Invoices!$C$6:$C$505,MATCH($C55,Invoices!$A$6:$A$505,0)),"Invoice not found"))</f>
        <v/>
      </c>
      <c r="E55" s="35" t="str">
        <f aca="false">IF($C55="","",IFERROR(INDEX(Invoices!$L$6:$L$505,MATCH($C55,Invoices!$A$6:$A$505,0)),""))</f>
        <v/>
      </c>
      <c r="F55" s="32"/>
      <c r="G55" s="32"/>
      <c r="H55" s="32"/>
      <c r="I55" s="34" t="str">
        <f aca="false">IF($A55="","",N($F55)+N($G55)+N($H55))</f>
        <v/>
      </c>
      <c r="J55" s="26"/>
      <c r="K55" s="28"/>
      <c r="L55" s="26"/>
      <c r="M55" s="26"/>
      <c r="N55" s="28"/>
      <c r="O55" s="28"/>
    </row>
    <row r="56" customFormat="false" ht="15" hidden="false" customHeight="false" outlineLevel="0" collapsed="false">
      <c r="A56" s="26"/>
      <c r="B56" s="29"/>
      <c r="C56" s="26"/>
      <c r="D56" s="27" t="str">
        <f aca="false">IF($C56="","",IFERROR(INDEX(Invoices!$C$6:$C$505,MATCH($C56,Invoices!$A$6:$A$505,0)),"Invoice not found"))</f>
        <v/>
      </c>
      <c r="E56" s="35" t="str">
        <f aca="false">IF($C56="","",IFERROR(INDEX(Invoices!$L$6:$L$505,MATCH($C56,Invoices!$A$6:$A$505,0)),""))</f>
        <v/>
      </c>
      <c r="F56" s="32"/>
      <c r="G56" s="32"/>
      <c r="H56" s="32"/>
      <c r="I56" s="34" t="str">
        <f aca="false">IF($A56="","",N($F56)+N($G56)+N($H56))</f>
        <v/>
      </c>
      <c r="J56" s="26"/>
      <c r="K56" s="28"/>
      <c r="L56" s="26"/>
      <c r="M56" s="26"/>
      <c r="N56" s="28"/>
      <c r="O56" s="28"/>
    </row>
    <row r="57" customFormat="false" ht="15" hidden="false" customHeight="false" outlineLevel="0" collapsed="false">
      <c r="A57" s="26"/>
      <c r="B57" s="29"/>
      <c r="C57" s="26"/>
      <c r="D57" s="27" t="str">
        <f aca="false">IF($C57="","",IFERROR(INDEX(Invoices!$C$6:$C$505,MATCH($C57,Invoices!$A$6:$A$505,0)),"Invoice not found"))</f>
        <v/>
      </c>
      <c r="E57" s="35" t="str">
        <f aca="false">IF($C57="","",IFERROR(INDEX(Invoices!$L$6:$L$505,MATCH($C57,Invoices!$A$6:$A$505,0)),""))</f>
        <v/>
      </c>
      <c r="F57" s="32"/>
      <c r="G57" s="32"/>
      <c r="H57" s="32"/>
      <c r="I57" s="34" t="str">
        <f aca="false">IF($A57="","",N($F57)+N($G57)+N($H57))</f>
        <v/>
      </c>
      <c r="J57" s="26"/>
      <c r="K57" s="28"/>
      <c r="L57" s="26"/>
      <c r="M57" s="26"/>
      <c r="N57" s="28"/>
      <c r="O57" s="28"/>
    </row>
    <row r="58" customFormat="false" ht="15" hidden="false" customHeight="false" outlineLevel="0" collapsed="false">
      <c r="A58" s="26"/>
      <c r="B58" s="29"/>
      <c r="C58" s="26"/>
      <c r="D58" s="27" t="str">
        <f aca="false">IF($C58="","",IFERROR(INDEX(Invoices!$C$6:$C$505,MATCH($C58,Invoices!$A$6:$A$505,0)),"Invoice not found"))</f>
        <v/>
      </c>
      <c r="E58" s="35" t="str">
        <f aca="false">IF($C58="","",IFERROR(INDEX(Invoices!$L$6:$L$505,MATCH($C58,Invoices!$A$6:$A$505,0)),""))</f>
        <v/>
      </c>
      <c r="F58" s="32"/>
      <c r="G58" s="32"/>
      <c r="H58" s="32"/>
      <c r="I58" s="34" t="str">
        <f aca="false">IF($A58="","",N($F58)+N($G58)+N($H58))</f>
        <v/>
      </c>
      <c r="J58" s="26"/>
      <c r="K58" s="28"/>
      <c r="L58" s="26"/>
      <c r="M58" s="26"/>
      <c r="N58" s="28"/>
      <c r="O58" s="28"/>
    </row>
    <row r="59" customFormat="false" ht="15" hidden="false" customHeight="false" outlineLevel="0" collapsed="false">
      <c r="A59" s="26"/>
      <c r="B59" s="29"/>
      <c r="C59" s="26"/>
      <c r="D59" s="27" t="str">
        <f aca="false">IF($C59="","",IFERROR(INDEX(Invoices!$C$6:$C$505,MATCH($C59,Invoices!$A$6:$A$505,0)),"Invoice not found"))</f>
        <v/>
      </c>
      <c r="E59" s="35" t="str">
        <f aca="false">IF($C59="","",IFERROR(INDEX(Invoices!$L$6:$L$505,MATCH($C59,Invoices!$A$6:$A$505,0)),""))</f>
        <v/>
      </c>
      <c r="F59" s="32"/>
      <c r="G59" s="32"/>
      <c r="H59" s="32"/>
      <c r="I59" s="34" t="str">
        <f aca="false">IF($A59="","",N($F59)+N($G59)+N($H59))</f>
        <v/>
      </c>
      <c r="J59" s="26"/>
      <c r="K59" s="28"/>
      <c r="L59" s="26"/>
      <c r="M59" s="26"/>
      <c r="N59" s="28"/>
      <c r="O59" s="28"/>
    </row>
    <row r="60" customFormat="false" ht="15" hidden="false" customHeight="false" outlineLevel="0" collapsed="false">
      <c r="A60" s="26"/>
      <c r="B60" s="29"/>
      <c r="C60" s="26"/>
      <c r="D60" s="27" t="str">
        <f aca="false">IF($C60="","",IFERROR(INDEX(Invoices!$C$6:$C$505,MATCH($C60,Invoices!$A$6:$A$505,0)),"Invoice not found"))</f>
        <v/>
      </c>
      <c r="E60" s="35" t="str">
        <f aca="false">IF($C60="","",IFERROR(INDEX(Invoices!$L$6:$L$505,MATCH($C60,Invoices!$A$6:$A$505,0)),""))</f>
        <v/>
      </c>
      <c r="F60" s="32"/>
      <c r="G60" s="32"/>
      <c r="H60" s="32"/>
      <c r="I60" s="34" t="str">
        <f aca="false">IF($A60="","",N($F60)+N($G60)+N($H60))</f>
        <v/>
      </c>
      <c r="J60" s="26"/>
      <c r="K60" s="28"/>
      <c r="L60" s="26"/>
      <c r="M60" s="26"/>
      <c r="N60" s="28"/>
      <c r="O60" s="28"/>
    </row>
    <row r="61" customFormat="false" ht="15" hidden="false" customHeight="false" outlineLevel="0" collapsed="false">
      <c r="A61" s="26"/>
      <c r="B61" s="29"/>
      <c r="C61" s="26"/>
      <c r="D61" s="27" t="str">
        <f aca="false">IF($C61="","",IFERROR(INDEX(Invoices!$C$6:$C$505,MATCH($C61,Invoices!$A$6:$A$505,0)),"Invoice not found"))</f>
        <v/>
      </c>
      <c r="E61" s="35" t="str">
        <f aca="false">IF($C61="","",IFERROR(INDEX(Invoices!$L$6:$L$505,MATCH($C61,Invoices!$A$6:$A$505,0)),""))</f>
        <v/>
      </c>
      <c r="F61" s="32"/>
      <c r="G61" s="32"/>
      <c r="H61" s="32"/>
      <c r="I61" s="34" t="str">
        <f aca="false">IF($A61="","",N($F61)+N($G61)+N($H61))</f>
        <v/>
      </c>
      <c r="J61" s="26"/>
      <c r="K61" s="28"/>
      <c r="L61" s="26"/>
      <c r="M61" s="26"/>
      <c r="N61" s="28"/>
      <c r="O61" s="28"/>
    </row>
    <row r="62" customFormat="false" ht="15" hidden="false" customHeight="false" outlineLevel="0" collapsed="false">
      <c r="A62" s="26"/>
      <c r="B62" s="29"/>
      <c r="C62" s="26"/>
      <c r="D62" s="27" t="str">
        <f aca="false">IF($C62="","",IFERROR(INDEX(Invoices!$C$6:$C$505,MATCH($C62,Invoices!$A$6:$A$505,0)),"Invoice not found"))</f>
        <v/>
      </c>
      <c r="E62" s="35" t="str">
        <f aca="false">IF($C62="","",IFERROR(INDEX(Invoices!$L$6:$L$505,MATCH($C62,Invoices!$A$6:$A$505,0)),""))</f>
        <v/>
      </c>
      <c r="F62" s="32"/>
      <c r="G62" s="32"/>
      <c r="H62" s="32"/>
      <c r="I62" s="34" t="str">
        <f aca="false">IF($A62="","",N($F62)+N($G62)+N($H62))</f>
        <v/>
      </c>
      <c r="J62" s="26"/>
      <c r="K62" s="28"/>
      <c r="L62" s="26"/>
      <c r="M62" s="26"/>
      <c r="N62" s="28"/>
      <c r="O62" s="28"/>
    </row>
    <row r="63" customFormat="false" ht="15" hidden="false" customHeight="false" outlineLevel="0" collapsed="false">
      <c r="A63" s="26"/>
      <c r="B63" s="29"/>
      <c r="C63" s="26"/>
      <c r="D63" s="27" t="str">
        <f aca="false">IF($C63="","",IFERROR(INDEX(Invoices!$C$6:$C$505,MATCH($C63,Invoices!$A$6:$A$505,0)),"Invoice not found"))</f>
        <v/>
      </c>
      <c r="E63" s="35" t="str">
        <f aca="false">IF($C63="","",IFERROR(INDEX(Invoices!$L$6:$L$505,MATCH($C63,Invoices!$A$6:$A$505,0)),""))</f>
        <v/>
      </c>
      <c r="F63" s="32"/>
      <c r="G63" s="32"/>
      <c r="H63" s="32"/>
      <c r="I63" s="34" t="str">
        <f aca="false">IF($A63="","",N($F63)+N($G63)+N($H63))</f>
        <v/>
      </c>
      <c r="J63" s="26"/>
      <c r="K63" s="28"/>
      <c r="L63" s="26"/>
      <c r="M63" s="26"/>
      <c r="N63" s="28"/>
      <c r="O63" s="28"/>
    </row>
    <row r="64" customFormat="false" ht="15" hidden="false" customHeight="false" outlineLevel="0" collapsed="false">
      <c r="A64" s="26"/>
      <c r="B64" s="29"/>
      <c r="C64" s="26"/>
      <c r="D64" s="27" t="str">
        <f aca="false">IF($C64="","",IFERROR(INDEX(Invoices!$C$6:$C$505,MATCH($C64,Invoices!$A$6:$A$505,0)),"Invoice not found"))</f>
        <v/>
      </c>
      <c r="E64" s="35" t="str">
        <f aca="false">IF($C64="","",IFERROR(INDEX(Invoices!$L$6:$L$505,MATCH($C64,Invoices!$A$6:$A$505,0)),""))</f>
        <v/>
      </c>
      <c r="F64" s="32"/>
      <c r="G64" s="32"/>
      <c r="H64" s="32"/>
      <c r="I64" s="34" t="str">
        <f aca="false">IF($A64="","",N($F64)+N($G64)+N($H64))</f>
        <v/>
      </c>
      <c r="J64" s="26"/>
      <c r="K64" s="28"/>
      <c r="L64" s="26"/>
      <c r="M64" s="26"/>
      <c r="N64" s="28"/>
      <c r="O64" s="28"/>
    </row>
    <row r="65" customFormat="false" ht="15" hidden="false" customHeight="false" outlineLevel="0" collapsed="false">
      <c r="A65" s="26"/>
      <c r="B65" s="29"/>
      <c r="C65" s="26"/>
      <c r="D65" s="27" t="str">
        <f aca="false">IF($C65="","",IFERROR(INDEX(Invoices!$C$6:$C$505,MATCH($C65,Invoices!$A$6:$A$505,0)),"Invoice not found"))</f>
        <v/>
      </c>
      <c r="E65" s="35" t="str">
        <f aca="false">IF($C65="","",IFERROR(INDEX(Invoices!$L$6:$L$505,MATCH($C65,Invoices!$A$6:$A$505,0)),""))</f>
        <v/>
      </c>
      <c r="F65" s="32"/>
      <c r="G65" s="32"/>
      <c r="H65" s="32"/>
      <c r="I65" s="34" t="str">
        <f aca="false">IF($A65="","",N($F65)+N($G65)+N($H65))</f>
        <v/>
      </c>
      <c r="J65" s="26"/>
      <c r="K65" s="28"/>
      <c r="L65" s="26"/>
      <c r="M65" s="26"/>
      <c r="N65" s="28"/>
      <c r="O65" s="28"/>
    </row>
    <row r="66" customFormat="false" ht="15" hidden="false" customHeight="false" outlineLevel="0" collapsed="false">
      <c r="A66" s="26"/>
      <c r="B66" s="29"/>
      <c r="C66" s="26"/>
      <c r="D66" s="27" t="str">
        <f aca="false">IF($C66="","",IFERROR(INDEX(Invoices!$C$6:$C$505,MATCH($C66,Invoices!$A$6:$A$505,0)),"Invoice not found"))</f>
        <v/>
      </c>
      <c r="E66" s="35" t="str">
        <f aca="false">IF($C66="","",IFERROR(INDEX(Invoices!$L$6:$L$505,MATCH($C66,Invoices!$A$6:$A$505,0)),""))</f>
        <v/>
      </c>
      <c r="F66" s="32"/>
      <c r="G66" s="32"/>
      <c r="H66" s="32"/>
      <c r="I66" s="34" t="str">
        <f aca="false">IF($A66="","",N($F66)+N($G66)+N($H66))</f>
        <v/>
      </c>
      <c r="J66" s="26"/>
      <c r="K66" s="28"/>
      <c r="L66" s="26"/>
      <c r="M66" s="26"/>
      <c r="N66" s="28"/>
      <c r="O66" s="28"/>
    </row>
    <row r="67" customFormat="false" ht="15" hidden="false" customHeight="false" outlineLevel="0" collapsed="false">
      <c r="A67" s="26"/>
      <c r="B67" s="29"/>
      <c r="C67" s="26"/>
      <c r="D67" s="27" t="str">
        <f aca="false">IF($C67="","",IFERROR(INDEX(Invoices!$C$6:$C$505,MATCH($C67,Invoices!$A$6:$A$505,0)),"Invoice not found"))</f>
        <v/>
      </c>
      <c r="E67" s="35" t="str">
        <f aca="false">IF($C67="","",IFERROR(INDEX(Invoices!$L$6:$L$505,MATCH($C67,Invoices!$A$6:$A$505,0)),""))</f>
        <v/>
      </c>
      <c r="F67" s="32"/>
      <c r="G67" s="32"/>
      <c r="H67" s="32"/>
      <c r="I67" s="34" t="str">
        <f aca="false">IF($A67="","",N($F67)+N($G67)+N($H67))</f>
        <v/>
      </c>
      <c r="J67" s="26"/>
      <c r="K67" s="28"/>
      <c r="L67" s="26"/>
      <c r="M67" s="26"/>
      <c r="N67" s="28"/>
      <c r="O67" s="28"/>
    </row>
    <row r="68" customFormat="false" ht="15" hidden="false" customHeight="false" outlineLevel="0" collapsed="false">
      <c r="A68" s="26"/>
      <c r="B68" s="29"/>
      <c r="C68" s="26"/>
      <c r="D68" s="27" t="str">
        <f aca="false">IF($C68="","",IFERROR(INDEX(Invoices!$C$6:$C$505,MATCH($C68,Invoices!$A$6:$A$505,0)),"Invoice not found"))</f>
        <v/>
      </c>
      <c r="E68" s="35" t="str">
        <f aca="false">IF($C68="","",IFERROR(INDEX(Invoices!$L$6:$L$505,MATCH($C68,Invoices!$A$6:$A$505,0)),""))</f>
        <v/>
      </c>
      <c r="F68" s="32"/>
      <c r="G68" s="32"/>
      <c r="H68" s="32"/>
      <c r="I68" s="34" t="str">
        <f aca="false">IF($A68="","",N($F68)+N($G68)+N($H68))</f>
        <v/>
      </c>
      <c r="J68" s="26"/>
      <c r="K68" s="28"/>
      <c r="L68" s="26"/>
      <c r="M68" s="26"/>
      <c r="N68" s="28"/>
      <c r="O68" s="28"/>
    </row>
    <row r="69" customFormat="false" ht="15" hidden="false" customHeight="false" outlineLevel="0" collapsed="false">
      <c r="A69" s="26"/>
      <c r="B69" s="29"/>
      <c r="C69" s="26"/>
      <c r="D69" s="27" t="str">
        <f aca="false">IF($C69="","",IFERROR(INDEX(Invoices!$C$6:$C$505,MATCH($C69,Invoices!$A$6:$A$505,0)),"Invoice not found"))</f>
        <v/>
      </c>
      <c r="E69" s="35" t="str">
        <f aca="false">IF($C69="","",IFERROR(INDEX(Invoices!$L$6:$L$505,MATCH($C69,Invoices!$A$6:$A$505,0)),""))</f>
        <v/>
      </c>
      <c r="F69" s="32"/>
      <c r="G69" s="32"/>
      <c r="H69" s="32"/>
      <c r="I69" s="34" t="str">
        <f aca="false">IF($A69="","",N($F69)+N($G69)+N($H69))</f>
        <v/>
      </c>
      <c r="J69" s="26"/>
      <c r="K69" s="28"/>
      <c r="L69" s="26"/>
      <c r="M69" s="26"/>
      <c r="N69" s="28"/>
      <c r="O69" s="28"/>
    </row>
    <row r="70" customFormat="false" ht="15" hidden="false" customHeight="false" outlineLevel="0" collapsed="false">
      <c r="A70" s="26"/>
      <c r="B70" s="29"/>
      <c r="C70" s="26"/>
      <c r="D70" s="27" t="str">
        <f aca="false">IF($C70="","",IFERROR(INDEX(Invoices!$C$6:$C$505,MATCH($C70,Invoices!$A$6:$A$505,0)),"Invoice not found"))</f>
        <v/>
      </c>
      <c r="E70" s="35" t="str">
        <f aca="false">IF($C70="","",IFERROR(INDEX(Invoices!$L$6:$L$505,MATCH($C70,Invoices!$A$6:$A$505,0)),""))</f>
        <v/>
      </c>
      <c r="F70" s="32"/>
      <c r="G70" s="32"/>
      <c r="H70" s="32"/>
      <c r="I70" s="34" t="str">
        <f aca="false">IF($A70="","",N($F70)+N($G70)+N($H70))</f>
        <v/>
      </c>
      <c r="J70" s="26"/>
      <c r="K70" s="28"/>
      <c r="L70" s="26"/>
      <c r="M70" s="26"/>
      <c r="N70" s="28"/>
      <c r="O70" s="28"/>
    </row>
    <row r="71" customFormat="false" ht="15" hidden="false" customHeight="false" outlineLevel="0" collapsed="false">
      <c r="A71" s="26"/>
      <c r="B71" s="29"/>
      <c r="C71" s="26"/>
      <c r="D71" s="27" t="str">
        <f aca="false">IF($C71="","",IFERROR(INDEX(Invoices!$C$6:$C$505,MATCH($C71,Invoices!$A$6:$A$505,0)),"Invoice not found"))</f>
        <v/>
      </c>
      <c r="E71" s="35" t="str">
        <f aca="false">IF($C71="","",IFERROR(INDEX(Invoices!$L$6:$L$505,MATCH($C71,Invoices!$A$6:$A$505,0)),""))</f>
        <v/>
      </c>
      <c r="F71" s="32"/>
      <c r="G71" s="32"/>
      <c r="H71" s="32"/>
      <c r="I71" s="34" t="str">
        <f aca="false">IF($A71="","",N($F71)+N($G71)+N($H71))</f>
        <v/>
      </c>
      <c r="J71" s="26"/>
      <c r="K71" s="28"/>
      <c r="L71" s="26"/>
      <c r="M71" s="26"/>
      <c r="N71" s="28"/>
      <c r="O71" s="28"/>
    </row>
    <row r="72" customFormat="false" ht="15" hidden="false" customHeight="false" outlineLevel="0" collapsed="false">
      <c r="A72" s="26"/>
      <c r="B72" s="29"/>
      <c r="C72" s="26"/>
      <c r="D72" s="27" t="str">
        <f aca="false">IF($C72="","",IFERROR(INDEX(Invoices!$C$6:$C$505,MATCH($C72,Invoices!$A$6:$A$505,0)),"Invoice not found"))</f>
        <v/>
      </c>
      <c r="E72" s="35" t="str">
        <f aca="false">IF($C72="","",IFERROR(INDEX(Invoices!$L$6:$L$505,MATCH($C72,Invoices!$A$6:$A$505,0)),""))</f>
        <v/>
      </c>
      <c r="F72" s="32"/>
      <c r="G72" s="32"/>
      <c r="H72" s="32"/>
      <c r="I72" s="34" t="str">
        <f aca="false">IF($A72="","",N($F72)+N($G72)+N($H72))</f>
        <v/>
      </c>
      <c r="J72" s="26"/>
      <c r="K72" s="28"/>
      <c r="L72" s="26"/>
      <c r="M72" s="26"/>
      <c r="N72" s="28"/>
      <c r="O72" s="28"/>
    </row>
    <row r="73" customFormat="false" ht="15" hidden="false" customHeight="false" outlineLevel="0" collapsed="false">
      <c r="A73" s="26"/>
      <c r="B73" s="29"/>
      <c r="C73" s="26"/>
      <c r="D73" s="27" t="str">
        <f aca="false">IF($C73="","",IFERROR(INDEX(Invoices!$C$6:$C$505,MATCH($C73,Invoices!$A$6:$A$505,0)),"Invoice not found"))</f>
        <v/>
      </c>
      <c r="E73" s="35" t="str">
        <f aca="false">IF($C73="","",IFERROR(INDEX(Invoices!$L$6:$L$505,MATCH($C73,Invoices!$A$6:$A$505,0)),""))</f>
        <v/>
      </c>
      <c r="F73" s="32"/>
      <c r="G73" s="32"/>
      <c r="H73" s="32"/>
      <c r="I73" s="34" t="str">
        <f aca="false">IF($A73="","",N($F73)+N($G73)+N($H73))</f>
        <v/>
      </c>
      <c r="J73" s="26"/>
      <c r="K73" s="28"/>
      <c r="L73" s="26"/>
      <c r="M73" s="26"/>
      <c r="N73" s="28"/>
      <c r="O73" s="28"/>
    </row>
    <row r="74" customFormat="false" ht="15" hidden="false" customHeight="false" outlineLevel="0" collapsed="false">
      <c r="A74" s="26"/>
      <c r="B74" s="29"/>
      <c r="C74" s="26"/>
      <c r="D74" s="27" t="str">
        <f aca="false">IF($C74="","",IFERROR(INDEX(Invoices!$C$6:$C$505,MATCH($C74,Invoices!$A$6:$A$505,0)),"Invoice not found"))</f>
        <v/>
      </c>
      <c r="E74" s="35" t="str">
        <f aca="false">IF($C74="","",IFERROR(INDEX(Invoices!$L$6:$L$505,MATCH($C74,Invoices!$A$6:$A$505,0)),""))</f>
        <v/>
      </c>
      <c r="F74" s="32"/>
      <c r="G74" s="32"/>
      <c r="H74" s="32"/>
      <c r="I74" s="34" t="str">
        <f aca="false">IF($A74="","",N($F74)+N($G74)+N($H74))</f>
        <v/>
      </c>
      <c r="J74" s="26"/>
      <c r="K74" s="28"/>
      <c r="L74" s="26"/>
      <c r="M74" s="26"/>
      <c r="N74" s="28"/>
      <c r="O74" s="28"/>
    </row>
    <row r="75" customFormat="false" ht="15" hidden="false" customHeight="false" outlineLevel="0" collapsed="false">
      <c r="A75" s="26"/>
      <c r="B75" s="29"/>
      <c r="C75" s="26"/>
      <c r="D75" s="27" t="str">
        <f aca="false">IF($C75="","",IFERROR(INDEX(Invoices!$C$6:$C$505,MATCH($C75,Invoices!$A$6:$A$505,0)),"Invoice not found"))</f>
        <v/>
      </c>
      <c r="E75" s="35" t="str">
        <f aca="false">IF($C75="","",IFERROR(INDEX(Invoices!$L$6:$L$505,MATCH($C75,Invoices!$A$6:$A$505,0)),""))</f>
        <v/>
      </c>
      <c r="F75" s="32"/>
      <c r="G75" s="32"/>
      <c r="H75" s="32"/>
      <c r="I75" s="34" t="str">
        <f aca="false">IF($A75="","",N($F75)+N($G75)+N($H75))</f>
        <v/>
      </c>
      <c r="J75" s="26"/>
      <c r="K75" s="28"/>
      <c r="L75" s="26"/>
      <c r="M75" s="26"/>
      <c r="N75" s="28"/>
      <c r="O75" s="28"/>
    </row>
    <row r="76" customFormat="false" ht="15" hidden="false" customHeight="false" outlineLevel="0" collapsed="false">
      <c r="A76" s="26"/>
      <c r="B76" s="29"/>
      <c r="C76" s="26"/>
      <c r="D76" s="27" t="str">
        <f aca="false">IF($C76="","",IFERROR(INDEX(Invoices!$C$6:$C$505,MATCH($C76,Invoices!$A$6:$A$505,0)),"Invoice not found"))</f>
        <v/>
      </c>
      <c r="E76" s="35" t="str">
        <f aca="false">IF($C76="","",IFERROR(INDEX(Invoices!$L$6:$L$505,MATCH($C76,Invoices!$A$6:$A$505,0)),""))</f>
        <v/>
      </c>
      <c r="F76" s="32"/>
      <c r="G76" s="32"/>
      <c r="H76" s="32"/>
      <c r="I76" s="34" t="str">
        <f aca="false">IF($A76="","",N($F76)+N($G76)+N($H76))</f>
        <v/>
      </c>
      <c r="J76" s="26"/>
      <c r="K76" s="28"/>
      <c r="L76" s="26"/>
      <c r="M76" s="26"/>
      <c r="N76" s="28"/>
      <c r="O76" s="28"/>
    </row>
    <row r="77" customFormat="false" ht="15" hidden="false" customHeight="false" outlineLevel="0" collapsed="false">
      <c r="A77" s="26"/>
      <c r="B77" s="29"/>
      <c r="C77" s="26"/>
      <c r="D77" s="27" t="str">
        <f aca="false">IF($C77="","",IFERROR(INDEX(Invoices!$C$6:$C$505,MATCH($C77,Invoices!$A$6:$A$505,0)),"Invoice not found"))</f>
        <v/>
      </c>
      <c r="E77" s="35" t="str">
        <f aca="false">IF($C77="","",IFERROR(INDEX(Invoices!$L$6:$L$505,MATCH($C77,Invoices!$A$6:$A$505,0)),""))</f>
        <v/>
      </c>
      <c r="F77" s="32"/>
      <c r="G77" s="32"/>
      <c r="H77" s="32"/>
      <c r="I77" s="34" t="str">
        <f aca="false">IF($A77="","",N($F77)+N($G77)+N($H77))</f>
        <v/>
      </c>
      <c r="J77" s="26"/>
      <c r="K77" s="28"/>
      <c r="L77" s="26"/>
      <c r="M77" s="26"/>
      <c r="N77" s="28"/>
      <c r="O77" s="28"/>
    </row>
    <row r="78" customFormat="false" ht="15" hidden="false" customHeight="false" outlineLevel="0" collapsed="false">
      <c r="A78" s="26"/>
      <c r="B78" s="29"/>
      <c r="C78" s="26"/>
      <c r="D78" s="27" t="str">
        <f aca="false">IF($C78="","",IFERROR(INDEX(Invoices!$C$6:$C$505,MATCH($C78,Invoices!$A$6:$A$505,0)),"Invoice not found"))</f>
        <v/>
      </c>
      <c r="E78" s="35" t="str">
        <f aca="false">IF($C78="","",IFERROR(INDEX(Invoices!$L$6:$L$505,MATCH($C78,Invoices!$A$6:$A$505,0)),""))</f>
        <v/>
      </c>
      <c r="F78" s="32"/>
      <c r="G78" s="32"/>
      <c r="H78" s="32"/>
      <c r="I78" s="34" t="str">
        <f aca="false">IF($A78="","",N($F78)+N($G78)+N($H78))</f>
        <v/>
      </c>
      <c r="J78" s="26"/>
      <c r="K78" s="28"/>
      <c r="L78" s="26"/>
      <c r="M78" s="26"/>
      <c r="N78" s="28"/>
      <c r="O78" s="28"/>
    </row>
    <row r="79" customFormat="false" ht="15" hidden="false" customHeight="false" outlineLevel="0" collapsed="false">
      <c r="A79" s="26"/>
      <c r="B79" s="29"/>
      <c r="C79" s="26"/>
      <c r="D79" s="27" t="str">
        <f aca="false">IF($C79="","",IFERROR(INDEX(Invoices!$C$6:$C$505,MATCH($C79,Invoices!$A$6:$A$505,0)),"Invoice not found"))</f>
        <v/>
      </c>
      <c r="E79" s="35" t="str">
        <f aca="false">IF($C79="","",IFERROR(INDEX(Invoices!$L$6:$L$505,MATCH($C79,Invoices!$A$6:$A$505,0)),""))</f>
        <v/>
      </c>
      <c r="F79" s="32"/>
      <c r="G79" s="32"/>
      <c r="H79" s="32"/>
      <c r="I79" s="34" t="str">
        <f aca="false">IF($A79="","",N($F79)+N($G79)+N($H79))</f>
        <v/>
      </c>
      <c r="J79" s="26"/>
      <c r="K79" s="28"/>
      <c r="L79" s="26"/>
      <c r="M79" s="26"/>
      <c r="N79" s="28"/>
      <c r="O79" s="28"/>
    </row>
    <row r="80" customFormat="false" ht="15" hidden="false" customHeight="false" outlineLevel="0" collapsed="false">
      <c r="A80" s="26"/>
      <c r="B80" s="29"/>
      <c r="C80" s="26"/>
      <c r="D80" s="27" t="str">
        <f aca="false">IF($C80="","",IFERROR(INDEX(Invoices!$C$6:$C$505,MATCH($C80,Invoices!$A$6:$A$505,0)),"Invoice not found"))</f>
        <v/>
      </c>
      <c r="E80" s="35" t="str">
        <f aca="false">IF($C80="","",IFERROR(INDEX(Invoices!$L$6:$L$505,MATCH($C80,Invoices!$A$6:$A$505,0)),""))</f>
        <v/>
      </c>
      <c r="F80" s="32"/>
      <c r="G80" s="32"/>
      <c r="H80" s="32"/>
      <c r="I80" s="34" t="str">
        <f aca="false">IF($A80="","",N($F80)+N($G80)+N($H80))</f>
        <v/>
      </c>
      <c r="J80" s="26"/>
      <c r="K80" s="28"/>
      <c r="L80" s="26"/>
      <c r="M80" s="26"/>
      <c r="N80" s="28"/>
      <c r="O80" s="28"/>
    </row>
    <row r="81" customFormat="false" ht="15" hidden="false" customHeight="false" outlineLevel="0" collapsed="false">
      <c r="A81" s="26"/>
      <c r="B81" s="29"/>
      <c r="C81" s="26"/>
      <c r="D81" s="27" t="str">
        <f aca="false">IF($C81="","",IFERROR(INDEX(Invoices!$C$6:$C$505,MATCH($C81,Invoices!$A$6:$A$505,0)),"Invoice not found"))</f>
        <v/>
      </c>
      <c r="E81" s="35" t="str">
        <f aca="false">IF($C81="","",IFERROR(INDEX(Invoices!$L$6:$L$505,MATCH($C81,Invoices!$A$6:$A$505,0)),""))</f>
        <v/>
      </c>
      <c r="F81" s="32"/>
      <c r="G81" s="32"/>
      <c r="H81" s="32"/>
      <c r="I81" s="34" t="str">
        <f aca="false">IF($A81="","",N($F81)+N($G81)+N($H81))</f>
        <v/>
      </c>
      <c r="J81" s="26"/>
      <c r="K81" s="28"/>
      <c r="L81" s="26"/>
      <c r="M81" s="26"/>
      <c r="N81" s="28"/>
      <c r="O81" s="28"/>
    </row>
    <row r="82" customFormat="false" ht="15" hidden="false" customHeight="false" outlineLevel="0" collapsed="false">
      <c r="A82" s="26"/>
      <c r="B82" s="29"/>
      <c r="C82" s="26"/>
      <c r="D82" s="27" t="str">
        <f aca="false">IF($C82="","",IFERROR(INDEX(Invoices!$C$6:$C$505,MATCH($C82,Invoices!$A$6:$A$505,0)),"Invoice not found"))</f>
        <v/>
      </c>
      <c r="E82" s="35" t="str">
        <f aca="false">IF($C82="","",IFERROR(INDEX(Invoices!$L$6:$L$505,MATCH($C82,Invoices!$A$6:$A$505,0)),""))</f>
        <v/>
      </c>
      <c r="F82" s="32"/>
      <c r="G82" s="32"/>
      <c r="H82" s="32"/>
      <c r="I82" s="34" t="str">
        <f aca="false">IF($A82="","",N($F82)+N($G82)+N($H82))</f>
        <v/>
      </c>
      <c r="J82" s="26"/>
      <c r="K82" s="28"/>
      <c r="L82" s="26"/>
      <c r="M82" s="26"/>
      <c r="N82" s="28"/>
      <c r="O82" s="28"/>
    </row>
    <row r="83" customFormat="false" ht="15" hidden="false" customHeight="false" outlineLevel="0" collapsed="false">
      <c r="A83" s="26"/>
      <c r="B83" s="29"/>
      <c r="C83" s="26"/>
      <c r="D83" s="27" t="str">
        <f aca="false">IF($C83="","",IFERROR(INDEX(Invoices!$C$6:$C$505,MATCH($C83,Invoices!$A$6:$A$505,0)),"Invoice not found"))</f>
        <v/>
      </c>
      <c r="E83" s="35" t="str">
        <f aca="false">IF($C83="","",IFERROR(INDEX(Invoices!$L$6:$L$505,MATCH($C83,Invoices!$A$6:$A$505,0)),""))</f>
        <v/>
      </c>
      <c r="F83" s="32"/>
      <c r="G83" s="32"/>
      <c r="H83" s="32"/>
      <c r="I83" s="34" t="str">
        <f aca="false">IF($A83="","",N($F83)+N($G83)+N($H83))</f>
        <v/>
      </c>
      <c r="J83" s="26"/>
      <c r="K83" s="28"/>
      <c r="L83" s="26"/>
      <c r="M83" s="26"/>
      <c r="N83" s="28"/>
      <c r="O83" s="28"/>
    </row>
    <row r="84" customFormat="false" ht="15" hidden="false" customHeight="false" outlineLevel="0" collapsed="false">
      <c r="A84" s="26"/>
      <c r="B84" s="29"/>
      <c r="C84" s="26"/>
      <c r="D84" s="27" t="str">
        <f aca="false">IF($C84="","",IFERROR(INDEX(Invoices!$C$6:$C$505,MATCH($C84,Invoices!$A$6:$A$505,0)),"Invoice not found"))</f>
        <v/>
      </c>
      <c r="E84" s="35" t="str">
        <f aca="false">IF($C84="","",IFERROR(INDEX(Invoices!$L$6:$L$505,MATCH($C84,Invoices!$A$6:$A$505,0)),""))</f>
        <v/>
      </c>
      <c r="F84" s="32"/>
      <c r="G84" s="32"/>
      <c r="H84" s="32"/>
      <c r="I84" s="34" t="str">
        <f aca="false">IF($A84="","",N($F84)+N($G84)+N($H84))</f>
        <v/>
      </c>
      <c r="J84" s="26"/>
      <c r="K84" s="28"/>
      <c r="L84" s="26"/>
      <c r="M84" s="26"/>
      <c r="N84" s="28"/>
      <c r="O84" s="28"/>
    </row>
    <row r="85" customFormat="false" ht="15" hidden="false" customHeight="false" outlineLevel="0" collapsed="false">
      <c r="A85" s="26"/>
      <c r="B85" s="29"/>
      <c r="C85" s="26"/>
      <c r="D85" s="27" t="str">
        <f aca="false">IF($C85="","",IFERROR(INDEX(Invoices!$C$6:$C$505,MATCH($C85,Invoices!$A$6:$A$505,0)),"Invoice not found"))</f>
        <v/>
      </c>
      <c r="E85" s="35" t="str">
        <f aca="false">IF($C85="","",IFERROR(INDEX(Invoices!$L$6:$L$505,MATCH($C85,Invoices!$A$6:$A$505,0)),""))</f>
        <v/>
      </c>
      <c r="F85" s="32"/>
      <c r="G85" s="32"/>
      <c r="H85" s="32"/>
      <c r="I85" s="34" t="str">
        <f aca="false">IF($A85="","",N($F85)+N($G85)+N($H85))</f>
        <v/>
      </c>
      <c r="J85" s="26"/>
      <c r="K85" s="28"/>
      <c r="L85" s="26"/>
      <c r="M85" s="26"/>
      <c r="N85" s="28"/>
      <c r="O85" s="28"/>
    </row>
    <row r="86" customFormat="false" ht="15" hidden="false" customHeight="false" outlineLevel="0" collapsed="false">
      <c r="A86" s="26"/>
      <c r="B86" s="29"/>
      <c r="C86" s="26"/>
      <c r="D86" s="27" t="str">
        <f aca="false">IF($C86="","",IFERROR(INDEX(Invoices!$C$6:$C$505,MATCH($C86,Invoices!$A$6:$A$505,0)),"Invoice not found"))</f>
        <v/>
      </c>
      <c r="E86" s="35" t="str">
        <f aca="false">IF($C86="","",IFERROR(INDEX(Invoices!$L$6:$L$505,MATCH($C86,Invoices!$A$6:$A$505,0)),""))</f>
        <v/>
      </c>
      <c r="F86" s="32"/>
      <c r="G86" s="32"/>
      <c r="H86" s="32"/>
      <c r="I86" s="34" t="str">
        <f aca="false">IF($A86="","",N($F86)+N($G86)+N($H86))</f>
        <v/>
      </c>
      <c r="J86" s="26"/>
      <c r="K86" s="28"/>
      <c r="L86" s="26"/>
      <c r="M86" s="26"/>
      <c r="N86" s="28"/>
      <c r="O86" s="28"/>
    </row>
    <row r="87" customFormat="false" ht="15" hidden="false" customHeight="false" outlineLevel="0" collapsed="false">
      <c r="A87" s="26"/>
      <c r="B87" s="29"/>
      <c r="C87" s="26"/>
      <c r="D87" s="27" t="str">
        <f aca="false">IF($C87="","",IFERROR(INDEX(Invoices!$C$6:$C$505,MATCH($C87,Invoices!$A$6:$A$505,0)),"Invoice not found"))</f>
        <v/>
      </c>
      <c r="E87" s="35" t="str">
        <f aca="false">IF($C87="","",IFERROR(INDEX(Invoices!$L$6:$L$505,MATCH($C87,Invoices!$A$6:$A$505,0)),""))</f>
        <v/>
      </c>
      <c r="F87" s="32"/>
      <c r="G87" s="32"/>
      <c r="H87" s="32"/>
      <c r="I87" s="34" t="str">
        <f aca="false">IF($A87="","",N($F87)+N($G87)+N($H87))</f>
        <v/>
      </c>
      <c r="J87" s="26"/>
      <c r="K87" s="28"/>
      <c r="L87" s="26"/>
      <c r="M87" s="26"/>
      <c r="N87" s="28"/>
      <c r="O87" s="28"/>
    </row>
    <row r="88" customFormat="false" ht="15" hidden="false" customHeight="false" outlineLevel="0" collapsed="false">
      <c r="A88" s="26"/>
      <c r="B88" s="29"/>
      <c r="C88" s="26"/>
      <c r="D88" s="27" t="str">
        <f aca="false">IF($C88="","",IFERROR(INDEX(Invoices!$C$6:$C$505,MATCH($C88,Invoices!$A$6:$A$505,0)),"Invoice not found"))</f>
        <v/>
      </c>
      <c r="E88" s="35" t="str">
        <f aca="false">IF($C88="","",IFERROR(INDEX(Invoices!$L$6:$L$505,MATCH($C88,Invoices!$A$6:$A$505,0)),""))</f>
        <v/>
      </c>
      <c r="F88" s="32"/>
      <c r="G88" s="32"/>
      <c r="H88" s="32"/>
      <c r="I88" s="34" t="str">
        <f aca="false">IF($A88="","",N($F88)+N($G88)+N($H88))</f>
        <v/>
      </c>
      <c r="J88" s="26"/>
      <c r="K88" s="28"/>
      <c r="L88" s="26"/>
      <c r="M88" s="26"/>
      <c r="N88" s="28"/>
      <c r="O88" s="28"/>
    </row>
    <row r="89" customFormat="false" ht="15" hidden="false" customHeight="false" outlineLevel="0" collapsed="false">
      <c r="A89" s="26"/>
      <c r="B89" s="29"/>
      <c r="C89" s="26"/>
      <c r="D89" s="27" t="str">
        <f aca="false">IF($C89="","",IFERROR(INDEX(Invoices!$C$6:$C$505,MATCH($C89,Invoices!$A$6:$A$505,0)),"Invoice not found"))</f>
        <v/>
      </c>
      <c r="E89" s="35" t="str">
        <f aca="false">IF($C89="","",IFERROR(INDEX(Invoices!$L$6:$L$505,MATCH($C89,Invoices!$A$6:$A$505,0)),""))</f>
        <v/>
      </c>
      <c r="F89" s="32"/>
      <c r="G89" s="32"/>
      <c r="H89" s="32"/>
      <c r="I89" s="34" t="str">
        <f aca="false">IF($A89="","",N($F89)+N($G89)+N($H89))</f>
        <v/>
      </c>
      <c r="J89" s="26"/>
      <c r="K89" s="28"/>
      <c r="L89" s="26"/>
      <c r="M89" s="26"/>
      <c r="N89" s="28"/>
      <c r="O89" s="28"/>
    </row>
    <row r="90" customFormat="false" ht="15" hidden="false" customHeight="false" outlineLevel="0" collapsed="false">
      <c r="A90" s="26"/>
      <c r="B90" s="29"/>
      <c r="C90" s="26"/>
      <c r="D90" s="27" t="str">
        <f aca="false">IF($C90="","",IFERROR(INDEX(Invoices!$C$6:$C$505,MATCH($C90,Invoices!$A$6:$A$505,0)),"Invoice not found"))</f>
        <v/>
      </c>
      <c r="E90" s="35" t="str">
        <f aca="false">IF($C90="","",IFERROR(INDEX(Invoices!$L$6:$L$505,MATCH($C90,Invoices!$A$6:$A$505,0)),""))</f>
        <v/>
      </c>
      <c r="F90" s="32"/>
      <c r="G90" s="32"/>
      <c r="H90" s="32"/>
      <c r="I90" s="34" t="str">
        <f aca="false">IF($A90="","",N($F90)+N($G90)+N($H90))</f>
        <v/>
      </c>
      <c r="J90" s="26"/>
      <c r="K90" s="28"/>
      <c r="L90" s="26"/>
      <c r="M90" s="26"/>
      <c r="N90" s="28"/>
      <c r="O90" s="28"/>
    </row>
    <row r="91" customFormat="false" ht="15" hidden="false" customHeight="false" outlineLevel="0" collapsed="false">
      <c r="A91" s="26"/>
      <c r="B91" s="29"/>
      <c r="C91" s="26"/>
      <c r="D91" s="27" t="str">
        <f aca="false">IF($C91="","",IFERROR(INDEX(Invoices!$C$6:$C$505,MATCH($C91,Invoices!$A$6:$A$505,0)),"Invoice not found"))</f>
        <v/>
      </c>
      <c r="E91" s="35" t="str">
        <f aca="false">IF($C91="","",IFERROR(INDEX(Invoices!$L$6:$L$505,MATCH($C91,Invoices!$A$6:$A$505,0)),""))</f>
        <v/>
      </c>
      <c r="F91" s="32"/>
      <c r="G91" s="32"/>
      <c r="H91" s="32"/>
      <c r="I91" s="34" t="str">
        <f aca="false">IF($A91="","",N($F91)+N($G91)+N($H91))</f>
        <v/>
      </c>
      <c r="J91" s="26"/>
      <c r="K91" s="28"/>
      <c r="L91" s="26"/>
      <c r="M91" s="26"/>
      <c r="N91" s="28"/>
      <c r="O91" s="28"/>
    </row>
    <row r="92" customFormat="false" ht="15" hidden="false" customHeight="false" outlineLevel="0" collapsed="false">
      <c r="A92" s="26"/>
      <c r="B92" s="29"/>
      <c r="C92" s="26"/>
      <c r="D92" s="27" t="str">
        <f aca="false">IF($C92="","",IFERROR(INDEX(Invoices!$C$6:$C$505,MATCH($C92,Invoices!$A$6:$A$505,0)),"Invoice not found"))</f>
        <v/>
      </c>
      <c r="E92" s="35" t="str">
        <f aca="false">IF($C92="","",IFERROR(INDEX(Invoices!$L$6:$L$505,MATCH($C92,Invoices!$A$6:$A$505,0)),""))</f>
        <v/>
      </c>
      <c r="F92" s="32"/>
      <c r="G92" s="32"/>
      <c r="H92" s="32"/>
      <c r="I92" s="34" t="str">
        <f aca="false">IF($A92="","",N($F92)+N($G92)+N($H92))</f>
        <v/>
      </c>
      <c r="J92" s="26"/>
      <c r="K92" s="28"/>
      <c r="L92" s="26"/>
      <c r="M92" s="26"/>
      <c r="N92" s="28"/>
      <c r="O92" s="28"/>
    </row>
    <row r="93" customFormat="false" ht="15" hidden="false" customHeight="false" outlineLevel="0" collapsed="false">
      <c r="A93" s="26"/>
      <c r="B93" s="29"/>
      <c r="C93" s="26"/>
      <c r="D93" s="27" t="str">
        <f aca="false">IF($C93="","",IFERROR(INDEX(Invoices!$C$6:$C$505,MATCH($C93,Invoices!$A$6:$A$505,0)),"Invoice not found"))</f>
        <v/>
      </c>
      <c r="E93" s="35" t="str">
        <f aca="false">IF($C93="","",IFERROR(INDEX(Invoices!$L$6:$L$505,MATCH($C93,Invoices!$A$6:$A$505,0)),""))</f>
        <v/>
      </c>
      <c r="F93" s="32"/>
      <c r="G93" s="32"/>
      <c r="H93" s="32"/>
      <c r="I93" s="34" t="str">
        <f aca="false">IF($A93="","",N($F93)+N($G93)+N($H93))</f>
        <v/>
      </c>
      <c r="J93" s="26"/>
      <c r="K93" s="28"/>
      <c r="L93" s="26"/>
      <c r="M93" s="26"/>
      <c r="N93" s="28"/>
      <c r="O93" s="28"/>
    </row>
    <row r="94" customFormat="false" ht="15" hidden="false" customHeight="false" outlineLevel="0" collapsed="false">
      <c r="A94" s="26"/>
      <c r="B94" s="29"/>
      <c r="C94" s="26"/>
      <c r="D94" s="27" t="str">
        <f aca="false">IF($C94="","",IFERROR(INDEX(Invoices!$C$6:$C$505,MATCH($C94,Invoices!$A$6:$A$505,0)),"Invoice not found"))</f>
        <v/>
      </c>
      <c r="E94" s="35" t="str">
        <f aca="false">IF($C94="","",IFERROR(INDEX(Invoices!$L$6:$L$505,MATCH($C94,Invoices!$A$6:$A$505,0)),""))</f>
        <v/>
      </c>
      <c r="F94" s="32"/>
      <c r="G94" s="32"/>
      <c r="H94" s="32"/>
      <c r="I94" s="34" t="str">
        <f aca="false">IF($A94="","",N($F94)+N($G94)+N($H94))</f>
        <v/>
      </c>
      <c r="J94" s="26"/>
      <c r="K94" s="28"/>
      <c r="L94" s="26"/>
      <c r="M94" s="26"/>
      <c r="N94" s="28"/>
      <c r="O94" s="28"/>
    </row>
    <row r="95" customFormat="false" ht="15" hidden="false" customHeight="false" outlineLevel="0" collapsed="false">
      <c r="A95" s="26"/>
      <c r="B95" s="29"/>
      <c r="C95" s="26"/>
      <c r="D95" s="27" t="str">
        <f aca="false">IF($C95="","",IFERROR(INDEX(Invoices!$C$6:$C$505,MATCH($C95,Invoices!$A$6:$A$505,0)),"Invoice not found"))</f>
        <v/>
      </c>
      <c r="E95" s="35" t="str">
        <f aca="false">IF($C95="","",IFERROR(INDEX(Invoices!$L$6:$L$505,MATCH($C95,Invoices!$A$6:$A$505,0)),""))</f>
        <v/>
      </c>
      <c r="F95" s="32"/>
      <c r="G95" s="32"/>
      <c r="H95" s="32"/>
      <c r="I95" s="34" t="str">
        <f aca="false">IF($A95="","",N($F95)+N($G95)+N($H95))</f>
        <v/>
      </c>
      <c r="J95" s="26"/>
      <c r="K95" s="28"/>
      <c r="L95" s="26"/>
      <c r="M95" s="26"/>
      <c r="N95" s="28"/>
      <c r="O95" s="28"/>
    </row>
    <row r="96" customFormat="false" ht="15" hidden="false" customHeight="false" outlineLevel="0" collapsed="false">
      <c r="A96" s="26"/>
      <c r="B96" s="29"/>
      <c r="C96" s="26"/>
      <c r="D96" s="27" t="str">
        <f aca="false">IF($C96="","",IFERROR(INDEX(Invoices!$C$6:$C$505,MATCH($C96,Invoices!$A$6:$A$505,0)),"Invoice not found"))</f>
        <v/>
      </c>
      <c r="E96" s="35" t="str">
        <f aca="false">IF($C96="","",IFERROR(INDEX(Invoices!$L$6:$L$505,MATCH($C96,Invoices!$A$6:$A$505,0)),""))</f>
        <v/>
      </c>
      <c r="F96" s="32"/>
      <c r="G96" s="32"/>
      <c r="H96" s="32"/>
      <c r="I96" s="34" t="str">
        <f aca="false">IF($A96="","",N($F96)+N($G96)+N($H96))</f>
        <v/>
      </c>
      <c r="J96" s="26"/>
      <c r="K96" s="28"/>
      <c r="L96" s="26"/>
      <c r="M96" s="26"/>
      <c r="N96" s="28"/>
      <c r="O96" s="28"/>
    </row>
    <row r="97" customFormat="false" ht="15" hidden="false" customHeight="false" outlineLevel="0" collapsed="false">
      <c r="A97" s="26"/>
      <c r="B97" s="29"/>
      <c r="C97" s="26"/>
      <c r="D97" s="27" t="str">
        <f aca="false">IF($C97="","",IFERROR(INDEX(Invoices!$C$6:$C$505,MATCH($C97,Invoices!$A$6:$A$505,0)),"Invoice not found"))</f>
        <v/>
      </c>
      <c r="E97" s="35" t="str">
        <f aca="false">IF($C97="","",IFERROR(INDEX(Invoices!$L$6:$L$505,MATCH($C97,Invoices!$A$6:$A$505,0)),""))</f>
        <v/>
      </c>
      <c r="F97" s="32"/>
      <c r="G97" s="32"/>
      <c r="H97" s="32"/>
      <c r="I97" s="34" t="str">
        <f aca="false">IF($A97="","",N($F97)+N($G97)+N($H97))</f>
        <v/>
      </c>
      <c r="J97" s="26"/>
      <c r="K97" s="28"/>
      <c r="L97" s="26"/>
      <c r="M97" s="26"/>
      <c r="N97" s="28"/>
      <c r="O97" s="28"/>
    </row>
    <row r="98" customFormat="false" ht="15" hidden="false" customHeight="false" outlineLevel="0" collapsed="false">
      <c r="A98" s="26"/>
      <c r="B98" s="29"/>
      <c r="C98" s="26"/>
      <c r="D98" s="27" t="str">
        <f aca="false">IF($C98="","",IFERROR(INDEX(Invoices!$C$6:$C$505,MATCH($C98,Invoices!$A$6:$A$505,0)),"Invoice not found"))</f>
        <v/>
      </c>
      <c r="E98" s="35" t="str">
        <f aca="false">IF($C98="","",IFERROR(INDEX(Invoices!$L$6:$L$505,MATCH($C98,Invoices!$A$6:$A$505,0)),""))</f>
        <v/>
      </c>
      <c r="F98" s="32"/>
      <c r="G98" s="32"/>
      <c r="H98" s="32"/>
      <c r="I98" s="34" t="str">
        <f aca="false">IF($A98="","",N($F98)+N($G98)+N($H98))</f>
        <v/>
      </c>
      <c r="J98" s="26"/>
      <c r="K98" s="28"/>
      <c r="L98" s="26"/>
      <c r="M98" s="26"/>
      <c r="N98" s="28"/>
      <c r="O98" s="28"/>
    </row>
    <row r="99" customFormat="false" ht="15" hidden="false" customHeight="false" outlineLevel="0" collapsed="false">
      <c r="A99" s="26"/>
      <c r="B99" s="29"/>
      <c r="C99" s="26"/>
      <c r="D99" s="27" t="str">
        <f aca="false">IF($C99="","",IFERROR(INDEX(Invoices!$C$6:$C$505,MATCH($C99,Invoices!$A$6:$A$505,0)),"Invoice not found"))</f>
        <v/>
      </c>
      <c r="E99" s="35" t="str">
        <f aca="false">IF($C99="","",IFERROR(INDEX(Invoices!$L$6:$L$505,MATCH($C99,Invoices!$A$6:$A$505,0)),""))</f>
        <v/>
      </c>
      <c r="F99" s="32"/>
      <c r="G99" s="32"/>
      <c r="H99" s="32"/>
      <c r="I99" s="34" t="str">
        <f aca="false">IF($A99="","",N($F99)+N($G99)+N($H99))</f>
        <v/>
      </c>
      <c r="J99" s="26"/>
      <c r="K99" s="28"/>
      <c r="L99" s="26"/>
      <c r="M99" s="26"/>
      <c r="N99" s="28"/>
      <c r="O99" s="28"/>
    </row>
    <row r="100" customFormat="false" ht="15" hidden="false" customHeight="false" outlineLevel="0" collapsed="false">
      <c r="A100" s="26"/>
      <c r="B100" s="29"/>
      <c r="C100" s="26"/>
      <c r="D100" s="27" t="str">
        <f aca="false">IF($C100="","",IFERROR(INDEX(Invoices!$C$6:$C$505,MATCH($C100,Invoices!$A$6:$A$505,0)),"Invoice not found"))</f>
        <v/>
      </c>
      <c r="E100" s="35" t="str">
        <f aca="false">IF($C100="","",IFERROR(INDEX(Invoices!$L$6:$L$505,MATCH($C100,Invoices!$A$6:$A$505,0)),""))</f>
        <v/>
      </c>
      <c r="F100" s="32"/>
      <c r="G100" s="32"/>
      <c r="H100" s="32"/>
      <c r="I100" s="34" t="str">
        <f aca="false">IF($A100="","",N($F100)+N($G100)+N($H100))</f>
        <v/>
      </c>
      <c r="J100" s="26"/>
      <c r="K100" s="28"/>
      <c r="L100" s="26"/>
      <c r="M100" s="26"/>
      <c r="N100" s="28"/>
      <c r="O100" s="28"/>
    </row>
    <row r="101" customFormat="false" ht="15" hidden="false" customHeight="false" outlineLevel="0" collapsed="false">
      <c r="A101" s="26"/>
      <c r="B101" s="29"/>
      <c r="C101" s="26"/>
      <c r="D101" s="27" t="str">
        <f aca="false">IF($C101="","",IFERROR(INDEX(Invoices!$C$6:$C$505,MATCH($C101,Invoices!$A$6:$A$505,0)),"Invoice not found"))</f>
        <v/>
      </c>
      <c r="E101" s="35" t="str">
        <f aca="false">IF($C101="","",IFERROR(INDEX(Invoices!$L$6:$L$505,MATCH($C101,Invoices!$A$6:$A$505,0)),""))</f>
        <v/>
      </c>
      <c r="F101" s="32"/>
      <c r="G101" s="32"/>
      <c r="H101" s="32"/>
      <c r="I101" s="34" t="str">
        <f aca="false">IF($A101="","",N($F101)+N($G101)+N($H101))</f>
        <v/>
      </c>
      <c r="J101" s="26"/>
      <c r="K101" s="28"/>
      <c r="L101" s="26"/>
      <c r="M101" s="26"/>
      <c r="N101" s="28"/>
      <c r="O101" s="28"/>
    </row>
    <row r="102" customFormat="false" ht="15" hidden="false" customHeight="false" outlineLevel="0" collapsed="false">
      <c r="A102" s="26"/>
      <c r="B102" s="29"/>
      <c r="C102" s="26"/>
      <c r="D102" s="27" t="str">
        <f aca="false">IF($C102="","",IFERROR(INDEX(Invoices!$C$6:$C$505,MATCH($C102,Invoices!$A$6:$A$505,0)),"Invoice not found"))</f>
        <v/>
      </c>
      <c r="E102" s="35" t="str">
        <f aca="false">IF($C102="","",IFERROR(INDEX(Invoices!$L$6:$L$505,MATCH($C102,Invoices!$A$6:$A$505,0)),""))</f>
        <v/>
      </c>
      <c r="F102" s="32"/>
      <c r="G102" s="32"/>
      <c r="H102" s="32"/>
      <c r="I102" s="34" t="str">
        <f aca="false">IF($A102="","",N($F102)+N($G102)+N($H102))</f>
        <v/>
      </c>
      <c r="J102" s="26"/>
      <c r="K102" s="28"/>
      <c r="L102" s="26"/>
      <c r="M102" s="26"/>
      <c r="N102" s="28"/>
      <c r="O102" s="28"/>
    </row>
    <row r="103" customFormat="false" ht="15" hidden="false" customHeight="false" outlineLevel="0" collapsed="false">
      <c r="A103" s="26"/>
      <c r="B103" s="29"/>
      <c r="C103" s="26"/>
      <c r="D103" s="27" t="str">
        <f aca="false">IF($C103="","",IFERROR(INDEX(Invoices!$C$6:$C$505,MATCH($C103,Invoices!$A$6:$A$505,0)),"Invoice not found"))</f>
        <v/>
      </c>
      <c r="E103" s="35" t="str">
        <f aca="false">IF($C103="","",IFERROR(INDEX(Invoices!$L$6:$L$505,MATCH($C103,Invoices!$A$6:$A$505,0)),""))</f>
        <v/>
      </c>
      <c r="F103" s="32"/>
      <c r="G103" s="32"/>
      <c r="H103" s="32"/>
      <c r="I103" s="34" t="str">
        <f aca="false">IF($A103="","",N($F103)+N($G103)+N($H103))</f>
        <v/>
      </c>
      <c r="J103" s="26"/>
      <c r="K103" s="28"/>
      <c r="L103" s="26"/>
      <c r="M103" s="26"/>
      <c r="N103" s="28"/>
      <c r="O103" s="28"/>
    </row>
    <row r="104" customFormat="false" ht="15" hidden="false" customHeight="false" outlineLevel="0" collapsed="false">
      <c r="A104" s="26"/>
      <c r="B104" s="29"/>
      <c r="C104" s="26"/>
      <c r="D104" s="27" t="str">
        <f aca="false">IF($C104="","",IFERROR(INDEX(Invoices!$C$6:$C$505,MATCH($C104,Invoices!$A$6:$A$505,0)),"Invoice not found"))</f>
        <v/>
      </c>
      <c r="E104" s="35" t="str">
        <f aca="false">IF($C104="","",IFERROR(INDEX(Invoices!$L$6:$L$505,MATCH($C104,Invoices!$A$6:$A$505,0)),""))</f>
        <v/>
      </c>
      <c r="F104" s="32"/>
      <c r="G104" s="32"/>
      <c r="H104" s="32"/>
      <c r="I104" s="34" t="str">
        <f aca="false">IF($A104="","",N($F104)+N($G104)+N($H104))</f>
        <v/>
      </c>
      <c r="J104" s="26"/>
      <c r="K104" s="28"/>
      <c r="L104" s="26"/>
      <c r="M104" s="26"/>
      <c r="N104" s="28"/>
      <c r="O104" s="28"/>
    </row>
    <row r="105" customFormat="false" ht="15" hidden="false" customHeight="false" outlineLevel="0" collapsed="false">
      <c r="A105" s="26"/>
      <c r="B105" s="29"/>
      <c r="C105" s="26"/>
      <c r="D105" s="27" t="str">
        <f aca="false">IF($C105="","",IFERROR(INDEX(Invoices!$C$6:$C$505,MATCH($C105,Invoices!$A$6:$A$505,0)),"Invoice not found"))</f>
        <v/>
      </c>
      <c r="E105" s="35" t="str">
        <f aca="false">IF($C105="","",IFERROR(INDEX(Invoices!$L$6:$L$505,MATCH($C105,Invoices!$A$6:$A$505,0)),""))</f>
        <v/>
      </c>
      <c r="F105" s="32"/>
      <c r="G105" s="32"/>
      <c r="H105" s="32"/>
      <c r="I105" s="34" t="str">
        <f aca="false">IF($A105="","",N($F105)+N($G105)+N($H105))</f>
        <v/>
      </c>
      <c r="J105" s="26"/>
      <c r="K105" s="28"/>
      <c r="L105" s="26"/>
      <c r="M105" s="26"/>
      <c r="N105" s="28"/>
      <c r="O105" s="28"/>
    </row>
    <row r="106" customFormat="false" ht="15" hidden="false" customHeight="false" outlineLevel="0" collapsed="false">
      <c r="A106" s="26"/>
      <c r="B106" s="29"/>
      <c r="C106" s="26"/>
      <c r="D106" s="27" t="str">
        <f aca="false">IF($C106="","",IFERROR(INDEX(Invoices!$C$6:$C$505,MATCH($C106,Invoices!$A$6:$A$505,0)),"Invoice not found"))</f>
        <v/>
      </c>
      <c r="E106" s="35" t="str">
        <f aca="false">IF($C106="","",IFERROR(INDEX(Invoices!$L$6:$L$505,MATCH($C106,Invoices!$A$6:$A$505,0)),""))</f>
        <v/>
      </c>
      <c r="F106" s="32"/>
      <c r="G106" s="32"/>
      <c r="H106" s="32"/>
      <c r="I106" s="34" t="str">
        <f aca="false">IF($A106="","",N($F106)+N($G106)+N($H106))</f>
        <v/>
      </c>
      <c r="J106" s="26"/>
      <c r="K106" s="28"/>
      <c r="L106" s="26"/>
      <c r="M106" s="26"/>
      <c r="N106" s="28"/>
      <c r="O106" s="28"/>
    </row>
    <row r="107" customFormat="false" ht="15" hidden="false" customHeight="false" outlineLevel="0" collapsed="false">
      <c r="A107" s="26"/>
      <c r="B107" s="29"/>
      <c r="C107" s="26"/>
      <c r="D107" s="27" t="str">
        <f aca="false">IF($C107="","",IFERROR(INDEX(Invoices!$C$6:$C$505,MATCH($C107,Invoices!$A$6:$A$505,0)),"Invoice not found"))</f>
        <v/>
      </c>
      <c r="E107" s="35" t="str">
        <f aca="false">IF($C107="","",IFERROR(INDEX(Invoices!$L$6:$L$505,MATCH($C107,Invoices!$A$6:$A$505,0)),""))</f>
        <v/>
      </c>
      <c r="F107" s="32"/>
      <c r="G107" s="32"/>
      <c r="H107" s="32"/>
      <c r="I107" s="34" t="str">
        <f aca="false">IF($A107="","",N($F107)+N($G107)+N($H107))</f>
        <v/>
      </c>
      <c r="J107" s="26"/>
      <c r="K107" s="28"/>
      <c r="L107" s="26"/>
      <c r="M107" s="26"/>
      <c r="N107" s="28"/>
      <c r="O107" s="28"/>
    </row>
    <row r="108" customFormat="false" ht="15" hidden="false" customHeight="false" outlineLevel="0" collapsed="false">
      <c r="A108" s="26"/>
      <c r="B108" s="29"/>
      <c r="C108" s="26"/>
      <c r="D108" s="27" t="str">
        <f aca="false">IF($C108="","",IFERROR(INDEX(Invoices!$C$6:$C$505,MATCH($C108,Invoices!$A$6:$A$505,0)),"Invoice not found"))</f>
        <v/>
      </c>
      <c r="E108" s="35" t="str">
        <f aca="false">IF($C108="","",IFERROR(INDEX(Invoices!$L$6:$L$505,MATCH($C108,Invoices!$A$6:$A$505,0)),""))</f>
        <v/>
      </c>
      <c r="F108" s="32"/>
      <c r="G108" s="32"/>
      <c r="H108" s="32"/>
      <c r="I108" s="34" t="str">
        <f aca="false">IF($A108="","",N($F108)+N($G108)+N($H108))</f>
        <v/>
      </c>
      <c r="J108" s="26"/>
      <c r="K108" s="28"/>
      <c r="L108" s="26"/>
      <c r="M108" s="26"/>
      <c r="N108" s="28"/>
      <c r="O108" s="28"/>
    </row>
    <row r="109" customFormat="false" ht="15" hidden="false" customHeight="false" outlineLevel="0" collapsed="false">
      <c r="A109" s="26"/>
      <c r="B109" s="29"/>
      <c r="C109" s="26"/>
      <c r="D109" s="27" t="str">
        <f aca="false">IF($C109="","",IFERROR(INDEX(Invoices!$C$6:$C$505,MATCH($C109,Invoices!$A$6:$A$505,0)),"Invoice not found"))</f>
        <v/>
      </c>
      <c r="E109" s="35" t="str">
        <f aca="false">IF($C109="","",IFERROR(INDEX(Invoices!$L$6:$L$505,MATCH($C109,Invoices!$A$6:$A$505,0)),""))</f>
        <v/>
      </c>
      <c r="F109" s="32"/>
      <c r="G109" s="32"/>
      <c r="H109" s="32"/>
      <c r="I109" s="34" t="str">
        <f aca="false">IF($A109="","",N($F109)+N($G109)+N($H109))</f>
        <v/>
      </c>
      <c r="J109" s="26"/>
      <c r="K109" s="28"/>
      <c r="L109" s="26"/>
      <c r="M109" s="26"/>
      <c r="N109" s="28"/>
      <c r="O109" s="28"/>
    </row>
    <row r="110" customFormat="false" ht="15" hidden="false" customHeight="false" outlineLevel="0" collapsed="false">
      <c r="A110" s="26"/>
      <c r="B110" s="29"/>
      <c r="C110" s="26"/>
      <c r="D110" s="27" t="str">
        <f aca="false">IF($C110="","",IFERROR(INDEX(Invoices!$C$6:$C$505,MATCH($C110,Invoices!$A$6:$A$505,0)),"Invoice not found"))</f>
        <v/>
      </c>
      <c r="E110" s="35" t="str">
        <f aca="false">IF($C110="","",IFERROR(INDEX(Invoices!$L$6:$L$505,MATCH($C110,Invoices!$A$6:$A$505,0)),""))</f>
        <v/>
      </c>
      <c r="F110" s="32"/>
      <c r="G110" s="32"/>
      <c r="H110" s="32"/>
      <c r="I110" s="34" t="str">
        <f aca="false">IF($A110="","",N($F110)+N($G110)+N($H110))</f>
        <v/>
      </c>
      <c r="J110" s="26"/>
      <c r="K110" s="28"/>
      <c r="L110" s="26"/>
      <c r="M110" s="26"/>
      <c r="N110" s="28"/>
      <c r="O110" s="28"/>
    </row>
    <row r="111" customFormat="false" ht="15" hidden="false" customHeight="false" outlineLevel="0" collapsed="false">
      <c r="A111" s="26"/>
      <c r="B111" s="29"/>
      <c r="C111" s="26"/>
      <c r="D111" s="27" t="str">
        <f aca="false">IF($C111="","",IFERROR(INDEX(Invoices!$C$6:$C$505,MATCH($C111,Invoices!$A$6:$A$505,0)),"Invoice not found"))</f>
        <v/>
      </c>
      <c r="E111" s="35" t="str">
        <f aca="false">IF($C111="","",IFERROR(INDEX(Invoices!$L$6:$L$505,MATCH($C111,Invoices!$A$6:$A$505,0)),""))</f>
        <v/>
      </c>
      <c r="F111" s="32"/>
      <c r="G111" s="32"/>
      <c r="H111" s="32"/>
      <c r="I111" s="34" t="str">
        <f aca="false">IF($A111="","",N($F111)+N($G111)+N($H111))</f>
        <v/>
      </c>
      <c r="J111" s="26"/>
      <c r="K111" s="28"/>
      <c r="L111" s="26"/>
      <c r="M111" s="26"/>
      <c r="N111" s="28"/>
      <c r="O111" s="28"/>
    </row>
    <row r="112" customFormat="false" ht="15" hidden="false" customHeight="false" outlineLevel="0" collapsed="false">
      <c r="A112" s="26"/>
      <c r="B112" s="29"/>
      <c r="C112" s="26"/>
      <c r="D112" s="27" t="str">
        <f aca="false">IF($C112="","",IFERROR(INDEX(Invoices!$C$6:$C$505,MATCH($C112,Invoices!$A$6:$A$505,0)),"Invoice not found"))</f>
        <v/>
      </c>
      <c r="E112" s="35" t="str">
        <f aca="false">IF($C112="","",IFERROR(INDEX(Invoices!$L$6:$L$505,MATCH($C112,Invoices!$A$6:$A$505,0)),""))</f>
        <v/>
      </c>
      <c r="F112" s="32"/>
      <c r="G112" s="32"/>
      <c r="H112" s="32"/>
      <c r="I112" s="34" t="str">
        <f aca="false">IF($A112="","",N($F112)+N($G112)+N($H112))</f>
        <v/>
      </c>
      <c r="J112" s="26"/>
      <c r="K112" s="28"/>
      <c r="L112" s="26"/>
      <c r="M112" s="26"/>
      <c r="N112" s="28"/>
      <c r="O112" s="28"/>
    </row>
    <row r="113" customFormat="false" ht="15" hidden="false" customHeight="false" outlineLevel="0" collapsed="false">
      <c r="A113" s="26"/>
      <c r="B113" s="29"/>
      <c r="C113" s="26"/>
      <c r="D113" s="27" t="str">
        <f aca="false">IF($C113="","",IFERROR(INDEX(Invoices!$C$6:$C$505,MATCH($C113,Invoices!$A$6:$A$505,0)),"Invoice not found"))</f>
        <v/>
      </c>
      <c r="E113" s="35" t="str">
        <f aca="false">IF($C113="","",IFERROR(INDEX(Invoices!$L$6:$L$505,MATCH($C113,Invoices!$A$6:$A$505,0)),""))</f>
        <v/>
      </c>
      <c r="F113" s="32"/>
      <c r="G113" s="32"/>
      <c r="H113" s="32"/>
      <c r="I113" s="34" t="str">
        <f aca="false">IF($A113="","",N($F113)+N($G113)+N($H113))</f>
        <v/>
      </c>
      <c r="J113" s="26"/>
      <c r="K113" s="28"/>
      <c r="L113" s="26"/>
      <c r="M113" s="26"/>
      <c r="N113" s="28"/>
      <c r="O113" s="28"/>
    </row>
    <row r="114" customFormat="false" ht="15" hidden="false" customHeight="false" outlineLevel="0" collapsed="false">
      <c r="A114" s="26"/>
      <c r="B114" s="29"/>
      <c r="C114" s="26"/>
      <c r="D114" s="27" t="str">
        <f aca="false">IF($C114="","",IFERROR(INDEX(Invoices!$C$6:$C$505,MATCH($C114,Invoices!$A$6:$A$505,0)),"Invoice not found"))</f>
        <v/>
      </c>
      <c r="E114" s="35" t="str">
        <f aca="false">IF($C114="","",IFERROR(INDEX(Invoices!$L$6:$L$505,MATCH($C114,Invoices!$A$6:$A$505,0)),""))</f>
        <v/>
      </c>
      <c r="F114" s="32"/>
      <c r="G114" s="32"/>
      <c r="H114" s="32"/>
      <c r="I114" s="34" t="str">
        <f aca="false">IF($A114="","",N($F114)+N($G114)+N($H114))</f>
        <v/>
      </c>
      <c r="J114" s="26"/>
      <c r="K114" s="28"/>
      <c r="L114" s="26"/>
      <c r="M114" s="26"/>
      <c r="N114" s="28"/>
      <c r="O114" s="28"/>
    </row>
    <row r="115" customFormat="false" ht="15" hidden="false" customHeight="false" outlineLevel="0" collapsed="false">
      <c r="A115" s="26"/>
      <c r="B115" s="29"/>
      <c r="C115" s="26"/>
      <c r="D115" s="27" t="str">
        <f aca="false">IF($C115="","",IFERROR(INDEX(Invoices!$C$6:$C$505,MATCH($C115,Invoices!$A$6:$A$505,0)),"Invoice not found"))</f>
        <v/>
      </c>
      <c r="E115" s="35" t="str">
        <f aca="false">IF($C115="","",IFERROR(INDEX(Invoices!$L$6:$L$505,MATCH($C115,Invoices!$A$6:$A$505,0)),""))</f>
        <v/>
      </c>
      <c r="F115" s="32"/>
      <c r="G115" s="32"/>
      <c r="H115" s="32"/>
      <c r="I115" s="34" t="str">
        <f aca="false">IF($A115="","",N($F115)+N($G115)+N($H115))</f>
        <v/>
      </c>
      <c r="J115" s="26"/>
      <c r="K115" s="28"/>
      <c r="L115" s="26"/>
      <c r="M115" s="26"/>
      <c r="N115" s="28"/>
      <c r="O115" s="28"/>
    </row>
    <row r="116" customFormat="false" ht="15" hidden="false" customHeight="false" outlineLevel="0" collapsed="false">
      <c r="A116" s="26"/>
      <c r="B116" s="29"/>
      <c r="C116" s="26"/>
      <c r="D116" s="27" t="str">
        <f aca="false">IF($C116="","",IFERROR(INDEX(Invoices!$C$6:$C$505,MATCH($C116,Invoices!$A$6:$A$505,0)),"Invoice not found"))</f>
        <v/>
      </c>
      <c r="E116" s="35" t="str">
        <f aca="false">IF($C116="","",IFERROR(INDEX(Invoices!$L$6:$L$505,MATCH($C116,Invoices!$A$6:$A$505,0)),""))</f>
        <v/>
      </c>
      <c r="F116" s="32"/>
      <c r="G116" s="32"/>
      <c r="H116" s="32"/>
      <c r="I116" s="34" t="str">
        <f aca="false">IF($A116="","",N($F116)+N($G116)+N($H116))</f>
        <v/>
      </c>
      <c r="J116" s="26"/>
      <c r="K116" s="28"/>
      <c r="L116" s="26"/>
      <c r="M116" s="26"/>
      <c r="N116" s="28"/>
      <c r="O116" s="28"/>
    </row>
    <row r="117" customFormat="false" ht="15" hidden="false" customHeight="false" outlineLevel="0" collapsed="false">
      <c r="A117" s="26"/>
      <c r="B117" s="29"/>
      <c r="C117" s="26"/>
      <c r="D117" s="27" t="str">
        <f aca="false">IF($C117="","",IFERROR(INDEX(Invoices!$C$6:$C$505,MATCH($C117,Invoices!$A$6:$A$505,0)),"Invoice not found"))</f>
        <v/>
      </c>
      <c r="E117" s="35" t="str">
        <f aca="false">IF($C117="","",IFERROR(INDEX(Invoices!$L$6:$L$505,MATCH($C117,Invoices!$A$6:$A$505,0)),""))</f>
        <v/>
      </c>
      <c r="F117" s="32"/>
      <c r="G117" s="32"/>
      <c r="H117" s="32"/>
      <c r="I117" s="34" t="str">
        <f aca="false">IF($A117="","",N($F117)+N($G117)+N($H117))</f>
        <v/>
      </c>
      <c r="J117" s="26"/>
      <c r="K117" s="28"/>
      <c r="L117" s="26"/>
      <c r="M117" s="26"/>
      <c r="N117" s="28"/>
      <c r="O117" s="28"/>
    </row>
    <row r="118" customFormat="false" ht="15" hidden="false" customHeight="false" outlineLevel="0" collapsed="false">
      <c r="A118" s="26"/>
      <c r="B118" s="29"/>
      <c r="C118" s="26"/>
      <c r="D118" s="27" t="str">
        <f aca="false">IF($C118="","",IFERROR(INDEX(Invoices!$C$6:$C$505,MATCH($C118,Invoices!$A$6:$A$505,0)),"Invoice not found"))</f>
        <v/>
      </c>
      <c r="E118" s="35" t="str">
        <f aca="false">IF($C118="","",IFERROR(INDEX(Invoices!$L$6:$L$505,MATCH($C118,Invoices!$A$6:$A$505,0)),""))</f>
        <v/>
      </c>
      <c r="F118" s="32"/>
      <c r="G118" s="32"/>
      <c r="H118" s="32"/>
      <c r="I118" s="34" t="str">
        <f aca="false">IF($A118="","",N($F118)+N($G118)+N($H118))</f>
        <v/>
      </c>
      <c r="J118" s="26"/>
      <c r="K118" s="28"/>
      <c r="L118" s="26"/>
      <c r="M118" s="26"/>
      <c r="N118" s="28"/>
      <c r="O118" s="28"/>
    </row>
    <row r="119" customFormat="false" ht="15" hidden="false" customHeight="false" outlineLevel="0" collapsed="false">
      <c r="A119" s="26"/>
      <c r="B119" s="29"/>
      <c r="C119" s="26"/>
      <c r="D119" s="27" t="str">
        <f aca="false">IF($C119="","",IFERROR(INDEX(Invoices!$C$6:$C$505,MATCH($C119,Invoices!$A$6:$A$505,0)),"Invoice not found"))</f>
        <v/>
      </c>
      <c r="E119" s="35" t="str">
        <f aca="false">IF($C119="","",IFERROR(INDEX(Invoices!$L$6:$L$505,MATCH($C119,Invoices!$A$6:$A$505,0)),""))</f>
        <v/>
      </c>
      <c r="F119" s="32"/>
      <c r="G119" s="32"/>
      <c r="H119" s="32"/>
      <c r="I119" s="34" t="str">
        <f aca="false">IF($A119="","",N($F119)+N($G119)+N($H119))</f>
        <v/>
      </c>
      <c r="J119" s="26"/>
      <c r="K119" s="28"/>
      <c r="L119" s="26"/>
      <c r="M119" s="26"/>
      <c r="N119" s="28"/>
      <c r="O119" s="28"/>
    </row>
    <row r="120" customFormat="false" ht="15" hidden="false" customHeight="false" outlineLevel="0" collapsed="false">
      <c r="A120" s="26"/>
      <c r="B120" s="29"/>
      <c r="C120" s="26"/>
      <c r="D120" s="27" t="str">
        <f aca="false">IF($C120="","",IFERROR(INDEX(Invoices!$C$6:$C$505,MATCH($C120,Invoices!$A$6:$A$505,0)),"Invoice not found"))</f>
        <v/>
      </c>
      <c r="E120" s="35" t="str">
        <f aca="false">IF($C120="","",IFERROR(INDEX(Invoices!$L$6:$L$505,MATCH($C120,Invoices!$A$6:$A$505,0)),""))</f>
        <v/>
      </c>
      <c r="F120" s="32"/>
      <c r="G120" s="32"/>
      <c r="H120" s="32"/>
      <c r="I120" s="34" t="str">
        <f aca="false">IF($A120="","",N($F120)+N($G120)+N($H120))</f>
        <v/>
      </c>
      <c r="J120" s="26"/>
      <c r="K120" s="28"/>
      <c r="L120" s="26"/>
      <c r="M120" s="26"/>
      <c r="N120" s="28"/>
      <c r="O120" s="28"/>
    </row>
    <row r="121" customFormat="false" ht="15" hidden="false" customHeight="false" outlineLevel="0" collapsed="false">
      <c r="A121" s="26"/>
      <c r="B121" s="29"/>
      <c r="C121" s="26"/>
      <c r="D121" s="27" t="str">
        <f aca="false">IF($C121="","",IFERROR(INDEX(Invoices!$C$6:$C$505,MATCH($C121,Invoices!$A$6:$A$505,0)),"Invoice not found"))</f>
        <v/>
      </c>
      <c r="E121" s="35" t="str">
        <f aca="false">IF($C121="","",IFERROR(INDEX(Invoices!$L$6:$L$505,MATCH($C121,Invoices!$A$6:$A$505,0)),""))</f>
        <v/>
      </c>
      <c r="F121" s="32"/>
      <c r="G121" s="32"/>
      <c r="H121" s="32"/>
      <c r="I121" s="34" t="str">
        <f aca="false">IF($A121="","",N($F121)+N($G121)+N($H121))</f>
        <v/>
      </c>
      <c r="J121" s="26"/>
      <c r="K121" s="28"/>
      <c r="L121" s="26"/>
      <c r="M121" s="26"/>
      <c r="N121" s="28"/>
      <c r="O121" s="28"/>
    </row>
    <row r="122" customFormat="false" ht="15" hidden="false" customHeight="false" outlineLevel="0" collapsed="false">
      <c r="A122" s="26"/>
      <c r="B122" s="29"/>
      <c r="C122" s="26"/>
      <c r="D122" s="27" t="str">
        <f aca="false">IF($C122="","",IFERROR(INDEX(Invoices!$C$6:$C$505,MATCH($C122,Invoices!$A$6:$A$505,0)),"Invoice not found"))</f>
        <v/>
      </c>
      <c r="E122" s="35" t="str">
        <f aca="false">IF($C122="","",IFERROR(INDEX(Invoices!$L$6:$L$505,MATCH($C122,Invoices!$A$6:$A$505,0)),""))</f>
        <v/>
      </c>
      <c r="F122" s="32"/>
      <c r="G122" s="32"/>
      <c r="H122" s="32"/>
      <c r="I122" s="34" t="str">
        <f aca="false">IF($A122="","",N($F122)+N($G122)+N($H122))</f>
        <v/>
      </c>
      <c r="J122" s="26"/>
      <c r="K122" s="28"/>
      <c r="L122" s="26"/>
      <c r="M122" s="26"/>
      <c r="N122" s="28"/>
      <c r="O122" s="28"/>
    </row>
    <row r="123" customFormat="false" ht="15" hidden="false" customHeight="false" outlineLevel="0" collapsed="false">
      <c r="A123" s="26"/>
      <c r="B123" s="29"/>
      <c r="C123" s="26"/>
      <c r="D123" s="27" t="str">
        <f aca="false">IF($C123="","",IFERROR(INDEX(Invoices!$C$6:$C$505,MATCH($C123,Invoices!$A$6:$A$505,0)),"Invoice not found"))</f>
        <v/>
      </c>
      <c r="E123" s="35" t="str">
        <f aca="false">IF($C123="","",IFERROR(INDEX(Invoices!$L$6:$L$505,MATCH($C123,Invoices!$A$6:$A$505,0)),""))</f>
        <v/>
      </c>
      <c r="F123" s="32"/>
      <c r="G123" s="32"/>
      <c r="H123" s="32"/>
      <c r="I123" s="34" t="str">
        <f aca="false">IF($A123="","",N($F123)+N($G123)+N($H123))</f>
        <v/>
      </c>
      <c r="J123" s="26"/>
      <c r="K123" s="28"/>
      <c r="L123" s="26"/>
      <c r="M123" s="26"/>
      <c r="N123" s="28"/>
      <c r="O123" s="28"/>
    </row>
    <row r="124" customFormat="false" ht="15" hidden="false" customHeight="false" outlineLevel="0" collapsed="false">
      <c r="A124" s="26"/>
      <c r="B124" s="29"/>
      <c r="C124" s="26"/>
      <c r="D124" s="27" t="str">
        <f aca="false">IF($C124="","",IFERROR(INDEX(Invoices!$C$6:$C$505,MATCH($C124,Invoices!$A$6:$A$505,0)),"Invoice not found"))</f>
        <v/>
      </c>
      <c r="E124" s="35" t="str">
        <f aca="false">IF($C124="","",IFERROR(INDEX(Invoices!$L$6:$L$505,MATCH($C124,Invoices!$A$6:$A$505,0)),""))</f>
        <v/>
      </c>
      <c r="F124" s="32"/>
      <c r="G124" s="32"/>
      <c r="H124" s="32"/>
      <c r="I124" s="34" t="str">
        <f aca="false">IF($A124="","",N($F124)+N($G124)+N($H124))</f>
        <v/>
      </c>
      <c r="J124" s="26"/>
      <c r="K124" s="28"/>
      <c r="L124" s="26"/>
      <c r="M124" s="26"/>
      <c r="N124" s="28"/>
      <c r="O124" s="28"/>
    </row>
    <row r="125" customFormat="false" ht="15" hidden="false" customHeight="false" outlineLevel="0" collapsed="false">
      <c r="A125" s="26"/>
      <c r="B125" s="29"/>
      <c r="C125" s="26"/>
      <c r="D125" s="27" t="str">
        <f aca="false">IF($C125="","",IFERROR(INDEX(Invoices!$C$6:$C$505,MATCH($C125,Invoices!$A$6:$A$505,0)),"Invoice not found"))</f>
        <v/>
      </c>
      <c r="E125" s="35" t="str">
        <f aca="false">IF($C125="","",IFERROR(INDEX(Invoices!$L$6:$L$505,MATCH($C125,Invoices!$A$6:$A$505,0)),""))</f>
        <v/>
      </c>
      <c r="F125" s="32"/>
      <c r="G125" s="32"/>
      <c r="H125" s="32"/>
      <c r="I125" s="34" t="str">
        <f aca="false">IF($A125="","",N($F125)+N($G125)+N($H125))</f>
        <v/>
      </c>
      <c r="J125" s="26"/>
      <c r="K125" s="28"/>
      <c r="L125" s="26"/>
      <c r="M125" s="26"/>
      <c r="N125" s="28"/>
      <c r="O125" s="28"/>
    </row>
    <row r="126" customFormat="false" ht="15" hidden="false" customHeight="false" outlineLevel="0" collapsed="false">
      <c r="A126" s="26"/>
      <c r="B126" s="29"/>
      <c r="C126" s="26"/>
      <c r="D126" s="27" t="str">
        <f aca="false">IF($C126="","",IFERROR(INDEX(Invoices!$C$6:$C$505,MATCH($C126,Invoices!$A$6:$A$505,0)),"Invoice not found"))</f>
        <v/>
      </c>
      <c r="E126" s="35" t="str">
        <f aca="false">IF($C126="","",IFERROR(INDEX(Invoices!$L$6:$L$505,MATCH($C126,Invoices!$A$6:$A$505,0)),""))</f>
        <v/>
      </c>
      <c r="F126" s="32"/>
      <c r="G126" s="32"/>
      <c r="H126" s="32"/>
      <c r="I126" s="34" t="str">
        <f aca="false">IF($A126="","",N($F126)+N($G126)+N($H126))</f>
        <v/>
      </c>
      <c r="J126" s="26"/>
      <c r="K126" s="28"/>
      <c r="L126" s="26"/>
      <c r="M126" s="26"/>
      <c r="N126" s="28"/>
      <c r="O126" s="28"/>
    </row>
    <row r="127" customFormat="false" ht="15" hidden="false" customHeight="false" outlineLevel="0" collapsed="false">
      <c r="A127" s="26"/>
      <c r="B127" s="29"/>
      <c r="C127" s="26"/>
      <c r="D127" s="27" t="str">
        <f aca="false">IF($C127="","",IFERROR(INDEX(Invoices!$C$6:$C$505,MATCH($C127,Invoices!$A$6:$A$505,0)),"Invoice not found"))</f>
        <v/>
      </c>
      <c r="E127" s="35" t="str">
        <f aca="false">IF($C127="","",IFERROR(INDEX(Invoices!$L$6:$L$505,MATCH($C127,Invoices!$A$6:$A$505,0)),""))</f>
        <v/>
      </c>
      <c r="F127" s="32"/>
      <c r="G127" s="32"/>
      <c r="H127" s="32"/>
      <c r="I127" s="34" t="str">
        <f aca="false">IF($A127="","",N($F127)+N($G127)+N($H127))</f>
        <v/>
      </c>
      <c r="J127" s="26"/>
      <c r="K127" s="28"/>
      <c r="L127" s="26"/>
      <c r="M127" s="26"/>
      <c r="N127" s="28"/>
      <c r="O127" s="28"/>
    </row>
    <row r="128" customFormat="false" ht="15" hidden="false" customHeight="false" outlineLevel="0" collapsed="false">
      <c r="A128" s="26"/>
      <c r="B128" s="29"/>
      <c r="C128" s="26"/>
      <c r="D128" s="27" t="str">
        <f aca="false">IF($C128="","",IFERROR(INDEX(Invoices!$C$6:$C$505,MATCH($C128,Invoices!$A$6:$A$505,0)),"Invoice not found"))</f>
        <v/>
      </c>
      <c r="E128" s="35" t="str">
        <f aca="false">IF($C128="","",IFERROR(INDEX(Invoices!$L$6:$L$505,MATCH($C128,Invoices!$A$6:$A$505,0)),""))</f>
        <v/>
      </c>
      <c r="F128" s="32"/>
      <c r="G128" s="32"/>
      <c r="H128" s="32"/>
      <c r="I128" s="34" t="str">
        <f aca="false">IF($A128="","",N($F128)+N($G128)+N($H128))</f>
        <v/>
      </c>
      <c r="J128" s="26"/>
      <c r="K128" s="28"/>
      <c r="L128" s="26"/>
      <c r="M128" s="26"/>
      <c r="N128" s="28"/>
      <c r="O128" s="28"/>
    </row>
    <row r="129" customFormat="false" ht="15" hidden="false" customHeight="false" outlineLevel="0" collapsed="false">
      <c r="A129" s="26"/>
      <c r="B129" s="29"/>
      <c r="C129" s="26"/>
      <c r="D129" s="27" t="str">
        <f aca="false">IF($C129="","",IFERROR(INDEX(Invoices!$C$6:$C$505,MATCH($C129,Invoices!$A$6:$A$505,0)),"Invoice not found"))</f>
        <v/>
      </c>
      <c r="E129" s="35" t="str">
        <f aca="false">IF($C129="","",IFERROR(INDEX(Invoices!$L$6:$L$505,MATCH($C129,Invoices!$A$6:$A$505,0)),""))</f>
        <v/>
      </c>
      <c r="F129" s="32"/>
      <c r="G129" s="32"/>
      <c r="H129" s="32"/>
      <c r="I129" s="34" t="str">
        <f aca="false">IF($A129="","",N($F129)+N($G129)+N($H129))</f>
        <v/>
      </c>
      <c r="J129" s="26"/>
      <c r="K129" s="28"/>
      <c r="L129" s="26"/>
      <c r="M129" s="26"/>
      <c r="N129" s="28"/>
      <c r="O129" s="28"/>
    </row>
    <row r="130" customFormat="false" ht="15" hidden="false" customHeight="false" outlineLevel="0" collapsed="false">
      <c r="A130" s="26"/>
      <c r="B130" s="29"/>
      <c r="C130" s="26"/>
      <c r="D130" s="27" t="str">
        <f aca="false">IF($C130="","",IFERROR(INDEX(Invoices!$C$6:$C$505,MATCH($C130,Invoices!$A$6:$A$505,0)),"Invoice not found"))</f>
        <v/>
      </c>
      <c r="E130" s="35" t="str">
        <f aca="false">IF($C130="","",IFERROR(INDEX(Invoices!$L$6:$L$505,MATCH($C130,Invoices!$A$6:$A$505,0)),""))</f>
        <v/>
      </c>
      <c r="F130" s="32"/>
      <c r="G130" s="32"/>
      <c r="H130" s="32"/>
      <c r="I130" s="34" t="str">
        <f aca="false">IF($A130="","",N($F130)+N($G130)+N($H130))</f>
        <v/>
      </c>
      <c r="J130" s="26"/>
      <c r="K130" s="28"/>
      <c r="L130" s="26"/>
      <c r="M130" s="26"/>
      <c r="N130" s="28"/>
      <c r="O130" s="28"/>
    </row>
    <row r="131" customFormat="false" ht="15" hidden="false" customHeight="false" outlineLevel="0" collapsed="false">
      <c r="A131" s="26"/>
      <c r="B131" s="29"/>
      <c r="C131" s="26"/>
      <c r="D131" s="27" t="str">
        <f aca="false">IF($C131="","",IFERROR(INDEX(Invoices!$C$6:$C$505,MATCH($C131,Invoices!$A$6:$A$505,0)),"Invoice not found"))</f>
        <v/>
      </c>
      <c r="E131" s="35" t="str">
        <f aca="false">IF($C131="","",IFERROR(INDEX(Invoices!$L$6:$L$505,MATCH($C131,Invoices!$A$6:$A$505,0)),""))</f>
        <v/>
      </c>
      <c r="F131" s="32"/>
      <c r="G131" s="32"/>
      <c r="H131" s="32"/>
      <c r="I131" s="34" t="str">
        <f aca="false">IF($A131="","",N($F131)+N($G131)+N($H131))</f>
        <v/>
      </c>
      <c r="J131" s="26"/>
      <c r="K131" s="28"/>
      <c r="L131" s="26"/>
      <c r="M131" s="26"/>
      <c r="N131" s="28"/>
      <c r="O131" s="28"/>
    </row>
    <row r="132" customFormat="false" ht="15" hidden="false" customHeight="false" outlineLevel="0" collapsed="false">
      <c r="A132" s="26"/>
      <c r="B132" s="29"/>
      <c r="C132" s="26"/>
      <c r="D132" s="27" t="str">
        <f aca="false">IF($C132="","",IFERROR(INDEX(Invoices!$C$6:$C$505,MATCH($C132,Invoices!$A$6:$A$505,0)),"Invoice not found"))</f>
        <v/>
      </c>
      <c r="E132" s="35" t="str">
        <f aca="false">IF($C132="","",IFERROR(INDEX(Invoices!$L$6:$L$505,MATCH($C132,Invoices!$A$6:$A$505,0)),""))</f>
        <v/>
      </c>
      <c r="F132" s="32"/>
      <c r="G132" s="32"/>
      <c r="H132" s="32"/>
      <c r="I132" s="34" t="str">
        <f aca="false">IF($A132="","",N($F132)+N($G132)+N($H132))</f>
        <v/>
      </c>
      <c r="J132" s="26"/>
      <c r="K132" s="28"/>
      <c r="L132" s="26"/>
      <c r="M132" s="26"/>
      <c r="N132" s="28"/>
      <c r="O132" s="28"/>
    </row>
    <row r="133" customFormat="false" ht="15" hidden="false" customHeight="false" outlineLevel="0" collapsed="false">
      <c r="A133" s="26"/>
      <c r="B133" s="29"/>
      <c r="C133" s="26"/>
      <c r="D133" s="27" t="str">
        <f aca="false">IF($C133="","",IFERROR(INDEX(Invoices!$C$6:$C$505,MATCH($C133,Invoices!$A$6:$A$505,0)),"Invoice not found"))</f>
        <v/>
      </c>
      <c r="E133" s="35" t="str">
        <f aca="false">IF($C133="","",IFERROR(INDEX(Invoices!$L$6:$L$505,MATCH($C133,Invoices!$A$6:$A$505,0)),""))</f>
        <v/>
      </c>
      <c r="F133" s="32"/>
      <c r="G133" s="32"/>
      <c r="H133" s="32"/>
      <c r="I133" s="34" t="str">
        <f aca="false">IF($A133="","",N($F133)+N($G133)+N($H133))</f>
        <v/>
      </c>
      <c r="J133" s="26"/>
      <c r="K133" s="28"/>
      <c r="L133" s="26"/>
      <c r="M133" s="26"/>
      <c r="N133" s="28"/>
      <c r="O133" s="28"/>
    </row>
    <row r="134" customFormat="false" ht="15" hidden="false" customHeight="false" outlineLevel="0" collapsed="false">
      <c r="A134" s="26"/>
      <c r="B134" s="29"/>
      <c r="C134" s="26"/>
      <c r="D134" s="27" t="str">
        <f aca="false">IF($C134="","",IFERROR(INDEX(Invoices!$C$6:$C$505,MATCH($C134,Invoices!$A$6:$A$505,0)),"Invoice not found"))</f>
        <v/>
      </c>
      <c r="E134" s="35" t="str">
        <f aca="false">IF($C134="","",IFERROR(INDEX(Invoices!$L$6:$L$505,MATCH($C134,Invoices!$A$6:$A$505,0)),""))</f>
        <v/>
      </c>
      <c r="F134" s="32"/>
      <c r="G134" s="32"/>
      <c r="H134" s="32"/>
      <c r="I134" s="34" t="str">
        <f aca="false">IF($A134="","",N($F134)+N($G134)+N($H134))</f>
        <v/>
      </c>
      <c r="J134" s="26"/>
      <c r="K134" s="28"/>
      <c r="L134" s="26"/>
      <c r="M134" s="26"/>
      <c r="N134" s="28"/>
      <c r="O134" s="28"/>
    </row>
    <row r="135" customFormat="false" ht="15" hidden="false" customHeight="false" outlineLevel="0" collapsed="false">
      <c r="A135" s="26"/>
      <c r="B135" s="29"/>
      <c r="C135" s="26"/>
      <c r="D135" s="27" t="str">
        <f aca="false">IF($C135="","",IFERROR(INDEX(Invoices!$C$6:$C$505,MATCH($C135,Invoices!$A$6:$A$505,0)),"Invoice not found"))</f>
        <v/>
      </c>
      <c r="E135" s="35" t="str">
        <f aca="false">IF($C135="","",IFERROR(INDEX(Invoices!$L$6:$L$505,MATCH($C135,Invoices!$A$6:$A$505,0)),""))</f>
        <v/>
      </c>
      <c r="F135" s="32"/>
      <c r="G135" s="32"/>
      <c r="H135" s="32"/>
      <c r="I135" s="34" t="str">
        <f aca="false">IF($A135="","",N($F135)+N($G135)+N($H135))</f>
        <v/>
      </c>
      <c r="J135" s="26"/>
      <c r="K135" s="28"/>
      <c r="L135" s="26"/>
      <c r="M135" s="26"/>
      <c r="N135" s="28"/>
      <c r="O135" s="28"/>
    </row>
    <row r="136" customFormat="false" ht="15" hidden="false" customHeight="false" outlineLevel="0" collapsed="false">
      <c r="A136" s="26"/>
      <c r="B136" s="29"/>
      <c r="C136" s="26"/>
      <c r="D136" s="27" t="str">
        <f aca="false">IF($C136="","",IFERROR(INDEX(Invoices!$C$6:$C$505,MATCH($C136,Invoices!$A$6:$A$505,0)),"Invoice not found"))</f>
        <v/>
      </c>
      <c r="E136" s="35" t="str">
        <f aca="false">IF($C136="","",IFERROR(INDEX(Invoices!$L$6:$L$505,MATCH($C136,Invoices!$A$6:$A$505,0)),""))</f>
        <v/>
      </c>
      <c r="F136" s="32"/>
      <c r="G136" s="32"/>
      <c r="H136" s="32"/>
      <c r="I136" s="34" t="str">
        <f aca="false">IF($A136="","",N($F136)+N($G136)+N($H136))</f>
        <v/>
      </c>
      <c r="J136" s="26"/>
      <c r="K136" s="28"/>
      <c r="L136" s="26"/>
      <c r="M136" s="26"/>
      <c r="N136" s="28"/>
      <c r="O136" s="28"/>
    </row>
    <row r="137" customFormat="false" ht="15" hidden="false" customHeight="false" outlineLevel="0" collapsed="false">
      <c r="A137" s="26"/>
      <c r="B137" s="29"/>
      <c r="C137" s="26"/>
      <c r="D137" s="27" t="str">
        <f aca="false">IF($C137="","",IFERROR(INDEX(Invoices!$C$6:$C$505,MATCH($C137,Invoices!$A$6:$A$505,0)),"Invoice not found"))</f>
        <v/>
      </c>
      <c r="E137" s="35" t="str">
        <f aca="false">IF($C137="","",IFERROR(INDEX(Invoices!$L$6:$L$505,MATCH($C137,Invoices!$A$6:$A$505,0)),""))</f>
        <v/>
      </c>
      <c r="F137" s="32"/>
      <c r="G137" s="32"/>
      <c r="H137" s="32"/>
      <c r="I137" s="34" t="str">
        <f aca="false">IF($A137="","",N($F137)+N($G137)+N($H137))</f>
        <v/>
      </c>
      <c r="J137" s="26"/>
      <c r="K137" s="28"/>
      <c r="L137" s="26"/>
      <c r="M137" s="26"/>
      <c r="N137" s="28"/>
      <c r="O137" s="28"/>
    </row>
    <row r="138" customFormat="false" ht="15" hidden="false" customHeight="false" outlineLevel="0" collapsed="false">
      <c r="A138" s="26"/>
      <c r="B138" s="29"/>
      <c r="C138" s="26"/>
      <c r="D138" s="27" t="str">
        <f aca="false">IF($C138="","",IFERROR(INDEX(Invoices!$C$6:$C$505,MATCH($C138,Invoices!$A$6:$A$505,0)),"Invoice not found"))</f>
        <v/>
      </c>
      <c r="E138" s="35" t="str">
        <f aca="false">IF($C138="","",IFERROR(INDEX(Invoices!$L$6:$L$505,MATCH($C138,Invoices!$A$6:$A$505,0)),""))</f>
        <v/>
      </c>
      <c r="F138" s="32"/>
      <c r="G138" s="32"/>
      <c r="H138" s="32"/>
      <c r="I138" s="34" t="str">
        <f aca="false">IF($A138="","",N($F138)+N($G138)+N($H138))</f>
        <v/>
      </c>
      <c r="J138" s="26"/>
      <c r="K138" s="28"/>
      <c r="L138" s="26"/>
      <c r="M138" s="26"/>
      <c r="N138" s="28"/>
      <c r="O138" s="28"/>
    </row>
    <row r="139" customFormat="false" ht="15" hidden="false" customHeight="false" outlineLevel="0" collapsed="false">
      <c r="A139" s="26"/>
      <c r="B139" s="29"/>
      <c r="C139" s="26"/>
      <c r="D139" s="27" t="str">
        <f aca="false">IF($C139="","",IFERROR(INDEX(Invoices!$C$6:$C$505,MATCH($C139,Invoices!$A$6:$A$505,0)),"Invoice not found"))</f>
        <v/>
      </c>
      <c r="E139" s="35" t="str">
        <f aca="false">IF($C139="","",IFERROR(INDEX(Invoices!$L$6:$L$505,MATCH($C139,Invoices!$A$6:$A$505,0)),""))</f>
        <v/>
      </c>
      <c r="F139" s="32"/>
      <c r="G139" s="32"/>
      <c r="H139" s="32"/>
      <c r="I139" s="34" t="str">
        <f aca="false">IF($A139="","",N($F139)+N($G139)+N($H139))</f>
        <v/>
      </c>
      <c r="J139" s="26"/>
      <c r="K139" s="28"/>
      <c r="L139" s="26"/>
      <c r="M139" s="26"/>
      <c r="N139" s="28"/>
      <c r="O139" s="28"/>
    </row>
    <row r="140" customFormat="false" ht="15" hidden="false" customHeight="false" outlineLevel="0" collapsed="false">
      <c r="A140" s="26"/>
      <c r="B140" s="29"/>
      <c r="C140" s="26"/>
      <c r="D140" s="27" t="str">
        <f aca="false">IF($C140="","",IFERROR(INDEX(Invoices!$C$6:$C$505,MATCH($C140,Invoices!$A$6:$A$505,0)),"Invoice not found"))</f>
        <v/>
      </c>
      <c r="E140" s="35" t="str">
        <f aca="false">IF($C140="","",IFERROR(INDEX(Invoices!$L$6:$L$505,MATCH($C140,Invoices!$A$6:$A$505,0)),""))</f>
        <v/>
      </c>
      <c r="F140" s="32"/>
      <c r="G140" s="32"/>
      <c r="H140" s="32"/>
      <c r="I140" s="34" t="str">
        <f aca="false">IF($A140="","",N($F140)+N($G140)+N($H140))</f>
        <v/>
      </c>
      <c r="J140" s="26"/>
      <c r="K140" s="28"/>
      <c r="L140" s="26"/>
      <c r="M140" s="26"/>
      <c r="N140" s="28"/>
      <c r="O140" s="28"/>
    </row>
    <row r="141" customFormat="false" ht="15" hidden="false" customHeight="false" outlineLevel="0" collapsed="false">
      <c r="A141" s="26"/>
      <c r="B141" s="29"/>
      <c r="C141" s="26"/>
      <c r="D141" s="27" t="str">
        <f aca="false">IF($C141="","",IFERROR(INDEX(Invoices!$C$6:$C$505,MATCH($C141,Invoices!$A$6:$A$505,0)),"Invoice not found"))</f>
        <v/>
      </c>
      <c r="E141" s="35" t="str">
        <f aca="false">IF($C141="","",IFERROR(INDEX(Invoices!$L$6:$L$505,MATCH($C141,Invoices!$A$6:$A$505,0)),""))</f>
        <v/>
      </c>
      <c r="F141" s="32"/>
      <c r="G141" s="32"/>
      <c r="H141" s="32"/>
      <c r="I141" s="34" t="str">
        <f aca="false">IF($A141="","",N($F141)+N($G141)+N($H141))</f>
        <v/>
      </c>
      <c r="J141" s="26"/>
      <c r="K141" s="28"/>
      <c r="L141" s="26"/>
      <c r="M141" s="26"/>
      <c r="N141" s="28"/>
      <c r="O141" s="28"/>
    </row>
    <row r="142" customFormat="false" ht="15" hidden="false" customHeight="false" outlineLevel="0" collapsed="false">
      <c r="A142" s="26"/>
      <c r="B142" s="29"/>
      <c r="C142" s="26"/>
      <c r="D142" s="27" t="str">
        <f aca="false">IF($C142="","",IFERROR(INDEX(Invoices!$C$6:$C$505,MATCH($C142,Invoices!$A$6:$A$505,0)),"Invoice not found"))</f>
        <v/>
      </c>
      <c r="E142" s="35" t="str">
        <f aca="false">IF($C142="","",IFERROR(INDEX(Invoices!$L$6:$L$505,MATCH($C142,Invoices!$A$6:$A$505,0)),""))</f>
        <v/>
      </c>
      <c r="F142" s="32"/>
      <c r="G142" s="32"/>
      <c r="H142" s="32"/>
      <c r="I142" s="34" t="str">
        <f aca="false">IF($A142="","",N($F142)+N($G142)+N($H142))</f>
        <v/>
      </c>
      <c r="J142" s="26"/>
      <c r="K142" s="28"/>
      <c r="L142" s="26"/>
      <c r="M142" s="26"/>
      <c r="N142" s="28"/>
      <c r="O142" s="28"/>
    </row>
    <row r="143" customFormat="false" ht="15" hidden="false" customHeight="false" outlineLevel="0" collapsed="false">
      <c r="A143" s="26"/>
      <c r="B143" s="29"/>
      <c r="C143" s="26"/>
      <c r="D143" s="27" t="str">
        <f aca="false">IF($C143="","",IFERROR(INDEX(Invoices!$C$6:$C$505,MATCH($C143,Invoices!$A$6:$A$505,0)),"Invoice not found"))</f>
        <v/>
      </c>
      <c r="E143" s="35" t="str">
        <f aca="false">IF($C143="","",IFERROR(INDEX(Invoices!$L$6:$L$505,MATCH($C143,Invoices!$A$6:$A$505,0)),""))</f>
        <v/>
      </c>
      <c r="F143" s="32"/>
      <c r="G143" s="32"/>
      <c r="H143" s="32"/>
      <c r="I143" s="34" t="str">
        <f aca="false">IF($A143="","",N($F143)+N($G143)+N($H143))</f>
        <v/>
      </c>
      <c r="J143" s="26"/>
      <c r="K143" s="28"/>
      <c r="L143" s="26"/>
      <c r="M143" s="26"/>
      <c r="N143" s="28"/>
      <c r="O143" s="28"/>
    </row>
    <row r="144" customFormat="false" ht="15" hidden="false" customHeight="false" outlineLevel="0" collapsed="false">
      <c r="A144" s="26"/>
      <c r="B144" s="29"/>
      <c r="C144" s="26"/>
      <c r="D144" s="27" t="str">
        <f aca="false">IF($C144="","",IFERROR(INDEX(Invoices!$C$6:$C$505,MATCH($C144,Invoices!$A$6:$A$505,0)),"Invoice not found"))</f>
        <v/>
      </c>
      <c r="E144" s="35" t="str">
        <f aca="false">IF($C144="","",IFERROR(INDEX(Invoices!$L$6:$L$505,MATCH($C144,Invoices!$A$6:$A$505,0)),""))</f>
        <v/>
      </c>
      <c r="F144" s="32"/>
      <c r="G144" s="32"/>
      <c r="H144" s="32"/>
      <c r="I144" s="34" t="str">
        <f aca="false">IF($A144="","",N($F144)+N($G144)+N($H144))</f>
        <v/>
      </c>
      <c r="J144" s="26"/>
      <c r="K144" s="28"/>
      <c r="L144" s="26"/>
      <c r="M144" s="26"/>
      <c r="N144" s="28"/>
      <c r="O144" s="28"/>
    </row>
    <row r="145" customFormat="false" ht="15" hidden="false" customHeight="false" outlineLevel="0" collapsed="false">
      <c r="A145" s="26"/>
      <c r="B145" s="29"/>
      <c r="C145" s="26"/>
      <c r="D145" s="27" t="str">
        <f aca="false">IF($C145="","",IFERROR(INDEX(Invoices!$C$6:$C$505,MATCH($C145,Invoices!$A$6:$A$505,0)),"Invoice not found"))</f>
        <v/>
      </c>
      <c r="E145" s="35" t="str">
        <f aca="false">IF($C145="","",IFERROR(INDEX(Invoices!$L$6:$L$505,MATCH($C145,Invoices!$A$6:$A$505,0)),""))</f>
        <v/>
      </c>
      <c r="F145" s="32"/>
      <c r="G145" s="32"/>
      <c r="H145" s="32"/>
      <c r="I145" s="34" t="str">
        <f aca="false">IF($A145="","",N($F145)+N($G145)+N($H145))</f>
        <v/>
      </c>
      <c r="J145" s="26"/>
      <c r="K145" s="28"/>
      <c r="L145" s="26"/>
      <c r="M145" s="26"/>
      <c r="N145" s="28"/>
      <c r="O145" s="28"/>
    </row>
    <row r="146" customFormat="false" ht="15" hidden="false" customHeight="false" outlineLevel="0" collapsed="false">
      <c r="A146" s="26"/>
      <c r="B146" s="29"/>
      <c r="C146" s="26"/>
      <c r="D146" s="27" t="str">
        <f aca="false">IF($C146="","",IFERROR(INDEX(Invoices!$C$6:$C$505,MATCH($C146,Invoices!$A$6:$A$505,0)),"Invoice not found"))</f>
        <v/>
      </c>
      <c r="E146" s="35" t="str">
        <f aca="false">IF($C146="","",IFERROR(INDEX(Invoices!$L$6:$L$505,MATCH($C146,Invoices!$A$6:$A$505,0)),""))</f>
        <v/>
      </c>
      <c r="F146" s="32"/>
      <c r="G146" s="32"/>
      <c r="H146" s="32"/>
      <c r="I146" s="34" t="str">
        <f aca="false">IF($A146="","",N($F146)+N($G146)+N($H146))</f>
        <v/>
      </c>
      <c r="J146" s="26"/>
      <c r="K146" s="28"/>
      <c r="L146" s="26"/>
      <c r="M146" s="26"/>
      <c r="N146" s="28"/>
      <c r="O146" s="28"/>
    </row>
    <row r="147" customFormat="false" ht="15" hidden="false" customHeight="false" outlineLevel="0" collapsed="false">
      <c r="A147" s="26"/>
      <c r="B147" s="29"/>
      <c r="C147" s="26"/>
      <c r="D147" s="27" t="str">
        <f aca="false">IF($C147="","",IFERROR(INDEX(Invoices!$C$6:$C$505,MATCH($C147,Invoices!$A$6:$A$505,0)),"Invoice not found"))</f>
        <v/>
      </c>
      <c r="E147" s="35" t="str">
        <f aca="false">IF($C147="","",IFERROR(INDEX(Invoices!$L$6:$L$505,MATCH($C147,Invoices!$A$6:$A$505,0)),""))</f>
        <v/>
      </c>
      <c r="F147" s="32"/>
      <c r="G147" s="32"/>
      <c r="H147" s="32"/>
      <c r="I147" s="34" t="str">
        <f aca="false">IF($A147="","",N($F147)+N($G147)+N($H147))</f>
        <v/>
      </c>
      <c r="J147" s="26"/>
      <c r="K147" s="28"/>
      <c r="L147" s="26"/>
      <c r="M147" s="26"/>
      <c r="N147" s="28"/>
      <c r="O147" s="28"/>
    </row>
    <row r="148" customFormat="false" ht="15" hidden="false" customHeight="false" outlineLevel="0" collapsed="false">
      <c r="A148" s="26"/>
      <c r="B148" s="29"/>
      <c r="C148" s="26"/>
      <c r="D148" s="27" t="str">
        <f aca="false">IF($C148="","",IFERROR(INDEX(Invoices!$C$6:$C$505,MATCH($C148,Invoices!$A$6:$A$505,0)),"Invoice not found"))</f>
        <v/>
      </c>
      <c r="E148" s="35" t="str">
        <f aca="false">IF($C148="","",IFERROR(INDEX(Invoices!$L$6:$L$505,MATCH($C148,Invoices!$A$6:$A$505,0)),""))</f>
        <v/>
      </c>
      <c r="F148" s="32"/>
      <c r="G148" s="32"/>
      <c r="H148" s="32"/>
      <c r="I148" s="34" t="str">
        <f aca="false">IF($A148="","",N($F148)+N($G148)+N($H148))</f>
        <v/>
      </c>
      <c r="J148" s="26"/>
      <c r="K148" s="28"/>
      <c r="L148" s="26"/>
      <c r="M148" s="26"/>
      <c r="N148" s="28"/>
      <c r="O148" s="28"/>
    </row>
    <row r="149" customFormat="false" ht="15" hidden="false" customHeight="false" outlineLevel="0" collapsed="false">
      <c r="A149" s="26"/>
      <c r="B149" s="29"/>
      <c r="C149" s="26"/>
      <c r="D149" s="27" t="str">
        <f aca="false">IF($C149="","",IFERROR(INDEX(Invoices!$C$6:$C$505,MATCH($C149,Invoices!$A$6:$A$505,0)),"Invoice not found"))</f>
        <v/>
      </c>
      <c r="E149" s="35" t="str">
        <f aca="false">IF($C149="","",IFERROR(INDEX(Invoices!$L$6:$L$505,MATCH($C149,Invoices!$A$6:$A$505,0)),""))</f>
        <v/>
      </c>
      <c r="F149" s="32"/>
      <c r="G149" s="32"/>
      <c r="H149" s="32"/>
      <c r="I149" s="34" t="str">
        <f aca="false">IF($A149="","",N($F149)+N($G149)+N($H149))</f>
        <v/>
      </c>
      <c r="J149" s="26"/>
      <c r="K149" s="28"/>
      <c r="L149" s="26"/>
      <c r="M149" s="26"/>
      <c r="N149" s="28"/>
      <c r="O149" s="28"/>
    </row>
    <row r="150" customFormat="false" ht="15" hidden="false" customHeight="false" outlineLevel="0" collapsed="false">
      <c r="A150" s="26"/>
      <c r="B150" s="29"/>
      <c r="C150" s="26"/>
      <c r="D150" s="27" t="str">
        <f aca="false">IF($C150="","",IFERROR(INDEX(Invoices!$C$6:$C$505,MATCH($C150,Invoices!$A$6:$A$505,0)),"Invoice not found"))</f>
        <v/>
      </c>
      <c r="E150" s="35" t="str">
        <f aca="false">IF($C150="","",IFERROR(INDEX(Invoices!$L$6:$L$505,MATCH($C150,Invoices!$A$6:$A$505,0)),""))</f>
        <v/>
      </c>
      <c r="F150" s="32"/>
      <c r="G150" s="32"/>
      <c r="H150" s="32"/>
      <c r="I150" s="34" t="str">
        <f aca="false">IF($A150="","",N($F150)+N($G150)+N($H150))</f>
        <v/>
      </c>
      <c r="J150" s="26"/>
      <c r="K150" s="28"/>
      <c r="L150" s="26"/>
      <c r="M150" s="26"/>
      <c r="N150" s="28"/>
      <c r="O150" s="28"/>
    </row>
    <row r="151" customFormat="false" ht="15" hidden="false" customHeight="false" outlineLevel="0" collapsed="false">
      <c r="A151" s="26"/>
      <c r="B151" s="29"/>
      <c r="C151" s="26"/>
      <c r="D151" s="27" t="str">
        <f aca="false">IF($C151="","",IFERROR(INDEX(Invoices!$C$6:$C$505,MATCH($C151,Invoices!$A$6:$A$505,0)),"Invoice not found"))</f>
        <v/>
      </c>
      <c r="E151" s="35" t="str">
        <f aca="false">IF($C151="","",IFERROR(INDEX(Invoices!$L$6:$L$505,MATCH($C151,Invoices!$A$6:$A$505,0)),""))</f>
        <v/>
      </c>
      <c r="F151" s="32"/>
      <c r="G151" s="32"/>
      <c r="H151" s="32"/>
      <c r="I151" s="34" t="str">
        <f aca="false">IF($A151="","",N($F151)+N($G151)+N($H151))</f>
        <v/>
      </c>
      <c r="J151" s="26"/>
      <c r="K151" s="28"/>
      <c r="L151" s="26"/>
      <c r="M151" s="26"/>
      <c r="N151" s="28"/>
      <c r="O151" s="28"/>
    </row>
    <row r="152" customFormat="false" ht="15" hidden="false" customHeight="false" outlineLevel="0" collapsed="false">
      <c r="A152" s="26"/>
      <c r="B152" s="29"/>
      <c r="C152" s="26"/>
      <c r="D152" s="27" t="str">
        <f aca="false">IF($C152="","",IFERROR(INDEX(Invoices!$C$6:$C$505,MATCH($C152,Invoices!$A$6:$A$505,0)),"Invoice not found"))</f>
        <v/>
      </c>
      <c r="E152" s="35" t="str">
        <f aca="false">IF($C152="","",IFERROR(INDEX(Invoices!$L$6:$L$505,MATCH($C152,Invoices!$A$6:$A$505,0)),""))</f>
        <v/>
      </c>
      <c r="F152" s="32"/>
      <c r="G152" s="32"/>
      <c r="H152" s="32"/>
      <c r="I152" s="34" t="str">
        <f aca="false">IF($A152="","",N($F152)+N($G152)+N($H152))</f>
        <v/>
      </c>
      <c r="J152" s="26"/>
      <c r="K152" s="28"/>
      <c r="L152" s="26"/>
      <c r="M152" s="26"/>
      <c r="N152" s="28"/>
      <c r="O152" s="28"/>
    </row>
    <row r="153" customFormat="false" ht="15" hidden="false" customHeight="false" outlineLevel="0" collapsed="false">
      <c r="A153" s="26"/>
      <c r="B153" s="29"/>
      <c r="C153" s="26"/>
      <c r="D153" s="27" t="str">
        <f aca="false">IF($C153="","",IFERROR(INDEX(Invoices!$C$6:$C$505,MATCH($C153,Invoices!$A$6:$A$505,0)),"Invoice not found"))</f>
        <v/>
      </c>
      <c r="E153" s="35" t="str">
        <f aca="false">IF($C153="","",IFERROR(INDEX(Invoices!$L$6:$L$505,MATCH($C153,Invoices!$A$6:$A$505,0)),""))</f>
        <v/>
      </c>
      <c r="F153" s="32"/>
      <c r="G153" s="32"/>
      <c r="H153" s="32"/>
      <c r="I153" s="34" t="str">
        <f aca="false">IF($A153="","",N($F153)+N($G153)+N($H153))</f>
        <v/>
      </c>
      <c r="J153" s="26"/>
      <c r="K153" s="28"/>
      <c r="L153" s="26"/>
      <c r="M153" s="26"/>
      <c r="N153" s="28"/>
      <c r="O153" s="28"/>
    </row>
    <row r="154" customFormat="false" ht="15" hidden="false" customHeight="false" outlineLevel="0" collapsed="false">
      <c r="A154" s="26"/>
      <c r="B154" s="29"/>
      <c r="C154" s="26"/>
      <c r="D154" s="27" t="str">
        <f aca="false">IF($C154="","",IFERROR(INDEX(Invoices!$C$6:$C$505,MATCH($C154,Invoices!$A$6:$A$505,0)),"Invoice not found"))</f>
        <v/>
      </c>
      <c r="E154" s="35" t="str">
        <f aca="false">IF($C154="","",IFERROR(INDEX(Invoices!$L$6:$L$505,MATCH($C154,Invoices!$A$6:$A$505,0)),""))</f>
        <v/>
      </c>
      <c r="F154" s="32"/>
      <c r="G154" s="32"/>
      <c r="H154" s="32"/>
      <c r="I154" s="34" t="str">
        <f aca="false">IF($A154="","",N($F154)+N($G154)+N($H154))</f>
        <v/>
      </c>
      <c r="J154" s="26"/>
      <c r="K154" s="28"/>
      <c r="L154" s="26"/>
      <c r="M154" s="26"/>
      <c r="N154" s="28"/>
      <c r="O154" s="28"/>
    </row>
    <row r="155" customFormat="false" ht="15" hidden="false" customHeight="false" outlineLevel="0" collapsed="false">
      <c r="A155" s="26"/>
      <c r="B155" s="29"/>
      <c r="C155" s="26"/>
      <c r="D155" s="27" t="str">
        <f aca="false">IF($C155="","",IFERROR(INDEX(Invoices!$C$6:$C$505,MATCH($C155,Invoices!$A$6:$A$505,0)),"Invoice not found"))</f>
        <v/>
      </c>
      <c r="E155" s="35" t="str">
        <f aca="false">IF($C155="","",IFERROR(INDEX(Invoices!$L$6:$L$505,MATCH($C155,Invoices!$A$6:$A$505,0)),""))</f>
        <v/>
      </c>
      <c r="F155" s="32"/>
      <c r="G155" s="32"/>
      <c r="H155" s="32"/>
      <c r="I155" s="34" t="str">
        <f aca="false">IF($A155="","",N($F155)+N($G155)+N($H155))</f>
        <v/>
      </c>
      <c r="J155" s="26"/>
      <c r="K155" s="28"/>
      <c r="L155" s="26"/>
      <c r="M155" s="26"/>
      <c r="N155" s="28"/>
      <c r="O155" s="28"/>
    </row>
    <row r="156" customFormat="false" ht="15" hidden="false" customHeight="false" outlineLevel="0" collapsed="false">
      <c r="A156" s="26"/>
      <c r="B156" s="29"/>
      <c r="C156" s="26"/>
      <c r="D156" s="27" t="str">
        <f aca="false">IF($C156="","",IFERROR(INDEX(Invoices!$C$6:$C$505,MATCH($C156,Invoices!$A$6:$A$505,0)),"Invoice not found"))</f>
        <v/>
      </c>
      <c r="E156" s="35" t="str">
        <f aca="false">IF($C156="","",IFERROR(INDEX(Invoices!$L$6:$L$505,MATCH($C156,Invoices!$A$6:$A$505,0)),""))</f>
        <v/>
      </c>
      <c r="F156" s="32"/>
      <c r="G156" s="32"/>
      <c r="H156" s="32"/>
      <c r="I156" s="34" t="str">
        <f aca="false">IF($A156="","",N($F156)+N($G156)+N($H156))</f>
        <v/>
      </c>
      <c r="J156" s="26"/>
      <c r="K156" s="28"/>
      <c r="L156" s="26"/>
      <c r="M156" s="26"/>
      <c r="N156" s="28"/>
      <c r="O156" s="28"/>
    </row>
    <row r="157" customFormat="false" ht="15" hidden="false" customHeight="false" outlineLevel="0" collapsed="false">
      <c r="A157" s="26"/>
      <c r="B157" s="29"/>
      <c r="C157" s="26"/>
      <c r="D157" s="27" t="str">
        <f aca="false">IF($C157="","",IFERROR(INDEX(Invoices!$C$6:$C$505,MATCH($C157,Invoices!$A$6:$A$505,0)),"Invoice not found"))</f>
        <v/>
      </c>
      <c r="E157" s="35" t="str">
        <f aca="false">IF($C157="","",IFERROR(INDEX(Invoices!$L$6:$L$505,MATCH($C157,Invoices!$A$6:$A$505,0)),""))</f>
        <v/>
      </c>
      <c r="F157" s="32"/>
      <c r="G157" s="32"/>
      <c r="H157" s="32"/>
      <c r="I157" s="34" t="str">
        <f aca="false">IF($A157="","",N($F157)+N($G157)+N($H157))</f>
        <v/>
      </c>
      <c r="J157" s="26"/>
      <c r="K157" s="28"/>
      <c r="L157" s="26"/>
      <c r="M157" s="26"/>
      <c r="N157" s="28"/>
      <c r="O157" s="28"/>
    </row>
    <row r="158" customFormat="false" ht="15" hidden="false" customHeight="false" outlineLevel="0" collapsed="false">
      <c r="A158" s="26"/>
      <c r="B158" s="29"/>
      <c r="C158" s="26"/>
      <c r="D158" s="27" t="str">
        <f aca="false">IF($C158="","",IFERROR(INDEX(Invoices!$C$6:$C$505,MATCH($C158,Invoices!$A$6:$A$505,0)),"Invoice not found"))</f>
        <v/>
      </c>
      <c r="E158" s="35" t="str">
        <f aca="false">IF($C158="","",IFERROR(INDEX(Invoices!$L$6:$L$505,MATCH($C158,Invoices!$A$6:$A$505,0)),""))</f>
        <v/>
      </c>
      <c r="F158" s="32"/>
      <c r="G158" s="32"/>
      <c r="H158" s="32"/>
      <c r="I158" s="34" t="str">
        <f aca="false">IF($A158="","",N($F158)+N($G158)+N($H158))</f>
        <v/>
      </c>
      <c r="J158" s="26"/>
      <c r="K158" s="28"/>
      <c r="L158" s="26"/>
      <c r="M158" s="26"/>
      <c r="N158" s="28"/>
      <c r="O158" s="28"/>
    </row>
    <row r="159" customFormat="false" ht="15" hidden="false" customHeight="false" outlineLevel="0" collapsed="false">
      <c r="A159" s="26"/>
      <c r="B159" s="29"/>
      <c r="C159" s="26"/>
      <c r="D159" s="27" t="str">
        <f aca="false">IF($C159="","",IFERROR(INDEX(Invoices!$C$6:$C$505,MATCH($C159,Invoices!$A$6:$A$505,0)),"Invoice not found"))</f>
        <v/>
      </c>
      <c r="E159" s="35" t="str">
        <f aca="false">IF($C159="","",IFERROR(INDEX(Invoices!$L$6:$L$505,MATCH($C159,Invoices!$A$6:$A$505,0)),""))</f>
        <v/>
      </c>
      <c r="F159" s="32"/>
      <c r="G159" s="32"/>
      <c r="H159" s="32"/>
      <c r="I159" s="34" t="str">
        <f aca="false">IF($A159="","",N($F159)+N($G159)+N($H159))</f>
        <v/>
      </c>
      <c r="J159" s="26"/>
      <c r="K159" s="28"/>
      <c r="L159" s="26"/>
      <c r="M159" s="26"/>
      <c r="N159" s="28"/>
      <c r="O159" s="28"/>
    </row>
    <row r="160" customFormat="false" ht="15" hidden="false" customHeight="false" outlineLevel="0" collapsed="false">
      <c r="A160" s="26"/>
      <c r="B160" s="29"/>
      <c r="C160" s="26"/>
      <c r="D160" s="27" t="str">
        <f aca="false">IF($C160="","",IFERROR(INDEX(Invoices!$C$6:$C$505,MATCH($C160,Invoices!$A$6:$A$505,0)),"Invoice not found"))</f>
        <v/>
      </c>
      <c r="E160" s="35" t="str">
        <f aca="false">IF($C160="","",IFERROR(INDEX(Invoices!$L$6:$L$505,MATCH($C160,Invoices!$A$6:$A$505,0)),""))</f>
        <v/>
      </c>
      <c r="F160" s="32"/>
      <c r="G160" s="32"/>
      <c r="H160" s="32"/>
      <c r="I160" s="34" t="str">
        <f aca="false">IF($A160="","",N($F160)+N($G160)+N($H160))</f>
        <v/>
      </c>
      <c r="J160" s="26"/>
      <c r="K160" s="28"/>
      <c r="L160" s="26"/>
      <c r="M160" s="26"/>
      <c r="N160" s="28"/>
      <c r="O160" s="28"/>
    </row>
    <row r="161" customFormat="false" ht="15" hidden="false" customHeight="false" outlineLevel="0" collapsed="false">
      <c r="A161" s="26"/>
      <c r="B161" s="29"/>
      <c r="C161" s="26"/>
      <c r="D161" s="27" t="str">
        <f aca="false">IF($C161="","",IFERROR(INDEX(Invoices!$C$6:$C$505,MATCH($C161,Invoices!$A$6:$A$505,0)),"Invoice not found"))</f>
        <v/>
      </c>
      <c r="E161" s="35" t="str">
        <f aca="false">IF($C161="","",IFERROR(INDEX(Invoices!$L$6:$L$505,MATCH($C161,Invoices!$A$6:$A$505,0)),""))</f>
        <v/>
      </c>
      <c r="F161" s="32"/>
      <c r="G161" s="32"/>
      <c r="H161" s="32"/>
      <c r="I161" s="34" t="str">
        <f aca="false">IF($A161="","",N($F161)+N($G161)+N($H161))</f>
        <v/>
      </c>
      <c r="J161" s="26"/>
      <c r="K161" s="28"/>
      <c r="L161" s="26"/>
      <c r="M161" s="26"/>
      <c r="N161" s="28"/>
      <c r="O161" s="28"/>
    </row>
    <row r="162" customFormat="false" ht="15" hidden="false" customHeight="false" outlineLevel="0" collapsed="false">
      <c r="A162" s="26"/>
      <c r="B162" s="29"/>
      <c r="C162" s="26"/>
      <c r="D162" s="27" t="str">
        <f aca="false">IF($C162="","",IFERROR(INDEX(Invoices!$C$6:$C$505,MATCH($C162,Invoices!$A$6:$A$505,0)),"Invoice not found"))</f>
        <v/>
      </c>
      <c r="E162" s="35" t="str">
        <f aca="false">IF($C162="","",IFERROR(INDEX(Invoices!$L$6:$L$505,MATCH($C162,Invoices!$A$6:$A$505,0)),""))</f>
        <v/>
      </c>
      <c r="F162" s="32"/>
      <c r="G162" s="32"/>
      <c r="H162" s="32"/>
      <c r="I162" s="34" t="str">
        <f aca="false">IF($A162="","",N($F162)+N($G162)+N($H162))</f>
        <v/>
      </c>
      <c r="J162" s="26"/>
      <c r="K162" s="28"/>
      <c r="L162" s="26"/>
      <c r="M162" s="26"/>
      <c r="N162" s="28"/>
      <c r="O162" s="28"/>
    </row>
    <row r="163" customFormat="false" ht="15" hidden="false" customHeight="false" outlineLevel="0" collapsed="false">
      <c r="A163" s="26"/>
      <c r="B163" s="29"/>
      <c r="C163" s="26"/>
      <c r="D163" s="27" t="str">
        <f aca="false">IF($C163="","",IFERROR(INDEX(Invoices!$C$6:$C$505,MATCH($C163,Invoices!$A$6:$A$505,0)),"Invoice not found"))</f>
        <v/>
      </c>
      <c r="E163" s="35" t="str">
        <f aca="false">IF($C163="","",IFERROR(INDEX(Invoices!$L$6:$L$505,MATCH($C163,Invoices!$A$6:$A$505,0)),""))</f>
        <v/>
      </c>
      <c r="F163" s="32"/>
      <c r="G163" s="32"/>
      <c r="H163" s="32"/>
      <c r="I163" s="34" t="str">
        <f aca="false">IF($A163="","",N($F163)+N($G163)+N($H163))</f>
        <v/>
      </c>
      <c r="J163" s="26"/>
      <c r="K163" s="28"/>
      <c r="L163" s="26"/>
      <c r="M163" s="26"/>
      <c r="N163" s="28"/>
      <c r="O163" s="28"/>
    </row>
    <row r="164" customFormat="false" ht="15" hidden="false" customHeight="false" outlineLevel="0" collapsed="false">
      <c r="A164" s="26"/>
      <c r="B164" s="29"/>
      <c r="C164" s="26"/>
      <c r="D164" s="27" t="str">
        <f aca="false">IF($C164="","",IFERROR(INDEX(Invoices!$C$6:$C$505,MATCH($C164,Invoices!$A$6:$A$505,0)),"Invoice not found"))</f>
        <v/>
      </c>
      <c r="E164" s="35" t="str">
        <f aca="false">IF($C164="","",IFERROR(INDEX(Invoices!$L$6:$L$505,MATCH($C164,Invoices!$A$6:$A$505,0)),""))</f>
        <v/>
      </c>
      <c r="F164" s="32"/>
      <c r="G164" s="32"/>
      <c r="H164" s="32"/>
      <c r="I164" s="34" t="str">
        <f aca="false">IF($A164="","",N($F164)+N($G164)+N($H164))</f>
        <v/>
      </c>
      <c r="J164" s="26"/>
      <c r="K164" s="28"/>
      <c r="L164" s="26"/>
      <c r="M164" s="26"/>
      <c r="N164" s="28"/>
      <c r="O164" s="28"/>
    </row>
    <row r="165" customFormat="false" ht="15" hidden="false" customHeight="false" outlineLevel="0" collapsed="false">
      <c r="A165" s="26"/>
      <c r="B165" s="29"/>
      <c r="C165" s="26"/>
      <c r="D165" s="27" t="str">
        <f aca="false">IF($C165="","",IFERROR(INDEX(Invoices!$C$6:$C$505,MATCH($C165,Invoices!$A$6:$A$505,0)),"Invoice not found"))</f>
        <v/>
      </c>
      <c r="E165" s="35" t="str">
        <f aca="false">IF($C165="","",IFERROR(INDEX(Invoices!$L$6:$L$505,MATCH($C165,Invoices!$A$6:$A$505,0)),""))</f>
        <v/>
      </c>
      <c r="F165" s="32"/>
      <c r="G165" s="32"/>
      <c r="H165" s="32"/>
      <c r="I165" s="34" t="str">
        <f aca="false">IF($A165="","",N($F165)+N($G165)+N($H165))</f>
        <v/>
      </c>
      <c r="J165" s="26"/>
      <c r="K165" s="28"/>
      <c r="L165" s="26"/>
      <c r="M165" s="26"/>
      <c r="N165" s="28"/>
      <c r="O165" s="28"/>
    </row>
    <row r="166" customFormat="false" ht="15" hidden="false" customHeight="false" outlineLevel="0" collapsed="false">
      <c r="A166" s="26"/>
      <c r="B166" s="29"/>
      <c r="C166" s="26"/>
      <c r="D166" s="27" t="str">
        <f aca="false">IF($C166="","",IFERROR(INDEX(Invoices!$C$6:$C$505,MATCH($C166,Invoices!$A$6:$A$505,0)),"Invoice not found"))</f>
        <v/>
      </c>
      <c r="E166" s="35" t="str">
        <f aca="false">IF($C166="","",IFERROR(INDEX(Invoices!$L$6:$L$505,MATCH($C166,Invoices!$A$6:$A$505,0)),""))</f>
        <v/>
      </c>
      <c r="F166" s="32"/>
      <c r="G166" s="32"/>
      <c r="H166" s="32"/>
      <c r="I166" s="34" t="str">
        <f aca="false">IF($A166="","",N($F166)+N($G166)+N($H166))</f>
        <v/>
      </c>
      <c r="J166" s="26"/>
      <c r="K166" s="28"/>
      <c r="L166" s="26"/>
      <c r="M166" s="26"/>
      <c r="N166" s="28"/>
      <c r="O166" s="28"/>
    </row>
    <row r="167" customFormat="false" ht="15" hidden="false" customHeight="false" outlineLevel="0" collapsed="false">
      <c r="A167" s="26"/>
      <c r="B167" s="29"/>
      <c r="C167" s="26"/>
      <c r="D167" s="27" t="str">
        <f aca="false">IF($C167="","",IFERROR(INDEX(Invoices!$C$6:$C$505,MATCH($C167,Invoices!$A$6:$A$505,0)),"Invoice not found"))</f>
        <v/>
      </c>
      <c r="E167" s="35" t="str">
        <f aca="false">IF($C167="","",IFERROR(INDEX(Invoices!$L$6:$L$505,MATCH($C167,Invoices!$A$6:$A$505,0)),""))</f>
        <v/>
      </c>
      <c r="F167" s="32"/>
      <c r="G167" s="32"/>
      <c r="H167" s="32"/>
      <c r="I167" s="34" t="str">
        <f aca="false">IF($A167="","",N($F167)+N($G167)+N($H167))</f>
        <v/>
      </c>
      <c r="J167" s="26"/>
      <c r="K167" s="28"/>
      <c r="L167" s="26"/>
      <c r="M167" s="26"/>
      <c r="N167" s="28"/>
      <c r="O167" s="28"/>
    </row>
    <row r="168" customFormat="false" ht="15" hidden="false" customHeight="false" outlineLevel="0" collapsed="false">
      <c r="A168" s="26"/>
      <c r="B168" s="29"/>
      <c r="C168" s="26"/>
      <c r="D168" s="27" t="str">
        <f aca="false">IF($C168="","",IFERROR(INDEX(Invoices!$C$6:$C$505,MATCH($C168,Invoices!$A$6:$A$505,0)),"Invoice not found"))</f>
        <v/>
      </c>
      <c r="E168" s="35" t="str">
        <f aca="false">IF($C168="","",IFERROR(INDEX(Invoices!$L$6:$L$505,MATCH($C168,Invoices!$A$6:$A$505,0)),""))</f>
        <v/>
      </c>
      <c r="F168" s="32"/>
      <c r="G168" s="32"/>
      <c r="H168" s="32"/>
      <c r="I168" s="34" t="str">
        <f aca="false">IF($A168="","",N($F168)+N($G168)+N($H168))</f>
        <v/>
      </c>
      <c r="J168" s="26"/>
      <c r="K168" s="28"/>
      <c r="L168" s="26"/>
      <c r="M168" s="26"/>
      <c r="N168" s="28"/>
      <c r="O168" s="28"/>
    </row>
    <row r="169" customFormat="false" ht="15" hidden="false" customHeight="false" outlineLevel="0" collapsed="false">
      <c r="A169" s="26"/>
      <c r="B169" s="29"/>
      <c r="C169" s="26"/>
      <c r="D169" s="27" t="str">
        <f aca="false">IF($C169="","",IFERROR(INDEX(Invoices!$C$6:$C$505,MATCH($C169,Invoices!$A$6:$A$505,0)),"Invoice not found"))</f>
        <v/>
      </c>
      <c r="E169" s="35" t="str">
        <f aca="false">IF($C169="","",IFERROR(INDEX(Invoices!$L$6:$L$505,MATCH($C169,Invoices!$A$6:$A$505,0)),""))</f>
        <v/>
      </c>
      <c r="F169" s="32"/>
      <c r="G169" s="32"/>
      <c r="H169" s="32"/>
      <c r="I169" s="34" t="str">
        <f aca="false">IF($A169="","",N($F169)+N($G169)+N($H169))</f>
        <v/>
      </c>
      <c r="J169" s="26"/>
      <c r="K169" s="28"/>
      <c r="L169" s="26"/>
      <c r="M169" s="26"/>
      <c r="N169" s="28"/>
      <c r="O169" s="28"/>
    </row>
    <row r="170" customFormat="false" ht="15" hidden="false" customHeight="false" outlineLevel="0" collapsed="false">
      <c r="A170" s="26"/>
      <c r="B170" s="29"/>
      <c r="C170" s="26"/>
      <c r="D170" s="27" t="str">
        <f aca="false">IF($C170="","",IFERROR(INDEX(Invoices!$C$6:$C$505,MATCH($C170,Invoices!$A$6:$A$505,0)),"Invoice not found"))</f>
        <v/>
      </c>
      <c r="E170" s="35" t="str">
        <f aca="false">IF($C170="","",IFERROR(INDEX(Invoices!$L$6:$L$505,MATCH($C170,Invoices!$A$6:$A$505,0)),""))</f>
        <v/>
      </c>
      <c r="F170" s="32"/>
      <c r="G170" s="32"/>
      <c r="H170" s="32"/>
      <c r="I170" s="34" t="str">
        <f aca="false">IF($A170="","",N($F170)+N($G170)+N($H170))</f>
        <v/>
      </c>
      <c r="J170" s="26"/>
      <c r="K170" s="28"/>
      <c r="L170" s="26"/>
      <c r="M170" s="26"/>
      <c r="N170" s="28"/>
      <c r="O170" s="28"/>
    </row>
    <row r="171" customFormat="false" ht="15" hidden="false" customHeight="false" outlineLevel="0" collapsed="false">
      <c r="A171" s="26"/>
      <c r="B171" s="29"/>
      <c r="C171" s="26"/>
      <c r="D171" s="27" t="str">
        <f aca="false">IF($C171="","",IFERROR(INDEX(Invoices!$C$6:$C$505,MATCH($C171,Invoices!$A$6:$A$505,0)),"Invoice not found"))</f>
        <v/>
      </c>
      <c r="E171" s="35" t="str">
        <f aca="false">IF($C171="","",IFERROR(INDEX(Invoices!$L$6:$L$505,MATCH($C171,Invoices!$A$6:$A$505,0)),""))</f>
        <v/>
      </c>
      <c r="F171" s="32"/>
      <c r="G171" s="32"/>
      <c r="H171" s="32"/>
      <c r="I171" s="34" t="str">
        <f aca="false">IF($A171="","",N($F171)+N($G171)+N($H171))</f>
        <v/>
      </c>
      <c r="J171" s="26"/>
      <c r="K171" s="28"/>
      <c r="L171" s="26"/>
      <c r="M171" s="26"/>
      <c r="N171" s="28"/>
      <c r="O171" s="28"/>
    </row>
    <row r="172" customFormat="false" ht="15" hidden="false" customHeight="false" outlineLevel="0" collapsed="false">
      <c r="A172" s="26"/>
      <c r="B172" s="29"/>
      <c r="C172" s="26"/>
      <c r="D172" s="27" t="str">
        <f aca="false">IF($C172="","",IFERROR(INDEX(Invoices!$C$6:$C$505,MATCH($C172,Invoices!$A$6:$A$505,0)),"Invoice not found"))</f>
        <v/>
      </c>
      <c r="E172" s="35" t="str">
        <f aca="false">IF($C172="","",IFERROR(INDEX(Invoices!$L$6:$L$505,MATCH($C172,Invoices!$A$6:$A$505,0)),""))</f>
        <v/>
      </c>
      <c r="F172" s="32"/>
      <c r="G172" s="32"/>
      <c r="H172" s="32"/>
      <c r="I172" s="34" t="str">
        <f aca="false">IF($A172="","",N($F172)+N($G172)+N($H172))</f>
        <v/>
      </c>
      <c r="J172" s="26"/>
      <c r="K172" s="28"/>
      <c r="L172" s="26"/>
      <c r="M172" s="26"/>
      <c r="N172" s="28"/>
      <c r="O172" s="28"/>
    </row>
    <row r="173" customFormat="false" ht="15" hidden="false" customHeight="false" outlineLevel="0" collapsed="false">
      <c r="A173" s="26"/>
      <c r="B173" s="29"/>
      <c r="C173" s="26"/>
      <c r="D173" s="27" t="str">
        <f aca="false">IF($C173="","",IFERROR(INDEX(Invoices!$C$6:$C$505,MATCH($C173,Invoices!$A$6:$A$505,0)),"Invoice not found"))</f>
        <v/>
      </c>
      <c r="E173" s="35" t="str">
        <f aca="false">IF($C173="","",IFERROR(INDEX(Invoices!$L$6:$L$505,MATCH($C173,Invoices!$A$6:$A$505,0)),""))</f>
        <v/>
      </c>
      <c r="F173" s="32"/>
      <c r="G173" s="32"/>
      <c r="H173" s="32"/>
      <c r="I173" s="34" t="str">
        <f aca="false">IF($A173="","",N($F173)+N($G173)+N($H173))</f>
        <v/>
      </c>
      <c r="J173" s="26"/>
      <c r="K173" s="28"/>
      <c r="L173" s="26"/>
      <c r="M173" s="26"/>
      <c r="N173" s="28"/>
      <c r="O173" s="28"/>
    </row>
    <row r="174" customFormat="false" ht="15" hidden="false" customHeight="false" outlineLevel="0" collapsed="false">
      <c r="A174" s="26"/>
      <c r="B174" s="29"/>
      <c r="C174" s="26"/>
      <c r="D174" s="27" t="str">
        <f aca="false">IF($C174="","",IFERROR(INDEX(Invoices!$C$6:$C$505,MATCH($C174,Invoices!$A$6:$A$505,0)),"Invoice not found"))</f>
        <v/>
      </c>
      <c r="E174" s="35" t="str">
        <f aca="false">IF($C174="","",IFERROR(INDEX(Invoices!$L$6:$L$505,MATCH($C174,Invoices!$A$6:$A$505,0)),""))</f>
        <v/>
      </c>
      <c r="F174" s="32"/>
      <c r="G174" s="32"/>
      <c r="H174" s="32"/>
      <c r="I174" s="34" t="str">
        <f aca="false">IF($A174="","",N($F174)+N($G174)+N($H174))</f>
        <v/>
      </c>
      <c r="J174" s="26"/>
      <c r="K174" s="28"/>
      <c r="L174" s="26"/>
      <c r="M174" s="26"/>
      <c r="N174" s="28"/>
      <c r="O174" s="28"/>
    </row>
    <row r="175" customFormat="false" ht="15" hidden="false" customHeight="false" outlineLevel="0" collapsed="false">
      <c r="A175" s="26"/>
      <c r="B175" s="29"/>
      <c r="C175" s="26"/>
      <c r="D175" s="27" t="str">
        <f aca="false">IF($C175="","",IFERROR(INDEX(Invoices!$C$6:$C$505,MATCH($C175,Invoices!$A$6:$A$505,0)),"Invoice not found"))</f>
        <v/>
      </c>
      <c r="E175" s="35" t="str">
        <f aca="false">IF($C175="","",IFERROR(INDEX(Invoices!$L$6:$L$505,MATCH($C175,Invoices!$A$6:$A$505,0)),""))</f>
        <v/>
      </c>
      <c r="F175" s="32"/>
      <c r="G175" s="32"/>
      <c r="H175" s="32"/>
      <c r="I175" s="34" t="str">
        <f aca="false">IF($A175="","",N($F175)+N($G175)+N($H175))</f>
        <v/>
      </c>
      <c r="J175" s="26"/>
      <c r="K175" s="28"/>
      <c r="L175" s="26"/>
      <c r="M175" s="26"/>
      <c r="N175" s="28"/>
      <c r="O175" s="28"/>
    </row>
    <row r="176" customFormat="false" ht="15" hidden="false" customHeight="false" outlineLevel="0" collapsed="false">
      <c r="A176" s="26"/>
      <c r="B176" s="29"/>
      <c r="C176" s="26"/>
      <c r="D176" s="27" t="str">
        <f aca="false">IF($C176="","",IFERROR(INDEX(Invoices!$C$6:$C$505,MATCH($C176,Invoices!$A$6:$A$505,0)),"Invoice not found"))</f>
        <v/>
      </c>
      <c r="E176" s="35" t="str">
        <f aca="false">IF($C176="","",IFERROR(INDEX(Invoices!$L$6:$L$505,MATCH($C176,Invoices!$A$6:$A$505,0)),""))</f>
        <v/>
      </c>
      <c r="F176" s="32"/>
      <c r="G176" s="32"/>
      <c r="H176" s="32"/>
      <c r="I176" s="34" t="str">
        <f aca="false">IF($A176="","",N($F176)+N($G176)+N($H176))</f>
        <v/>
      </c>
      <c r="J176" s="26"/>
      <c r="K176" s="28"/>
      <c r="L176" s="26"/>
      <c r="M176" s="26"/>
      <c r="N176" s="28"/>
      <c r="O176" s="28"/>
    </row>
    <row r="177" customFormat="false" ht="15" hidden="false" customHeight="false" outlineLevel="0" collapsed="false">
      <c r="A177" s="26"/>
      <c r="B177" s="29"/>
      <c r="C177" s="26"/>
      <c r="D177" s="27" t="str">
        <f aca="false">IF($C177="","",IFERROR(INDEX(Invoices!$C$6:$C$505,MATCH($C177,Invoices!$A$6:$A$505,0)),"Invoice not found"))</f>
        <v/>
      </c>
      <c r="E177" s="35" t="str">
        <f aca="false">IF($C177="","",IFERROR(INDEX(Invoices!$L$6:$L$505,MATCH($C177,Invoices!$A$6:$A$505,0)),""))</f>
        <v/>
      </c>
      <c r="F177" s="32"/>
      <c r="G177" s="32"/>
      <c r="H177" s="32"/>
      <c r="I177" s="34" t="str">
        <f aca="false">IF($A177="","",N($F177)+N($G177)+N($H177))</f>
        <v/>
      </c>
      <c r="J177" s="26"/>
      <c r="K177" s="28"/>
      <c r="L177" s="26"/>
      <c r="M177" s="26"/>
      <c r="N177" s="28"/>
      <c r="O177" s="28"/>
    </row>
    <row r="178" customFormat="false" ht="15" hidden="false" customHeight="false" outlineLevel="0" collapsed="false">
      <c r="A178" s="26"/>
      <c r="B178" s="29"/>
      <c r="C178" s="26"/>
      <c r="D178" s="27" t="str">
        <f aca="false">IF($C178="","",IFERROR(INDEX(Invoices!$C$6:$C$505,MATCH($C178,Invoices!$A$6:$A$505,0)),"Invoice not found"))</f>
        <v/>
      </c>
      <c r="E178" s="35" t="str">
        <f aca="false">IF($C178="","",IFERROR(INDEX(Invoices!$L$6:$L$505,MATCH($C178,Invoices!$A$6:$A$505,0)),""))</f>
        <v/>
      </c>
      <c r="F178" s="32"/>
      <c r="G178" s="32"/>
      <c r="H178" s="32"/>
      <c r="I178" s="34" t="str">
        <f aca="false">IF($A178="","",N($F178)+N($G178)+N($H178))</f>
        <v/>
      </c>
      <c r="J178" s="26"/>
      <c r="K178" s="28"/>
      <c r="L178" s="26"/>
      <c r="M178" s="26"/>
      <c r="N178" s="28"/>
      <c r="O178" s="28"/>
    </row>
    <row r="179" customFormat="false" ht="15" hidden="false" customHeight="false" outlineLevel="0" collapsed="false">
      <c r="A179" s="26"/>
      <c r="B179" s="29"/>
      <c r="C179" s="26"/>
      <c r="D179" s="27" t="str">
        <f aca="false">IF($C179="","",IFERROR(INDEX(Invoices!$C$6:$C$505,MATCH($C179,Invoices!$A$6:$A$505,0)),"Invoice not found"))</f>
        <v/>
      </c>
      <c r="E179" s="35" t="str">
        <f aca="false">IF($C179="","",IFERROR(INDEX(Invoices!$L$6:$L$505,MATCH($C179,Invoices!$A$6:$A$505,0)),""))</f>
        <v/>
      </c>
      <c r="F179" s="32"/>
      <c r="G179" s="32"/>
      <c r="H179" s="32"/>
      <c r="I179" s="34" t="str">
        <f aca="false">IF($A179="","",N($F179)+N($G179)+N($H179))</f>
        <v/>
      </c>
      <c r="J179" s="26"/>
      <c r="K179" s="28"/>
      <c r="L179" s="26"/>
      <c r="M179" s="26"/>
      <c r="N179" s="28"/>
      <c r="O179" s="28"/>
    </row>
    <row r="180" customFormat="false" ht="15" hidden="false" customHeight="false" outlineLevel="0" collapsed="false">
      <c r="A180" s="26"/>
      <c r="B180" s="29"/>
      <c r="C180" s="26"/>
      <c r="D180" s="27" t="str">
        <f aca="false">IF($C180="","",IFERROR(INDEX(Invoices!$C$6:$C$505,MATCH($C180,Invoices!$A$6:$A$505,0)),"Invoice not found"))</f>
        <v/>
      </c>
      <c r="E180" s="35" t="str">
        <f aca="false">IF($C180="","",IFERROR(INDEX(Invoices!$L$6:$L$505,MATCH($C180,Invoices!$A$6:$A$505,0)),""))</f>
        <v/>
      </c>
      <c r="F180" s="32"/>
      <c r="G180" s="32"/>
      <c r="H180" s="32"/>
      <c r="I180" s="34" t="str">
        <f aca="false">IF($A180="","",N($F180)+N($G180)+N($H180))</f>
        <v/>
      </c>
      <c r="J180" s="26"/>
      <c r="K180" s="28"/>
      <c r="L180" s="26"/>
      <c r="M180" s="26"/>
      <c r="N180" s="28"/>
      <c r="O180" s="28"/>
    </row>
    <row r="181" customFormat="false" ht="15" hidden="false" customHeight="false" outlineLevel="0" collapsed="false">
      <c r="A181" s="26"/>
      <c r="B181" s="29"/>
      <c r="C181" s="26"/>
      <c r="D181" s="27" t="str">
        <f aca="false">IF($C181="","",IFERROR(INDEX(Invoices!$C$6:$C$505,MATCH($C181,Invoices!$A$6:$A$505,0)),"Invoice not found"))</f>
        <v/>
      </c>
      <c r="E181" s="35" t="str">
        <f aca="false">IF($C181="","",IFERROR(INDEX(Invoices!$L$6:$L$505,MATCH($C181,Invoices!$A$6:$A$505,0)),""))</f>
        <v/>
      </c>
      <c r="F181" s="32"/>
      <c r="G181" s="32"/>
      <c r="H181" s="32"/>
      <c r="I181" s="34" t="str">
        <f aca="false">IF($A181="","",N($F181)+N($G181)+N($H181))</f>
        <v/>
      </c>
      <c r="J181" s="26"/>
      <c r="K181" s="28"/>
      <c r="L181" s="26"/>
      <c r="M181" s="26"/>
      <c r="N181" s="28"/>
      <c r="O181" s="28"/>
    </row>
    <row r="182" customFormat="false" ht="15" hidden="false" customHeight="false" outlineLevel="0" collapsed="false">
      <c r="A182" s="26"/>
      <c r="B182" s="29"/>
      <c r="C182" s="26"/>
      <c r="D182" s="27" t="str">
        <f aca="false">IF($C182="","",IFERROR(INDEX(Invoices!$C$6:$C$505,MATCH($C182,Invoices!$A$6:$A$505,0)),"Invoice not found"))</f>
        <v/>
      </c>
      <c r="E182" s="35" t="str">
        <f aca="false">IF($C182="","",IFERROR(INDEX(Invoices!$L$6:$L$505,MATCH($C182,Invoices!$A$6:$A$505,0)),""))</f>
        <v/>
      </c>
      <c r="F182" s="32"/>
      <c r="G182" s="32"/>
      <c r="H182" s="32"/>
      <c r="I182" s="34" t="str">
        <f aca="false">IF($A182="","",N($F182)+N($G182)+N($H182))</f>
        <v/>
      </c>
      <c r="J182" s="26"/>
      <c r="K182" s="28"/>
      <c r="L182" s="26"/>
      <c r="M182" s="26"/>
      <c r="N182" s="28"/>
      <c r="O182" s="28"/>
    </row>
    <row r="183" customFormat="false" ht="15" hidden="false" customHeight="false" outlineLevel="0" collapsed="false">
      <c r="A183" s="26"/>
      <c r="B183" s="29"/>
      <c r="C183" s="26"/>
      <c r="D183" s="27" t="str">
        <f aca="false">IF($C183="","",IFERROR(INDEX(Invoices!$C$6:$C$505,MATCH($C183,Invoices!$A$6:$A$505,0)),"Invoice not found"))</f>
        <v/>
      </c>
      <c r="E183" s="35" t="str">
        <f aca="false">IF($C183="","",IFERROR(INDEX(Invoices!$L$6:$L$505,MATCH($C183,Invoices!$A$6:$A$505,0)),""))</f>
        <v/>
      </c>
      <c r="F183" s="32"/>
      <c r="G183" s="32"/>
      <c r="H183" s="32"/>
      <c r="I183" s="34" t="str">
        <f aca="false">IF($A183="","",N($F183)+N($G183)+N($H183))</f>
        <v/>
      </c>
      <c r="J183" s="26"/>
      <c r="K183" s="28"/>
      <c r="L183" s="26"/>
      <c r="M183" s="26"/>
      <c r="N183" s="28"/>
      <c r="O183" s="28"/>
    </row>
    <row r="184" customFormat="false" ht="15" hidden="false" customHeight="false" outlineLevel="0" collapsed="false">
      <c r="A184" s="26"/>
      <c r="B184" s="29"/>
      <c r="C184" s="26"/>
      <c r="D184" s="27" t="str">
        <f aca="false">IF($C184="","",IFERROR(INDEX(Invoices!$C$6:$C$505,MATCH($C184,Invoices!$A$6:$A$505,0)),"Invoice not found"))</f>
        <v/>
      </c>
      <c r="E184" s="35" t="str">
        <f aca="false">IF($C184="","",IFERROR(INDEX(Invoices!$L$6:$L$505,MATCH($C184,Invoices!$A$6:$A$505,0)),""))</f>
        <v/>
      </c>
      <c r="F184" s="32"/>
      <c r="G184" s="32"/>
      <c r="H184" s="32"/>
      <c r="I184" s="34" t="str">
        <f aca="false">IF($A184="","",N($F184)+N($G184)+N($H184))</f>
        <v/>
      </c>
      <c r="J184" s="26"/>
      <c r="K184" s="28"/>
      <c r="L184" s="26"/>
      <c r="M184" s="26"/>
      <c r="N184" s="28"/>
      <c r="O184" s="28"/>
    </row>
    <row r="185" customFormat="false" ht="15" hidden="false" customHeight="false" outlineLevel="0" collapsed="false">
      <c r="A185" s="26"/>
      <c r="B185" s="29"/>
      <c r="C185" s="26"/>
      <c r="D185" s="27" t="str">
        <f aca="false">IF($C185="","",IFERROR(INDEX(Invoices!$C$6:$C$505,MATCH($C185,Invoices!$A$6:$A$505,0)),"Invoice not found"))</f>
        <v/>
      </c>
      <c r="E185" s="35" t="str">
        <f aca="false">IF($C185="","",IFERROR(INDEX(Invoices!$L$6:$L$505,MATCH($C185,Invoices!$A$6:$A$505,0)),""))</f>
        <v/>
      </c>
      <c r="F185" s="32"/>
      <c r="G185" s="32"/>
      <c r="H185" s="32"/>
      <c r="I185" s="34" t="str">
        <f aca="false">IF($A185="","",N($F185)+N($G185)+N($H185))</f>
        <v/>
      </c>
      <c r="J185" s="26"/>
      <c r="K185" s="28"/>
      <c r="L185" s="26"/>
      <c r="M185" s="26"/>
      <c r="N185" s="28"/>
      <c r="O185" s="28"/>
    </row>
    <row r="186" customFormat="false" ht="15" hidden="false" customHeight="false" outlineLevel="0" collapsed="false">
      <c r="A186" s="26"/>
      <c r="B186" s="29"/>
      <c r="C186" s="26"/>
      <c r="D186" s="27" t="str">
        <f aca="false">IF($C186="","",IFERROR(INDEX(Invoices!$C$6:$C$505,MATCH($C186,Invoices!$A$6:$A$505,0)),"Invoice not found"))</f>
        <v/>
      </c>
      <c r="E186" s="35" t="str">
        <f aca="false">IF($C186="","",IFERROR(INDEX(Invoices!$L$6:$L$505,MATCH($C186,Invoices!$A$6:$A$505,0)),""))</f>
        <v/>
      </c>
      <c r="F186" s="32"/>
      <c r="G186" s="32"/>
      <c r="H186" s="32"/>
      <c r="I186" s="34" t="str">
        <f aca="false">IF($A186="","",N($F186)+N($G186)+N($H186))</f>
        <v/>
      </c>
      <c r="J186" s="26"/>
      <c r="K186" s="28"/>
      <c r="L186" s="26"/>
      <c r="M186" s="26"/>
      <c r="N186" s="28"/>
      <c r="O186" s="28"/>
    </row>
    <row r="187" customFormat="false" ht="15" hidden="false" customHeight="false" outlineLevel="0" collapsed="false">
      <c r="A187" s="26"/>
      <c r="B187" s="29"/>
      <c r="C187" s="26"/>
      <c r="D187" s="27" t="str">
        <f aca="false">IF($C187="","",IFERROR(INDEX(Invoices!$C$6:$C$505,MATCH($C187,Invoices!$A$6:$A$505,0)),"Invoice not found"))</f>
        <v/>
      </c>
      <c r="E187" s="35" t="str">
        <f aca="false">IF($C187="","",IFERROR(INDEX(Invoices!$L$6:$L$505,MATCH($C187,Invoices!$A$6:$A$505,0)),""))</f>
        <v/>
      </c>
      <c r="F187" s="32"/>
      <c r="G187" s="32"/>
      <c r="H187" s="32"/>
      <c r="I187" s="34" t="str">
        <f aca="false">IF($A187="","",N($F187)+N($G187)+N($H187))</f>
        <v/>
      </c>
      <c r="J187" s="26"/>
      <c r="K187" s="28"/>
      <c r="L187" s="26"/>
      <c r="M187" s="26"/>
      <c r="N187" s="28"/>
      <c r="O187" s="28"/>
    </row>
    <row r="188" customFormat="false" ht="15" hidden="false" customHeight="false" outlineLevel="0" collapsed="false">
      <c r="A188" s="26"/>
      <c r="B188" s="29"/>
      <c r="C188" s="26"/>
      <c r="D188" s="27" t="str">
        <f aca="false">IF($C188="","",IFERROR(INDEX(Invoices!$C$6:$C$505,MATCH($C188,Invoices!$A$6:$A$505,0)),"Invoice not found"))</f>
        <v/>
      </c>
      <c r="E188" s="35" t="str">
        <f aca="false">IF($C188="","",IFERROR(INDEX(Invoices!$L$6:$L$505,MATCH($C188,Invoices!$A$6:$A$505,0)),""))</f>
        <v/>
      </c>
      <c r="F188" s="32"/>
      <c r="G188" s="32"/>
      <c r="H188" s="32"/>
      <c r="I188" s="34" t="str">
        <f aca="false">IF($A188="","",N($F188)+N($G188)+N($H188))</f>
        <v/>
      </c>
      <c r="J188" s="26"/>
      <c r="K188" s="28"/>
      <c r="L188" s="26"/>
      <c r="M188" s="26"/>
      <c r="N188" s="28"/>
      <c r="O188" s="28"/>
    </row>
    <row r="189" customFormat="false" ht="15" hidden="false" customHeight="false" outlineLevel="0" collapsed="false">
      <c r="A189" s="26"/>
      <c r="B189" s="29"/>
      <c r="C189" s="26"/>
      <c r="D189" s="27" t="str">
        <f aca="false">IF($C189="","",IFERROR(INDEX(Invoices!$C$6:$C$505,MATCH($C189,Invoices!$A$6:$A$505,0)),"Invoice not found"))</f>
        <v/>
      </c>
      <c r="E189" s="35" t="str">
        <f aca="false">IF($C189="","",IFERROR(INDEX(Invoices!$L$6:$L$505,MATCH($C189,Invoices!$A$6:$A$505,0)),""))</f>
        <v/>
      </c>
      <c r="F189" s="32"/>
      <c r="G189" s="32"/>
      <c r="H189" s="32"/>
      <c r="I189" s="34" t="str">
        <f aca="false">IF($A189="","",N($F189)+N($G189)+N($H189))</f>
        <v/>
      </c>
      <c r="J189" s="26"/>
      <c r="K189" s="28"/>
      <c r="L189" s="26"/>
      <c r="M189" s="26"/>
      <c r="N189" s="28"/>
      <c r="O189" s="28"/>
    </row>
    <row r="190" customFormat="false" ht="15" hidden="false" customHeight="false" outlineLevel="0" collapsed="false">
      <c r="A190" s="26"/>
      <c r="B190" s="29"/>
      <c r="C190" s="26"/>
      <c r="D190" s="27" t="str">
        <f aca="false">IF($C190="","",IFERROR(INDEX(Invoices!$C$6:$C$505,MATCH($C190,Invoices!$A$6:$A$505,0)),"Invoice not found"))</f>
        <v/>
      </c>
      <c r="E190" s="35" t="str">
        <f aca="false">IF($C190="","",IFERROR(INDEX(Invoices!$L$6:$L$505,MATCH($C190,Invoices!$A$6:$A$505,0)),""))</f>
        <v/>
      </c>
      <c r="F190" s="32"/>
      <c r="G190" s="32"/>
      <c r="H190" s="32"/>
      <c r="I190" s="34" t="str">
        <f aca="false">IF($A190="","",N($F190)+N($G190)+N($H190))</f>
        <v/>
      </c>
      <c r="J190" s="26"/>
      <c r="K190" s="28"/>
      <c r="L190" s="26"/>
      <c r="M190" s="26"/>
      <c r="N190" s="28"/>
      <c r="O190" s="28"/>
    </row>
    <row r="191" customFormat="false" ht="15" hidden="false" customHeight="false" outlineLevel="0" collapsed="false">
      <c r="A191" s="26"/>
      <c r="B191" s="29"/>
      <c r="C191" s="26"/>
      <c r="D191" s="27" t="str">
        <f aca="false">IF($C191="","",IFERROR(INDEX(Invoices!$C$6:$C$505,MATCH($C191,Invoices!$A$6:$A$505,0)),"Invoice not found"))</f>
        <v/>
      </c>
      <c r="E191" s="35" t="str">
        <f aca="false">IF($C191="","",IFERROR(INDEX(Invoices!$L$6:$L$505,MATCH($C191,Invoices!$A$6:$A$505,0)),""))</f>
        <v/>
      </c>
      <c r="F191" s="32"/>
      <c r="G191" s="32"/>
      <c r="H191" s="32"/>
      <c r="I191" s="34" t="str">
        <f aca="false">IF($A191="","",N($F191)+N($G191)+N($H191))</f>
        <v/>
      </c>
      <c r="J191" s="26"/>
      <c r="K191" s="28"/>
      <c r="L191" s="26"/>
      <c r="M191" s="26"/>
      <c r="N191" s="28"/>
      <c r="O191" s="28"/>
    </row>
    <row r="192" customFormat="false" ht="15" hidden="false" customHeight="false" outlineLevel="0" collapsed="false">
      <c r="A192" s="26"/>
      <c r="B192" s="29"/>
      <c r="C192" s="26"/>
      <c r="D192" s="27" t="str">
        <f aca="false">IF($C192="","",IFERROR(INDEX(Invoices!$C$6:$C$505,MATCH($C192,Invoices!$A$6:$A$505,0)),"Invoice not found"))</f>
        <v/>
      </c>
      <c r="E192" s="35" t="str">
        <f aca="false">IF($C192="","",IFERROR(INDEX(Invoices!$L$6:$L$505,MATCH($C192,Invoices!$A$6:$A$505,0)),""))</f>
        <v/>
      </c>
      <c r="F192" s="32"/>
      <c r="G192" s="32"/>
      <c r="H192" s="32"/>
      <c r="I192" s="34" t="str">
        <f aca="false">IF($A192="","",N($F192)+N($G192)+N($H192))</f>
        <v/>
      </c>
      <c r="J192" s="26"/>
      <c r="K192" s="28"/>
      <c r="L192" s="26"/>
      <c r="M192" s="26"/>
      <c r="N192" s="28"/>
      <c r="O192" s="28"/>
    </row>
    <row r="193" customFormat="false" ht="15" hidden="false" customHeight="false" outlineLevel="0" collapsed="false">
      <c r="A193" s="26"/>
      <c r="B193" s="29"/>
      <c r="C193" s="26"/>
      <c r="D193" s="27" t="str">
        <f aca="false">IF($C193="","",IFERROR(INDEX(Invoices!$C$6:$C$505,MATCH($C193,Invoices!$A$6:$A$505,0)),"Invoice not found"))</f>
        <v/>
      </c>
      <c r="E193" s="35" t="str">
        <f aca="false">IF($C193="","",IFERROR(INDEX(Invoices!$L$6:$L$505,MATCH($C193,Invoices!$A$6:$A$505,0)),""))</f>
        <v/>
      </c>
      <c r="F193" s="32"/>
      <c r="G193" s="32"/>
      <c r="H193" s="32"/>
      <c r="I193" s="34" t="str">
        <f aca="false">IF($A193="","",N($F193)+N($G193)+N($H193))</f>
        <v/>
      </c>
      <c r="J193" s="26"/>
      <c r="K193" s="28"/>
      <c r="L193" s="26"/>
      <c r="M193" s="26"/>
      <c r="N193" s="28"/>
      <c r="O193" s="28"/>
    </row>
    <row r="194" customFormat="false" ht="15" hidden="false" customHeight="false" outlineLevel="0" collapsed="false">
      <c r="A194" s="26"/>
      <c r="B194" s="29"/>
      <c r="C194" s="26"/>
      <c r="D194" s="27" t="str">
        <f aca="false">IF($C194="","",IFERROR(INDEX(Invoices!$C$6:$C$505,MATCH($C194,Invoices!$A$6:$A$505,0)),"Invoice not found"))</f>
        <v/>
      </c>
      <c r="E194" s="35" t="str">
        <f aca="false">IF($C194="","",IFERROR(INDEX(Invoices!$L$6:$L$505,MATCH($C194,Invoices!$A$6:$A$505,0)),""))</f>
        <v/>
      </c>
      <c r="F194" s="32"/>
      <c r="G194" s="32"/>
      <c r="H194" s="32"/>
      <c r="I194" s="34" t="str">
        <f aca="false">IF($A194="","",N($F194)+N($G194)+N($H194))</f>
        <v/>
      </c>
      <c r="J194" s="26"/>
      <c r="K194" s="28"/>
      <c r="L194" s="26"/>
      <c r="M194" s="26"/>
      <c r="N194" s="28"/>
      <c r="O194" s="28"/>
    </row>
    <row r="195" customFormat="false" ht="15" hidden="false" customHeight="false" outlineLevel="0" collapsed="false">
      <c r="A195" s="26"/>
      <c r="B195" s="29"/>
      <c r="C195" s="26"/>
      <c r="D195" s="27" t="str">
        <f aca="false">IF($C195="","",IFERROR(INDEX(Invoices!$C$6:$C$505,MATCH($C195,Invoices!$A$6:$A$505,0)),"Invoice not found"))</f>
        <v/>
      </c>
      <c r="E195" s="35" t="str">
        <f aca="false">IF($C195="","",IFERROR(INDEX(Invoices!$L$6:$L$505,MATCH($C195,Invoices!$A$6:$A$505,0)),""))</f>
        <v/>
      </c>
      <c r="F195" s="32"/>
      <c r="G195" s="32"/>
      <c r="H195" s="32"/>
      <c r="I195" s="34" t="str">
        <f aca="false">IF($A195="","",N($F195)+N($G195)+N($H195))</f>
        <v/>
      </c>
      <c r="J195" s="26"/>
      <c r="K195" s="28"/>
      <c r="L195" s="26"/>
      <c r="M195" s="26"/>
      <c r="N195" s="28"/>
      <c r="O195" s="28"/>
    </row>
    <row r="196" customFormat="false" ht="15" hidden="false" customHeight="false" outlineLevel="0" collapsed="false">
      <c r="A196" s="26"/>
      <c r="B196" s="29"/>
      <c r="C196" s="26"/>
      <c r="D196" s="27" t="str">
        <f aca="false">IF($C196="","",IFERROR(INDEX(Invoices!$C$6:$C$505,MATCH($C196,Invoices!$A$6:$A$505,0)),"Invoice not found"))</f>
        <v/>
      </c>
      <c r="E196" s="35" t="str">
        <f aca="false">IF($C196="","",IFERROR(INDEX(Invoices!$L$6:$L$505,MATCH($C196,Invoices!$A$6:$A$505,0)),""))</f>
        <v/>
      </c>
      <c r="F196" s="32"/>
      <c r="G196" s="32"/>
      <c r="H196" s="32"/>
      <c r="I196" s="34" t="str">
        <f aca="false">IF($A196="","",N($F196)+N($G196)+N($H196))</f>
        <v/>
      </c>
      <c r="J196" s="26"/>
      <c r="K196" s="28"/>
      <c r="L196" s="26"/>
      <c r="M196" s="26"/>
      <c r="N196" s="28"/>
      <c r="O196" s="28"/>
    </row>
    <row r="197" customFormat="false" ht="15" hidden="false" customHeight="false" outlineLevel="0" collapsed="false">
      <c r="A197" s="26"/>
      <c r="B197" s="29"/>
      <c r="C197" s="26"/>
      <c r="D197" s="27" t="str">
        <f aca="false">IF($C197="","",IFERROR(INDEX(Invoices!$C$6:$C$505,MATCH($C197,Invoices!$A$6:$A$505,0)),"Invoice not found"))</f>
        <v/>
      </c>
      <c r="E197" s="35" t="str">
        <f aca="false">IF($C197="","",IFERROR(INDEX(Invoices!$L$6:$L$505,MATCH($C197,Invoices!$A$6:$A$505,0)),""))</f>
        <v/>
      </c>
      <c r="F197" s="32"/>
      <c r="G197" s="32"/>
      <c r="H197" s="32"/>
      <c r="I197" s="34" t="str">
        <f aca="false">IF($A197="","",N($F197)+N($G197)+N($H197))</f>
        <v/>
      </c>
      <c r="J197" s="26"/>
      <c r="K197" s="28"/>
      <c r="L197" s="26"/>
      <c r="M197" s="26"/>
      <c r="N197" s="28"/>
      <c r="O197" s="28"/>
    </row>
    <row r="198" customFormat="false" ht="15" hidden="false" customHeight="false" outlineLevel="0" collapsed="false">
      <c r="A198" s="26"/>
      <c r="B198" s="29"/>
      <c r="C198" s="26"/>
      <c r="D198" s="27" t="str">
        <f aca="false">IF($C198="","",IFERROR(INDEX(Invoices!$C$6:$C$505,MATCH($C198,Invoices!$A$6:$A$505,0)),"Invoice not found"))</f>
        <v/>
      </c>
      <c r="E198" s="35" t="str">
        <f aca="false">IF($C198="","",IFERROR(INDEX(Invoices!$L$6:$L$505,MATCH($C198,Invoices!$A$6:$A$505,0)),""))</f>
        <v/>
      </c>
      <c r="F198" s="32"/>
      <c r="G198" s="32"/>
      <c r="H198" s="32"/>
      <c r="I198" s="34" t="str">
        <f aca="false">IF($A198="","",N($F198)+N($G198)+N($H198))</f>
        <v/>
      </c>
      <c r="J198" s="26"/>
      <c r="K198" s="28"/>
      <c r="L198" s="26"/>
      <c r="M198" s="26"/>
      <c r="N198" s="28"/>
      <c r="O198" s="28"/>
    </row>
    <row r="199" customFormat="false" ht="15" hidden="false" customHeight="false" outlineLevel="0" collapsed="false">
      <c r="A199" s="26"/>
      <c r="B199" s="29"/>
      <c r="C199" s="26"/>
      <c r="D199" s="27" t="str">
        <f aca="false">IF($C199="","",IFERROR(INDEX(Invoices!$C$6:$C$505,MATCH($C199,Invoices!$A$6:$A$505,0)),"Invoice not found"))</f>
        <v/>
      </c>
      <c r="E199" s="35" t="str">
        <f aca="false">IF($C199="","",IFERROR(INDEX(Invoices!$L$6:$L$505,MATCH($C199,Invoices!$A$6:$A$505,0)),""))</f>
        <v/>
      </c>
      <c r="F199" s="32"/>
      <c r="G199" s="32"/>
      <c r="H199" s="32"/>
      <c r="I199" s="34" t="str">
        <f aca="false">IF($A199="","",N($F199)+N($G199)+N($H199))</f>
        <v/>
      </c>
      <c r="J199" s="26"/>
      <c r="K199" s="28"/>
      <c r="L199" s="26"/>
      <c r="M199" s="26"/>
      <c r="N199" s="28"/>
      <c r="O199" s="28"/>
    </row>
    <row r="200" customFormat="false" ht="15" hidden="false" customHeight="false" outlineLevel="0" collapsed="false">
      <c r="A200" s="26"/>
      <c r="B200" s="29"/>
      <c r="C200" s="26"/>
      <c r="D200" s="27" t="str">
        <f aca="false">IF($C200="","",IFERROR(INDEX(Invoices!$C$6:$C$505,MATCH($C200,Invoices!$A$6:$A$505,0)),"Invoice not found"))</f>
        <v/>
      </c>
      <c r="E200" s="35" t="str">
        <f aca="false">IF($C200="","",IFERROR(INDEX(Invoices!$L$6:$L$505,MATCH($C200,Invoices!$A$6:$A$505,0)),""))</f>
        <v/>
      </c>
      <c r="F200" s="32"/>
      <c r="G200" s="32"/>
      <c r="H200" s="32"/>
      <c r="I200" s="34" t="str">
        <f aca="false">IF($A200="","",N($F200)+N($G200)+N($H200))</f>
        <v/>
      </c>
      <c r="J200" s="26"/>
      <c r="K200" s="28"/>
      <c r="L200" s="26"/>
      <c r="M200" s="26"/>
      <c r="N200" s="28"/>
      <c r="O200" s="28"/>
    </row>
    <row r="201" customFormat="false" ht="15" hidden="false" customHeight="false" outlineLevel="0" collapsed="false">
      <c r="A201" s="26"/>
      <c r="B201" s="29"/>
      <c r="C201" s="26"/>
      <c r="D201" s="27" t="str">
        <f aca="false">IF($C201="","",IFERROR(INDEX(Invoices!$C$6:$C$505,MATCH($C201,Invoices!$A$6:$A$505,0)),"Invoice not found"))</f>
        <v/>
      </c>
      <c r="E201" s="35" t="str">
        <f aca="false">IF($C201="","",IFERROR(INDEX(Invoices!$L$6:$L$505,MATCH($C201,Invoices!$A$6:$A$505,0)),""))</f>
        <v/>
      </c>
      <c r="F201" s="32"/>
      <c r="G201" s="32"/>
      <c r="H201" s="32"/>
      <c r="I201" s="34" t="str">
        <f aca="false">IF($A201="","",N($F201)+N($G201)+N($H201))</f>
        <v/>
      </c>
      <c r="J201" s="26"/>
      <c r="K201" s="28"/>
      <c r="L201" s="26"/>
      <c r="M201" s="26"/>
      <c r="N201" s="28"/>
      <c r="O201" s="28"/>
    </row>
    <row r="202" customFormat="false" ht="15" hidden="false" customHeight="false" outlineLevel="0" collapsed="false">
      <c r="A202" s="26"/>
      <c r="B202" s="29"/>
      <c r="C202" s="26"/>
      <c r="D202" s="27" t="str">
        <f aca="false">IF($C202="","",IFERROR(INDEX(Invoices!$C$6:$C$505,MATCH($C202,Invoices!$A$6:$A$505,0)),"Invoice not found"))</f>
        <v/>
      </c>
      <c r="E202" s="35" t="str">
        <f aca="false">IF($C202="","",IFERROR(INDEX(Invoices!$L$6:$L$505,MATCH($C202,Invoices!$A$6:$A$505,0)),""))</f>
        <v/>
      </c>
      <c r="F202" s="32"/>
      <c r="G202" s="32"/>
      <c r="H202" s="32"/>
      <c r="I202" s="34" t="str">
        <f aca="false">IF($A202="","",N($F202)+N($G202)+N($H202))</f>
        <v/>
      </c>
      <c r="J202" s="26"/>
      <c r="K202" s="28"/>
      <c r="L202" s="26"/>
      <c r="M202" s="26"/>
      <c r="N202" s="28"/>
      <c r="O202" s="28"/>
    </row>
    <row r="203" customFormat="false" ht="15" hidden="false" customHeight="false" outlineLevel="0" collapsed="false">
      <c r="A203" s="26"/>
      <c r="B203" s="29"/>
      <c r="C203" s="26"/>
      <c r="D203" s="27" t="str">
        <f aca="false">IF($C203="","",IFERROR(INDEX(Invoices!$C$6:$C$505,MATCH($C203,Invoices!$A$6:$A$505,0)),"Invoice not found"))</f>
        <v/>
      </c>
      <c r="E203" s="35" t="str">
        <f aca="false">IF($C203="","",IFERROR(INDEX(Invoices!$L$6:$L$505,MATCH($C203,Invoices!$A$6:$A$505,0)),""))</f>
        <v/>
      </c>
      <c r="F203" s="32"/>
      <c r="G203" s="32"/>
      <c r="H203" s="32"/>
      <c r="I203" s="34" t="str">
        <f aca="false">IF($A203="","",N($F203)+N($G203)+N($H203))</f>
        <v/>
      </c>
      <c r="J203" s="26"/>
      <c r="K203" s="28"/>
      <c r="L203" s="26"/>
      <c r="M203" s="26"/>
      <c r="N203" s="28"/>
      <c r="O203" s="28"/>
    </row>
    <row r="204" customFormat="false" ht="15" hidden="false" customHeight="false" outlineLevel="0" collapsed="false">
      <c r="A204" s="26"/>
      <c r="B204" s="29"/>
      <c r="C204" s="26"/>
      <c r="D204" s="27" t="str">
        <f aca="false">IF($C204="","",IFERROR(INDEX(Invoices!$C$6:$C$505,MATCH($C204,Invoices!$A$6:$A$505,0)),"Invoice not found"))</f>
        <v/>
      </c>
      <c r="E204" s="35" t="str">
        <f aca="false">IF($C204="","",IFERROR(INDEX(Invoices!$L$6:$L$505,MATCH($C204,Invoices!$A$6:$A$505,0)),""))</f>
        <v/>
      </c>
      <c r="F204" s="32"/>
      <c r="G204" s="32"/>
      <c r="H204" s="32"/>
      <c r="I204" s="34" t="str">
        <f aca="false">IF($A204="","",N($F204)+N($G204)+N($H204))</f>
        <v/>
      </c>
      <c r="J204" s="26"/>
      <c r="K204" s="28"/>
      <c r="L204" s="26"/>
      <c r="M204" s="26"/>
      <c r="N204" s="28"/>
      <c r="O204" s="28"/>
    </row>
    <row r="205" customFormat="false" ht="15" hidden="false" customHeight="false" outlineLevel="0" collapsed="false">
      <c r="A205" s="26"/>
      <c r="B205" s="29"/>
      <c r="C205" s="26"/>
      <c r="D205" s="27" t="str">
        <f aca="false">IF($C205="","",IFERROR(INDEX(Invoices!$C$6:$C$505,MATCH($C205,Invoices!$A$6:$A$505,0)),"Invoice not found"))</f>
        <v/>
      </c>
      <c r="E205" s="35" t="str">
        <f aca="false">IF($C205="","",IFERROR(INDEX(Invoices!$L$6:$L$505,MATCH($C205,Invoices!$A$6:$A$505,0)),""))</f>
        <v/>
      </c>
      <c r="F205" s="32"/>
      <c r="G205" s="32"/>
      <c r="H205" s="32"/>
      <c r="I205" s="34" t="str">
        <f aca="false">IF($A205="","",N($F205)+N($G205)+N($H205))</f>
        <v/>
      </c>
      <c r="J205" s="26"/>
      <c r="K205" s="28"/>
      <c r="L205" s="26"/>
      <c r="M205" s="26"/>
      <c r="N205" s="28"/>
      <c r="O205" s="28"/>
    </row>
    <row r="206" customFormat="false" ht="15" hidden="false" customHeight="false" outlineLevel="0" collapsed="false">
      <c r="A206" s="26"/>
      <c r="B206" s="29"/>
      <c r="C206" s="26"/>
      <c r="D206" s="27" t="str">
        <f aca="false">IF($C206="","",IFERROR(INDEX(Invoices!$C$6:$C$505,MATCH($C206,Invoices!$A$6:$A$505,0)),"Invoice not found"))</f>
        <v/>
      </c>
      <c r="E206" s="35" t="str">
        <f aca="false">IF($C206="","",IFERROR(INDEX(Invoices!$L$6:$L$505,MATCH($C206,Invoices!$A$6:$A$505,0)),""))</f>
        <v/>
      </c>
      <c r="F206" s="32"/>
      <c r="G206" s="32"/>
      <c r="H206" s="32"/>
      <c r="I206" s="34" t="str">
        <f aca="false">IF($A206="","",N($F206)+N($G206)+N($H206))</f>
        <v/>
      </c>
      <c r="J206" s="26"/>
      <c r="K206" s="28"/>
      <c r="L206" s="26"/>
      <c r="M206" s="26"/>
      <c r="N206" s="28"/>
      <c r="O206" s="28"/>
    </row>
    <row r="207" customFormat="false" ht="15" hidden="false" customHeight="false" outlineLevel="0" collapsed="false">
      <c r="A207" s="26"/>
      <c r="B207" s="29"/>
      <c r="C207" s="26"/>
      <c r="D207" s="27" t="str">
        <f aca="false">IF($C207="","",IFERROR(INDEX(Invoices!$C$6:$C$505,MATCH($C207,Invoices!$A$6:$A$505,0)),"Invoice not found"))</f>
        <v/>
      </c>
      <c r="E207" s="35" t="str">
        <f aca="false">IF($C207="","",IFERROR(INDEX(Invoices!$L$6:$L$505,MATCH($C207,Invoices!$A$6:$A$505,0)),""))</f>
        <v/>
      </c>
      <c r="F207" s="32"/>
      <c r="G207" s="32"/>
      <c r="H207" s="32"/>
      <c r="I207" s="34" t="str">
        <f aca="false">IF($A207="","",N($F207)+N($G207)+N($H207))</f>
        <v/>
      </c>
      <c r="J207" s="26"/>
      <c r="K207" s="28"/>
      <c r="L207" s="26"/>
      <c r="M207" s="26"/>
      <c r="N207" s="28"/>
      <c r="O207" s="28"/>
    </row>
    <row r="208" customFormat="false" ht="15" hidden="false" customHeight="false" outlineLevel="0" collapsed="false">
      <c r="A208" s="26"/>
      <c r="B208" s="29"/>
      <c r="C208" s="26"/>
      <c r="D208" s="27" t="str">
        <f aca="false">IF($C208="","",IFERROR(INDEX(Invoices!$C$6:$C$505,MATCH($C208,Invoices!$A$6:$A$505,0)),"Invoice not found"))</f>
        <v/>
      </c>
      <c r="E208" s="35" t="str">
        <f aca="false">IF($C208="","",IFERROR(INDEX(Invoices!$L$6:$L$505,MATCH($C208,Invoices!$A$6:$A$505,0)),""))</f>
        <v/>
      </c>
      <c r="F208" s="32"/>
      <c r="G208" s="32"/>
      <c r="H208" s="32"/>
      <c r="I208" s="34" t="str">
        <f aca="false">IF($A208="","",N($F208)+N($G208)+N($H208))</f>
        <v/>
      </c>
      <c r="J208" s="26"/>
      <c r="K208" s="28"/>
      <c r="L208" s="26"/>
      <c r="M208" s="26"/>
      <c r="N208" s="28"/>
      <c r="O208" s="28"/>
    </row>
    <row r="209" customFormat="false" ht="15" hidden="false" customHeight="false" outlineLevel="0" collapsed="false">
      <c r="A209" s="26"/>
      <c r="B209" s="29"/>
      <c r="C209" s="26"/>
      <c r="D209" s="27" t="str">
        <f aca="false">IF($C209="","",IFERROR(INDEX(Invoices!$C$6:$C$505,MATCH($C209,Invoices!$A$6:$A$505,0)),"Invoice not found"))</f>
        <v/>
      </c>
      <c r="E209" s="35" t="str">
        <f aca="false">IF($C209="","",IFERROR(INDEX(Invoices!$L$6:$L$505,MATCH($C209,Invoices!$A$6:$A$505,0)),""))</f>
        <v/>
      </c>
      <c r="F209" s="32"/>
      <c r="G209" s="32"/>
      <c r="H209" s="32"/>
      <c r="I209" s="34" t="str">
        <f aca="false">IF($A209="","",N($F209)+N($G209)+N($H209))</f>
        <v/>
      </c>
      <c r="J209" s="26"/>
      <c r="K209" s="28"/>
      <c r="L209" s="26"/>
      <c r="M209" s="26"/>
      <c r="N209" s="28"/>
      <c r="O209" s="28"/>
    </row>
    <row r="210" customFormat="false" ht="15" hidden="false" customHeight="false" outlineLevel="0" collapsed="false">
      <c r="A210" s="26"/>
      <c r="B210" s="29"/>
      <c r="C210" s="26"/>
      <c r="D210" s="27" t="str">
        <f aca="false">IF($C210="","",IFERROR(INDEX(Invoices!$C$6:$C$505,MATCH($C210,Invoices!$A$6:$A$505,0)),"Invoice not found"))</f>
        <v/>
      </c>
      <c r="E210" s="35" t="str">
        <f aca="false">IF($C210="","",IFERROR(INDEX(Invoices!$L$6:$L$505,MATCH($C210,Invoices!$A$6:$A$505,0)),""))</f>
        <v/>
      </c>
      <c r="F210" s="32"/>
      <c r="G210" s="32"/>
      <c r="H210" s="32"/>
      <c r="I210" s="34" t="str">
        <f aca="false">IF($A210="","",N($F210)+N($G210)+N($H210))</f>
        <v/>
      </c>
      <c r="J210" s="26"/>
      <c r="K210" s="28"/>
      <c r="L210" s="26"/>
      <c r="M210" s="26"/>
      <c r="N210" s="28"/>
      <c r="O210" s="28"/>
    </row>
    <row r="211" customFormat="false" ht="15" hidden="false" customHeight="false" outlineLevel="0" collapsed="false">
      <c r="A211" s="26"/>
      <c r="B211" s="29"/>
      <c r="C211" s="26"/>
      <c r="D211" s="27" t="str">
        <f aca="false">IF($C211="","",IFERROR(INDEX(Invoices!$C$6:$C$505,MATCH($C211,Invoices!$A$6:$A$505,0)),"Invoice not found"))</f>
        <v/>
      </c>
      <c r="E211" s="35" t="str">
        <f aca="false">IF($C211="","",IFERROR(INDEX(Invoices!$L$6:$L$505,MATCH($C211,Invoices!$A$6:$A$505,0)),""))</f>
        <v/>
      </c>
      <c r="F211" s="32"/>
      <c r="G211" s="32"/>
      <c r="H211" s="32"/>
      <c r="I211" s="34" t="str">
        <f aca="false">IF($A211="","",N($F211)+N($G211)+N($H211))</f>
        <v/>
      </c>
      <c r="J211" s="26"/>
      <c r="K211" s="28"/>
      <c r="L211" s="26"/>
      <c r="M211" s="26"/>
      <c r="N211" s="28"/>
      <c r="O211" s="28"/>
    </row>
    <row r="212" customFormat="false" ht="15" hidden="false" customHeight="false" outlineLevel="0" collapsed="false">
      <c r="A212" s="26"/>
      <c r="B212" s="29"/>
      <c r="C212" s="26"/>
      <c r="D212" s="27" t="str">
        <f aca="false">IF($C212="","",IFERROR(INDEX(Invoices!$C$6:$C$505,MATCH($C212,Invoices!$A$6:$A$505,0)),"Invoice not found"))</f>
        <v/>
      </c>
      <c r="E212" s="35" t="str">
        <f aca="false">IF($C212="","",IFERROR(INDEX(Invoices!$L$6:$L$505,MATCH($C212,Invoices!$A$6:$A$505,0)),""))</f>
        <v/>
      </c>
      <c r="F212" s="32"/>
      <c r="G212" s="32"/>
      <c r="H212" s="32"/>
      <c r="I212" s="34" t="str">
        <f aca="false">IF($A212="","",N($F212)+N($G212)+N($H212))</f>
        <v/>
      </c>
      <c r="J212" s="26"/>
      <c r="K212" s="28"/>
      <c r="L212" s="26"/>
      <c r="M212" s="26"/>
      <c r="N212" s="28"/>
      <c r="O212" s="28"/>
    </row>
    <row r="213" customFormat="false" ht="15" hidden="false" customHeight="false" outlineLevel="0" collapsed="false">
      <c r="A213" s="26"/>
      <c r="B213" s="29"/>
      <c r="C213" s="26"/>
      <c r="D213" s="27" t="str">
        <f aca="false">IF($C213="","",IFERROR(INDEX(Invoices!$C$6:$C$505,MATCH($C213,Invoices!$A$6:$A$505,0)),"Invoice not found"))</f>
        <v/>
      </c>
      <c r="E213" s="35" t="str">
        <f aca="false">IF($C213="","",IFERROR(INDEX(Invoices!$L$6:$L$505,MATCH($C213,Invoices!$A$6:$A$505,0)),""))</f>
        <v/>
      </c>
      <c r="F213" s="32"/>
      <c r="G213" s="32"/>
      <c r="H213" s="32"/>
      <c r="I213" s="34" t="str">
        <f aca="false">IF($A213="","",N($F213)+N($G213)+N($H213))</f>
        <v/>
      </c>
      <c r="J213" s="26"/>
      <c r="K213" s="28"/>
      <c r="L213" s="26"/>
      <c r="M213" s="26"/>
      <c r="N213" s="28"/>
      <c r="O213" s="28"/>
    </row>
    <row r="214" customFormat="false" ht="15" hidden="false" customHeight="false" outlineLevel="0" collapsed="false">
      <c r="A214" s="26"/>
      <c r="B214" s="29"/>
      <c r="C214" s="26"/>
      <c r="D214" s="27" t="str">
        <f aca="false">IF($C214="","",IFERROR(INDEX(Invoices!$C$6:$C$505,MATCH($C214,Invoices!$A$6:$A$505,0)),"Invoice not found"))</f>
        <v/>
      </c>
      <c r="E214" s="35" t="str">
        <f aca="false">IF($C214="","",IFERROR(INDEX(Invoices!$L$6:$L$505,MATCH($C214,Invoices!$A$6:$A$505,0)),""))</f>
        <v/>
      </c>
      <c r="F214" s="32"/>
      <c r="G214" s="32"/>
      <c r="H214" s="32"/>
      <c r="I214" s="34" t="str">
        <f aca="false">IF($A214="","",N($F214)+N($G214)+N($H214))</f>
        <v/>
      </c>
      <c r="J214" s="26"/>
      <c r="K214" s="28"/>
      <c r="L214" s="26"/>
      <c r="M214" s="26"/>
      <c r="N214" s="28"/>
      <c r="O214" s="28"/>
    </row>
    <row r="215" customFormat="false" ht="15" hidden="false" customHeight="false" outlineLevel="0" collapsed="false">
      <c r="A215" s="26"/>
      <c r="B215" s="29"/>
      <c r="C215" s="26"/>
      <c r="D215" s="27" t="str">
        <f aca="false">IF($C215="","",IFERROR(INDEX(Invoices!$C$6:$C$505,MATCH($C215,Invoices!$A$6:$A$505,0)),"Invoice not found"))</f>
        <v/>
      </c>
      <c r="E215" s="35" t="str">
        <f aca="false">IF($C215="","",IFERROR(INDEX(Invoices!$L$6:$L$505,MATCH($C215,Invoices!$A$6:$A$505,0)),""))</f>
        <v/>
      </c>
      <c r="F215" s="32"/>
      <c r="G215" s="32"/>
      <c r="H215" s="32"/>
      <c r="I215" s="34" t="str">
        <f aca="false">IF($A215="","",N($F215)+N($G215)+N($H215))</f>
        <v/>
      </c>
      <c r="J215" s="26"/>
      <c r="K215" s="28"/>
      <c r="L215" s="26"/>
      <c r="M215" s="26"/>
      <c r="N215" s="28"/>
      <c r="O215" s="28"/>
    </row>
    <row r="216" customFormat="false" ht="15" hidden="false" customHeight="false" outlineLevel="0" collapsed="false">
      <c r="A216" s="26"/>
      <c r="B216" s="29"/>
      <c r="C216" s="26"/>
      <c r="D216" s="27" t="str">
        <f aca="false">IF($C216="","",IFERROR(INDEX(Invoices!$C$6:$C$505,MATCH($C216,Invoices!$A$6:$A$505,0)),"Invoice not found"))</f>
        <v/>
      </c>
      <c r="E216" s="35" t="str">
        <f aca="false">IF($C216="","",IFERROR(INDEX(Invoices!$L$6:$L$505,MATCH($C216,Invoices!$A$6:$A$505,0)),""))</f>
        <v/>
      </c>
      <c r="F216" s="32"/>
      <c r="G216" s="32"/>
      <c r="H216" s="32"/>
      <c r="I216" s="34" t="str">
        <f aca="false">IF($A216="","",N($F216)+N($G216)+N($H216))</f>
        <v/>
      </c>
      <c r="J216" s="26"/>
      <c r="K216" s="28"/>
      <c r="L216" s="26"/>
      <c r="M216" s="26"/>
      <c r="N216" s="28"/>
      <c r="O216" s="28"/>
    </row>
    <row r="217" customFormat="false" ht="15" hidden="false" customHeight="false" outlineLevel="0" collapsed="false">
      <c r="A217" s="26"/>
      <c r="B217" s="29"/>
      <c r="C217" s="26"/>
      <c r="D217" s="27" t="str">
        <f aca="false">IF($C217="","",IFERROR(INDEX(Invoices!$C$6:$C$505,MATCH($C217,Invoices!$A$6:$A$505,0)),"Invoice not found"))</f>
        <v/>
      </c>
      <c r="E217" s="35" t="str">
        <f aca="false">IF($C217="","",IFERROR(INDEX(Invoices!$L$6:$L$505,MATCH($C217,Invoices!$A$6:$A$505,0)),""))</f>
        <v/>
      </c>
      <c r="F217" s="32"/>
      <c r="G217" s="32"/>
      <c r="H217" s="32"/>
      <c r="I217" s="34" t="str">
        <f aca="false">IF($A217="","",N($F217)+N($G217)+N($H217))</f>
        <v/>
      </c>
      <c r="J217" s="26"/>
      <c r="K217" s="28"/>
      <c r="L217" s="26"/>
      <c r="M217" s="26"/>
      <c r="N217" s="28"/>
      <c r="O217" s="28"/>
    </row>
    <row r="218" customFormat="false" ht="15" hidden="false" customHeight="false" outlineLevel="0" collapsed="false">
      <c r="A218" s="26"/>
      <c r="B218" s="29"/>
      <c r="C218" s="26"/>
      <c r="D218" s="27" t="str">
        <f aca="false">IF($C218="","",IFERROR(INDEX(Invoices!$C$6:$C$505,MATCH($C218,Invoices!$A$6:$A$505,0)),"Invoice not found"))</f>
        <v/>
      </c>
      <c r="E218" s="35" t="str">
        <f aca="false">IF($C218="","",IFERROR(INDEX(Invoices!$L$6:$L$505,MATCH($C218,Invoices!$A$6:$A$505,0)),""))</f>
        <v/>
      </c>
      <c r="F218" s="32"/>
      <c r="G218" s="32"/>
      <c r="H218" s="32"/>
      <c r="I218" s="34" t="str">
        <f aca="false">IF($A218="","",N($F218)+N($G218)+N($H218))</f>
        <v/>
      </c>
      <c r="J218" s="26"/>
      <c r="K218" s="28"/>
      <c r="L218" s="26"/>
      <c r="M218" s="26"/>
      <c r="N218" s="28"/>
      <c r="O218" s="28"/>
    </row>
    <row r="219" customFormat="false" ht="15" hidden="false" customHeight="false" outlineLevel="0" collapsed="false">
      <c r="A219" s="26"/>
      <c r="B219" s="29"/>
      <c r="C219" s="26"/>
      <c r="D219" s="27" t="str">
        <f aca="false">IF($C219="","",IFERROR(INDEX(Invoices!$C$6:$C$505,MATCH($C219,Invoices!$A$6:$A$505,0)),"Invoice not found"))</f>
        <v/>
      </c>
      <c r="E219" s="35" t="str">
        <f aca="false">IF($C219="","",IFERROR(INDEX(Invoices!$L$6:$L$505,MATCH($C219,Invoices!$A$6:$A$505,0)),""))</f>
        <v/>
      </c>
      <c r="F219" s="32"/>
      <c r="G219" s="32"/>
      <c r="H219" s="32"/>
      <c r="I219" s="34" t="str">
        <f aca="false">IF($A219="","",N($F219)+N($G219)+N($H219))</f>
        <v/>
      </c>
      <c r="J219" s="26"/>
      <c r="K219" s="28"/>
      <c r="L219" s="26"/>
      <c r="M219" s="26"/>
      <c r="N219" s="28"/>
      <c r="O219" s="28"/>
    </row>
    <row r="220" customFormat="false" ht="15" hidden="false" customHeight="false" outlineLevel="0" collapsed="false">
      <c r="A220" s="26"/>
      <c r="B220" s="29"/>
      <c r="C220" s="26"/>
      <c r="D220" s="27" t="str">
        <f aca="false">IF($C220="","",IFERROR(INDEX(Invoices!$C$6:$C$505,MATCH($C220,Invoices!$A$6:$A$505,0)),"Invoice not found"))</f>
        <v/>
      </c>
      <c r="E220" s="35" t="str">
        <f aca="false">IF($C220="","",IFERROR(INDEX(Invoices!$L$6:$L$505,MATCH($C220,Invoices!$A$6:$A$505,0)),""))</f>
        <v/>
      </c>
      <c r="F220" s="32"/>
      <c r="G220" s="32"/>
      <c r="H220" s="32"/>
      <c r="I220" s="34" t="str">
        <f aca="false">IF($A220="","",N($F220)+N($G220)+N($H220))</f>
        <v/>
      </c>
      <c r="J220" s="26"/>
      <c r="K220" s="28"/>
      <c r="L220" s="26"/>
      <c r="M220" s="26"/>
      <c r="N220" s="28"/>
      <c r="O220" s="28"/>
    </row>
    <row r="221" customFormat="false" ht="15" hidden="false" customHeight="false" outlineLevel="0" collapsed="false">
      <c r="A221" s="26"/>
      <c r="B221" s="29"/>
      <c r="C221" s="26"/>
      <c r="D221" s="27" t="str">
        <f aca="false">IF($C221="","",IFERROR(INDEX(Invoices!$C$6:$C$505,MATCH($C221,Invoices!$A$6:$A$505,0)),"Invoice not found"))</f>
        <v/>
      </c>
      <c r="E221" s="35" t="str">
        <f aca="false">IF($C221="","",IFERROR(INDEX(Invoices!$L$6:$L$505,MATCH($C221,Invoices!$A$6:$A$505,0)),""))</f>
        <v/>
      </c>
      <c r="F221" s="32"/>
      <c r="G221" s="32"/>
      <c r="H221" s="32"/>
      <c r="I221" s="34" t="str">
        <f aca="false">IF($A221="","",N($F221)+N($G221)+N($H221))</f>
        <v/>
      </c>
      <c r="J221" s="26"/>
      <c r="K221" s="28"/>
      <c r="L221" s="26"/>
      <c r="M221" s="26"/>
      <c r="N221" s="28"/>
      <c r="O221" s="28"/>
    </row>
    <row r="222" customFormat="false" ht="15" hidden="false" customHeight="false" outlineLevel="0" collapsed="false">
      <c r="A222" s="26"/>
      <c r="B222" s="29"/>
      <c r="C222" s="26"/>
      <c r="D222" s="27" t="str">
        <f aca="false">IF($C222="","",IFERROR(INDEX(Invoices!$C$6:$C$505,MATCH($C222,Invoices!$A$6:$A$505,0)),"Invoice not found"))</f>
        <v/>
      </c>
      <c r="E222" s="35" t="str">
        <f aca="false">IF($C222="","",IFERROR(INDEX(Invoices!$L$6:$L$505,MATCH($C222,Invoices!$A$6:$A$505,0)),""))</f>
        <v/>
      </c>
      <c r="F222" s="32"/>
      <c r="G222" s="32"/>
      <c r="H222" s="32"/>
      <c r="I222" s="34" t="str">
        <f aca="false">IF($A222="","",N($F222)+N($G222)+N($H222))</f>
        <v/>
      </c>
      <c r="J222" s="26"/>
      <c r="K222" s="28"/>
      <c r="L222" s="26"/>
      <c r="M222" s="26"/>
      <c r="N222" s="28"/>
      <c r="O222" s="28"/>
    </row>
    <row r="223" customFormat="false" ht="15" hidden="false" customHeight="false" outlineLevel="0" collapsed="false">
      <c r="A223" s="26"/>
      <c r="B223" s="29"/>
      <c r="C223" s="26"/>
      <c r="D223" s="27" t="str">
        <f aca="false">IF($C223="","",IFERROR(INDEX(Invoices!$C$6:$C$505,MATCH($C223,Invoices!$A$6:$A$505,0)),"Invoice not found"))</f>
        <v/>
      </c>
      <c r="E223" s="35" t="str">
        <f aca="false">IF($C223="","",IFERROR(INDEX(Invoices!$L$6:$L$505,MATCH($C223,Invoices!$A$6:$A$505,0)),""))</f>
        <v/>
      </c>
      <c r="F223" s="32"/>
      <c r="G223" s="32"/>
      <c r="H223" s="32"/>
      <c r="I223" s="34" t="str">
        <f aca="false">IF($A223="","",N($F223)+N($G223)+N($H223))</f>
        <v/>
      </c>
      <c r="J223" s="26"/>
      <c r="K223" s="28"/>
      <c r="L223" s="26"/>
      <c r="M223" s="26"/>
      <c r="N223" s="28"/>
      <c r="O223" s="28"/>
    </row>
    <row r="224" customFormat="false" ht="15" hidden="false" customHeight="false" outlineLevel="0" collapsed="false">
      <c r="A224" s="26"/>
      <c r="B224" s="29"/>
      <c r="C224" s="26"/>
      <c r="D224" s="27" t="str">
        <f aca="false">IF($C224="","",IFERROR(INDEX(Invoices!$C$6:$C$505,MATCH($C224,Invoices!$A$6:$A$505,0)),"Invoice not found"))</f>
        <v/>
      </c>
      <c r="E224" s="35" t="str">
        <f aca="false">IF($C224="","",IFERROR(INDEX(Invoices!$L$6:$L$505,MATCH($C224,Invoices!$A$6:$A$505,0)),""))</f>
        <v/>
      </c>
      <c r="F224" s="32"/>
      <c r="G224" s="32"/>
      <c r="H224" s="32"/>
      <c r="I224" s="34" t="str">
        <f aca="false">IF($A224="","",N($F224)+N($G224)+N($H224))</f>
        <v/>
      </c>
      <c r="J224" s="26"/>
      <c r="K224" s="28"/>
      <c r="L224" s="26"/>
      <c r="M224" s="26"/>
      <c r="N224" s="28"/>
      <c r="O224" s="28"/>
    </row>
    <row r="225" customFormat="false" ht="15" hidden="false" customHeight="false" outlineLevel="0" collapsed="false">
      <c r="A225" s="26"/>
      <c r="B225" s="29"/>
      <c r="C225" s="26"/>
      <c r="D225" s="27" t="str">
        <f aca="false">IF($C225="","",IFERROR(INDEX(Invoices!$C$6:$C$505,MATCH($C225,Invoices!$A$6:$A$505,0)),"Invoice not found"))</f>
        <v/>
      </c>
      <c r="E225" s="35" t="str">
        <f aca="false">IF($C225="","",IFERROR(INDEX(Invoices!$L$6:$L$505,MATCH($C225,Invoices!$A$6:$A$505,0)),""))</f>
        <v/>
      </c>
      <c r="F225" s="32"/>
      <c r="G225" s="32"/>
      <c r="H225" s="32"/>
      <c r="I225" s="34" t="str">
        <f aca="false">IF($A225="","",N($F225)+N($G225)+N($H225))</f>
        <v/>
      </c>
      <c r="J225" s="26"/>
      <c r="K225" s="28"/>
      <c r="L225" s="26"/>
      <c r="M225" s="26"/>
      <c r="N225" s="28"/>
      <c r="O225" s="28"/>
    </row>
    <row r="226" customFormat="false" ht="15" hidden="false" customHeight="false" outlineLevel="0" collapsed="false">
      <c r="A226" s="26"/>
      <c r="B226" s="29"/>
      <c r="C226" s="26"/>
      <c r="D226" s="27" t="str">
        <f aca="false">IF($C226="","",IFERROR(INDEX(Invoices!$C$6:$C$505,MATCH($C226,Invoices!$A$6:$A$505,0)),"Invoice not found"))</f>
        <v/>
      </c>
      <c r="E226" s="35" t="str">
        <f aca="false">IF($C226="","",IFERROR(INDEX(Invoices!$L$6:$L$505,MATCH($C226,Invoices!$A$6:$A$505,0)),""))</f>
        <v/>
      </c>
      <c r="F226" s="32"/>
      <c r="G226" s="32"/>
      <c r="H226" s="32"/>
      <c r="I226" s="34" t="str">
        <f aca="false">IF($A226="","",N($F226)+N($G226)+N($H226))</f>
        <v/>
      </c>
      <c r="J226" s="26"/>
      <c r="K226" s="28"/>
      <c r="L226" s="26"/>
      <c r="M226" s="26"/>
      <c r="N226" s="28"/>
      <c r="O226" s="28"/>
    </row>
    <row r="227" customFormat="false" ht="15" hidden="false" customHeight="false" outlineLevel="0" collapsed="false">
      <c r="A227" s="26"/>
      <c r="B227" s="29"/>
      <c r="C227" s="26"/>
      <c r="D227" s="27" t="str">
        <f aca="false">IF($C227="","",IFERROR(INDEX(Invoices!$C$6:$C$505,MATCH($C227,Invoices!$A$6:$A$505,0)),"Invoice not found"))</f>
        <v/>
      </c>
      <c r="E227" s="35" t="str">
        <f aca="false">IF($C227="","",IFERROR(INDEX(Invoices!$L$6:$L$505,MATCH($C227,Invoices!$A$6:$A$505,0)),""))</f>
        <v/>
      </c>
      <c r="F227" s="32"/>
      <c r="G227" s="32"/>
      <c r="H227" s="32"/>
      <c r="I227" s="34" t="str">
        <f aca="false">IF($A227="","",N($F227)+N($G227)+N($H227))</f>
        <v/>
      </c>
      <c r="J227" s="26"/>
      <c r="K227" s="28"/>
      <c r="L227" s="26"/>
      <c r="M227" s="26"/>
      <c r="N227" s="28"/>
      <c r="O227" s="28"/>
    </row>
    <row r="228" customFormat="false" ht="15" hidden="false" customHeight="false" outlineLevel="0" collapsed="false">
      <c r="A228" s="26"/>
      <c r="B228" s="29"/>
      <c r="C228" s="26"/>
      <c r="D228" s="27" t="str">
        <f aca="false">IF($C228="","",IFERROR(INDEX(Invoices!$C$6:$C$505,MATCH($C228,Invoices!$A$6:$A$505,0)),"Invoice not found"))</f>
        <v/>
      </c>
      <c r="E228" s="35" t="str">
        <f aca="false">IF($C228="","",IFERROR(INDEX(Invoices!$L$6:$L$505,MATCH($C228,Invoices!$A$6:$A$505,0)),""))</f>
        <v/>
      </c>
      <c r="F228" s="32"/>
      <c r="G228" s="32"/>
      <c r="H228" s="32"/>
      <c r="I228" s="34" t="str">
        <f aca="false">IF($A228="","",N($F228)+N($G228)+N($H228))</f>
        <v/>
      </c>
      <c r="J228" s="26"/>
      <c r="K228" s="28"/>
      <c r="L228" s="26"/>
      <c r="M228" s="26"/>
      <c r="N228" s="28"/>
      <c r="O228" s="28"/>
    </row>
    <row r="229" customFormat="false" ht="15" hidden="false" customHeight="false" outlineLevel="0" collapsed="false">
      <c r="A229" s="26"/>
      <c r="B229" s="29"/>
      <c r="C229" s="26"/>
      <c r="D229" s="27" t="str">
        <f aca="false">IF($C229="","",IFERROR(INDEX(Invoices!$C$6:$C$505,MATCH($C229,Invoices!$A$6:$A$505,0)),"Invoice not found"))</f>
        <v/>
      </c>
      <c r="E229" s="35" t="str">
        <f aca="false">IF($C229="","",IFERROR(INDEX(Invoices!$L$6:$L$505,MATCH($C229,Invoices!$A$6:$A$505,0)),""))</f>
        <v/>
      </c>
      <c r="F229" s="32"/>
      <c r="G229" s="32"/>
      <c r="H229" s="32"/>
      <c r="I229" s="34" t="str">
        <f aca="false">IF($A229="","",N($F229)+N($G229)+N($H229))</f>
        <v/>
      </c>
      <c r="J229" s="26"/>
      <c r="K229" s="28"/>
      <c r="L229" s="26"/>
      <c r="M229" s="26"/>
      <c r="N229" s="28"/>
      <c r="O229" s="28"/>
    </row>
    <row r="230" customFormat="false" ht="15" hidden="false" customHeight="false" outlineLevel="0" collapsed="false">
      <c r="A230" s="26"/>
      <c r="B230" s="29"/>
      <c r="C230" s="26"/>
      <c r="D230" s="27" t="str">
        <f aca="false">IF($C230="","",IFERROR(INDEX(Invoices!$C$6:$C$505,MATCH($C230,Invoices!$A$6:$A$505,0)),"Invoice not found"))</f>
        <v/>
      </c>
      <c r="E230" s="35" t="str">
        <f aca="false">IF($C230="","",IFERROR(INDEX(Invoices!$L$6:$L$505,MATCH($C230,Invoices!$A$6:$A$505,0)),""))</f>
        <v/>
      </c>
      <c r="F230" s="32"/>
      <c r="G230" s="32"/>
      <c r="H230" s="32"/>
      <c r="I230" s="34" t="str">
        <f aca="false">IF($A230="","",N($F230)+N($G230)+N($H230))</f>
        <v/>
      </c>
      <c r="J230" s="26"/>
      <c r="K230" s="28"/>
      <c r="L230" s="26"/>
      <c r="M230" s="26"/>
      <c r="N230" s="28"/>
      <c r="O230" s="28"/>
    </row>
    <row r="231" customFormat="false" ht="15" hidden="false" customHeight="false" outlineLevel="0" collapsed="false">
      <c r="A231" s="26"/>
      <c r="B231" s="29"/>
      <c r="C231" s="26"/>
      <c r="D231" s="27" t="str">
        <f aca="false">IF($C231="","",IFERROR(INDEX(Invoices!$C$6:$C$505,MATCH($C231,Invoices!$A$6:$A$505,0)),"Invoice not found"))</f>
        <v/>
      </c>
      <c r="E231" s="35" t="str">
        <f aca="false">IF($C231="","",IFERROR(INDEX(Invoices!$L$6:$L$505,MATCH($C231,Invoices!$A$6:$A$505,0)),""))</f>
        <v/>
      </c>
      <c r="F231" s="32"/>
      <c r="G231" s="32"/>
      <c r="H231" s="32"/>
      <c r="I231" s="34" t="str">
        <f aca="false">IF($A231="","",N($F231)+N($G231)+N($H231))</f>
        <v/>
      </c>
      <c r="J231" s="26"/>
      <c r="K231" s="28"/>
      <c r="L231" s="26"/>
      <c r="M231" s="26"/>
      <c r="N231" s="28"/>
      <c r="O231" s="28"/>
    </row>
    <row r="232" customFormat="false" ht="15" hidden="false" customHeight="false" outlineLevel="0" collapsed="false">
      <c r="A232" s="26"/>
      <c r="B232" s="29"/>
      <c r="C232" s="26"/>
      <c r="D232" s="27" t="str">
        <f aca="false">IF($C232="","",IFERROR(INDEX(Invoices!$C$6:$C$505,MATCH($C232,Invoices!$A$6:$A$505,0)),"Invoice not found"))</f>
        <v/>
      </c>
      <c r="E232" s="35" t="str">
        <f aca="false">IF($C232="","",IFERROR(INDEX(Invoices!$L$6:$L$505,MATCH($C232,Invoices!$A$6:$A$505,0)),""))</f>
        <v/>
      </c>
      <c r="F232" s="32"/>
      <c r="G232" s="32"/>
      <c r="H232" s="32"/>
      <c r="I232" s="34" t="str">
        <f aca="false">IF($A232="","",N($F232)+N($G232)+N($H232))</f>
        <v/>
      </c>
      <c r="J232" s="26"/>
      <c r="K232" s="28"/>
      <c r="L232" s="26"/>
      <c r="M232" s="26"/>
      <c r="N232" s="28"/>
      <c r="O232" s="28"/>
    </row>
    <row r="233" customFormat="false" ht="15" hidden="false" customHeight="false" outlineLevel="0" collapsed="false">
      <c r="A233" s="26"/>
      <c r="B233" s="29"/>
      <c r="C233" s="26"/>
      <c r="D233" s="27" t="str">
        <f aca="false">IF($C233="","",IFERROR(INDEX(Invoices!$C$6:$C$505,MATCH($C233,Invoices!$A$6:$A$505,0)),"Invoice not found"))</f>
        <v/>
      </c>
      <c r="E233" s="35" t="str">
        <f aca="false">IF($C233="","",IFERROR(INDEX(Invoices!$L$6:$L$505,MATCH($C233,Invoices!$A$6:$A$505,0)),""))</f>
        <v/>
      </c>
      <c r="F233" s="32"/>
      <c r="G233" s="32"/>
      <c r="H233" s="32"/>
      <c r="I233" s="34" t="str">
        <f aca="false">IF($A233="","",N($F233)+N($G233)+N($H233))</f>
        <v/>
      </c>
      <c r="J233" s="26"/>
      <c r="K233" s="28"/>
      <c r="L233" s="26"/>
      <c r="M233" s="26"/>
      <c r="N233" s="28"/>
      <c r="O233" s="28"/>
    </row>
    <row r="234" customFormat="false" ht="15" hidden="false" customHeight="false" outlineLevel="0" collapsed="false">
      <c r="A234" s="26"/>
      <c r="B234" s="29"/>
      <c r="C234" s="26"/>
      <c r="D234" s="27" t="str">
        <f aca="false">IF($C234="","",IFERROR(INDEX(Invoices!$C$6:$C$505,MATCH($C234,Invoices!$A$6:$A$505,0)),"Invoice not found"))</f>
        <v/>
      </c>
      <c r="E234" s="35" t="str">
        <f aca="false">IF($C234="","",IFERROR(INDEX(Invoices!$L$6:$L$505,MATCH($C234,Invoices!$A$6:$A$505,0)),""))</f>
        <v/>
      </c>
      <c r="F234" s="32"/>
      <c r="G234" s="32"/>
      <c r="H234" s="32"/>
      <c r="I234" s="34" t="str">
        <f aca="false">IF($A234="","",N($F234)+N($G234)+N($H234))</f>
        <v/>
      </c>
      <c r="J234" s="26"/>
      <c r="K234" s="28"/>
      <c r="L234" s="26"/>
      <c r="M234" s="26"/>
      <c r="N234" s="28"/>
      <c r="O234" s="28"/>
    </row>
    <row r="235" customFormat="false" ht="15" hidden="false" customHeight="false" outlineLevel="0" collapsed="false">
      <c r="A235" s="26"/>
      <c r="B235" s="29"/>
      <c r="C235" s="26"/>
      <c r="D235" s="27" t="str">
        <f aca="false">IF($C235="","",IFERROR(INDEX(Invoices!$C$6:$C$505,MATCH($C235,Invoices!$A$6:$A$505,0)),"Invoice not found"))</f>
        <v/>
      </c>
      <c r="E235" s="35" t="str">
        <f aca="false">IF($C235="","",IFERROR(INDEX(Invoices!$L$6:$L$505,MATCH($C235,Invoices!$A$6:$A$505,0)),""))</f>
        <v/>
      </c>
      <c r="F235" s="32"/>
      <c r="G235" s="32"/>
      <c r="H235" s="32"/>
      <c r="I235" s="34" t="str">
        <f aca="false">IF($A235="","",N($F235)+N($G235)+N($H235))</f>
        <v/>
      </c>
      <c r="J235" s="26"/>
      <c r="K235" s="28"/>
      <c r="L235" s="26"/>
      <c r="M235" s="26"/>
      <c r="N235" s="28"/>
      <c r="O235" s="28"/>
    </row>
    <row r="236" customFormat="false" ht="15" hidden="false" customHeight="false" outlineLevel="0" collapsed="false">
      <c r="A236" s="26"/>
      <c r="B236" s="29"/>
      <c r="C236" s="26"/>
      <c r="D236" s="27" t="str">
        <f aca="false">IF($C236="","",IFERROR(INDEX(Invoices!$C$6:$C$505,MATCH($C236,Invoices!$A$6:$A$505,0)),"Invoice not found"))</f>
        <v/>
      </c>
      <c r="E236" s="35" t="str">
        <f aca="false">IF($C236="","",IFERROR(INDEX(Invoices!$L$6:$L$505,MATCH($C236,Invoices!$A$6:$A$505,0)),""))</f>
        <v/>
      </c>
      <c r="F236" s="32"/>
      <c r="G236" s="32"/>
      <c r="H236" s="32"/>
      <c r="I236" s="34" t="str">
        <f aca="false">IF($A236="","",N($F236)+N($G236)+N($H236))</f>
        <v/>
      </c>
      <c r="J236" s="26"/>
      <c r="K236" s="28"/>
      <c r="L236" s="26"/>
      <c r="M236" s="26"/>
      <c r="N236" s="28"/>
      <c r="O236" s="28"/>
    </row>
    <row r="237" customFormat="false" ht="15" hidden="false" customHeight="false" outlineLevel="0" collapsed="false">
      <c r="A237" s="26"/>
      <c r="B237" s="29"/>
      <c r="C237" s="26"/>
      <c r="D237" s="27" t="str">
        <f aca="false">IF($C237="","",IFERROR(INDEX(Invoices!$C$6:$C$505,MATCH($C237,Invoices!$A$6:$A$505,0)),"Invoice not found"))</f>
        <v/>
      </c>
      <c r="E237" s="35" t="str">
        <f aca="false">IF($C237="","",IFERROR(INDEX(Invoices!$L$6:$L$505,MATCH($C237,Invoices!$A$6:$A$505,0)),""))</f>
        <v/>
      </c>
      <c r="F237" s="32"/>
      <c r="G237" s="32"/>
      <c r="H237" s="32"/>
      <c r="I237" s="34" t="str">
        <f aca="false">IF($A237="","",N($F237)+N($G237)+N($H237))</f>
        <v/>
      </c>
      <c r="J237" s="26"/>
      <c r="K237" s="28"/>
      <c r="L237" s="26"/>
      <c r="M237" s="26"/>
      <c r="N237" s="28"/>
      <c r="O237" s="28"/>
    </row>
    <row r="238" customFormat="false" ht="15" hidden="false" customHeight="false" outlineLevel="0" collapsed="false">
      <c r="A238" s="26"/>
      <c r="B238" s="29"/>
      <c r="C238" s="26"/>
      <c r="D238" s="27" t="str">
        <f aca="false">IF($C238="","",IFERROR(INDEX(Invoices!$C$6:$C$505,MATCH($C238,Invoices!$A$6:$A$505,0)),"Invoice not found"))</f>
        <v/>
      </c>
      <c r="E238" s="35" t="str">
        <f aca="false">IF($C238="","",IFERROR(INDEX(Invoices!$L$6:$L$505,MATCH($C238,Invoices!$A$6:$A$505,0)),""))</f>
        <v/>
      </c>
      <c r="F238" s="32"/>
      <c r="G238" s="32"/>
      <c r="H238" s="32"/>
      <c r="I238" s="34" t="str">
        <f aca="false">IF($A238="","",N($F238)+N($G238)+N($H238))</f>
        <v/>
      </c>
      <c r="J238" s="26"/>
      <c r="K238" s="28"/>
      <c r="L238" s="26"/>
      <c r="M238" s="26"/>
      <c r="N238" s="28"/>
      <c r="O238" s="28"/>
    </row>
    <row r="239" customFormat="false" ht="15" hidden="false" customHeight="false" outlineLevel="0" collapsed="false">
      <c r="A239" s="26"/>
      <c r="B239" s="29"/>
      <c r="C239" s="26"/>
      <c r="D239" s="27" t="str">
        <f aca="false">IF($C239="","",IFERROR(INDEX(Invoices!$C$6:$C$505,MATCH($C239,Invoices!$A$6:$A$505,0)),"Invoice not found"))</f>
        <v/>
      </c>
      <c r="E239" s="35" t="str">
        <f aca="false">IF($C239="","",IFERROR(INDEX(Invoices!$L$6:$L$505,MATCH($C239,Invoices!$A$6:$A$505,0)),""))</f>
        <v/>
      </c>
      <c r="F239" s="32"/>
      <c r="G239" s="32"/>
      <c r="H239" s="32"/>
      <c r="I239" s="34" t="str">
        <f aca="false">IF($A239="","",N($F239)+N($G239)+N($H239))</f>
        <v/>
      </c>
      <c r="J239" s="26"/>
      <c r="K239" s="28"/>
      <c r="L239" s="26"/>
      <c r="M239" s="26"/>
      <c r="N239" s="28"/>
      <c r="O239" s="28"/>
    </row>
    <row r="240" customFormat="false" ht="15" hidden="false" customHeight="false" outlineLevel="0" collapsed="false">
      <c r="A240" s="26"/>
      <c r="B240" s="29"/>
      <c r="C240" s="26"/>
      <c r="D240" s="27" t="str">
        <f aca="false">IF($C240="","",IFERROR(INDEX(Invoices!$C$6:$C$505,MATCH($C240,Invoices!$A$6:$A$505,0)),"Invoice not found"))</f>
        <v/>
      </c>
      <c r="E240" s="35" t="str">
        <f aca="false">IF($C240="","",IFERROR(INDEX(Invoices!$L$6:$L$505,MATCH($C240,Invoices!$A$6:$A$505,0)),""))</f>
        <v/>
      </c>
      <c r="F240" s="32"/>
      <c r="G240" s="32"/>
      <c r="H240" s="32"/>
      <c r="I240" s="34" t="str">
        <f aca="false">IF($A240="","",N($F240)+N($G240)+N($H240))</f>
        <v/>
      </c>
      <c r="J240" s="26"/>
      <c r="K240" s="28"/>
      <c r="L240" s="26"/>
      <c r="M240" s="26"/>
      <c r="N240" s="28"/>
      <c r="O240" s="28"/>
    </row>
    <row r="241" customFormat="false" ht="15" hidden="false" customHeight="false" outlineLevel="0" collapsed="false">
      <c r="A241" s="26"/>
      <c r="B241" s="29"/>
      <c r="C241" s="26"/>
      <c r="D241" s="27" t="str">
        <f aca="false">IF($C241="","",IFERROR(INDEX(Invoices!$C$6:$C$505,MATCH($C241,Invoices!$A$6:$A$505,0)),"Invoice not found"))</f>
        <v/>
      </c>
      <c r="E241" s="35" t="str">
        <f aca="false">IF($C241="","",IFERROR(INDEX(Invoices!$L$6:$L$505,MATCH($C241,Invoices!$A$6:$A$505,0)),""))</f>
        <v/>
      </c>
      <c r="F241" s="32"/>
      <c r="G241" s="32"/>
      <c r="H241" s="32"/>
      <c r="I241" s="34" t="str">
        <f aca="false">IF($A241="","",N($F241)+N($G241)+N($H241))</f>
        <v/>
      </c>
      <c r="J241" s="26"/>
      <c r="K241" s="28"/>
      <c r="L241" s="26"/>
      <c r="M241" s="26"/>
      <c r="N241" s="28"/>
      <c r="O241" s="28"/>
    </row>
    <row r="242" customFormat="false" ht="15" hidden="false" customHeight="false" outlineLevel="0" collapsed="false">
      <c r="A242" s="26"/>
      <c r="B242" s="29"/>
      <c r="C242" s="26"/>
      <c r="D242" s="27" t="str">
        <f aca="false">IF($C242="","",IFERROR(INDEX(Invoices!$C$6:$C$505,MATCH($C242,Invoices!$A$6:$A$505,0)),"Invoice not found"))</f>
        <v/>
      </c>
      <c r="E242" s="35" t="str">
        <f aca="false">IF($C242="","",IFERROR(INDEX(Invoices!$L$6:$L$505,MATCH($C242,Invoices!$A$6:$A$505,0)),""))</f>
        <v/>
      </c>
      <c r="F242" s="32"/>
      <c r="G242" s="32"/>
      <c r="H242" s="32"/>
      <c r="I242" s="34" t="str">
        <f aca="false">IF($A242="","",N($F242)+N($G242)+N($H242))</f>
        <v/>
      </c>
      <c r="J242" s="26"/>
      <c r="K242" s="28"/>
      <c r="L242" s="26"/>
      <c r="M242" s="26"/>
      <c r="N242" s="28"/>
      <c r="O242" s="28"/>
    </row>
    <row r="243" customFormat="false" ht="15" hidden="false" customHeight="false" outlineLevel="0" collapsed="false">
      <c r="A243" s="26"/>
      <c r="B243" s="29"/>
      <c r="C243" s="26"/>
      <c r="D243" s="27" t="str">
        <f aca="false">IF($C243="","",IFERROR(INDEX(Invoices!$C$6:$C$505,MATCH($C243,Invoices!$A$6:$A$505,0)),"Invoice not found"))</f>
        <v/>
      </c>
      <c r="E243" s="35" t="str">
        <f aca="false">IF($C243="","",IFERROR(INDEX(Invoices!$L$6:$L$505,MATCH($C243,Invoices!$A$6:$A$505,0)),""))</f>
        <v/>
      </c>
      <c r="F243" s="32"/>
      <c r="G243" s="32"/>
      <c r="H243" s="32"/>
      <c r="I243" s="34" t="str">
        <f aca="false">IF($A243="","",N($F243)+N($G243)+N($H243))</f>
        <v/>
      </c>
      <c r="J243" s="26"/>
      <c r="K243" s="28"/>
      <c r="L243" s="26"/>
      <c r="M243" s="26"/>
      <c r="N243" s="28"/>
      <c r="O243" s="28"/>
    </row>
    <row r="244" customFormat="false" ht="15" hidden="false" customHeight="false" outlineLevel="0" collapsed="false">
      <c r="A244" s="26"/>
      <c r="B244" s="29"/>
      <c r="C244" s="26"/>
      <c r="D244" s="27" t="str">
        <f aca="false">IF($C244="","",IFERROR(INDEX(Invoices!$C$6:$C$505,MATCH($C244,Invoices!$A$6:$A$505,0)),"Invoice not found"))</f>
        <v/>
      </c>
      <c r="E244" s="35" t="str">
        <f aca="false">IF($C244="","",IFERROR(INDEX(Invoices!$L$6:$L$505,MATCH($C244,Invoices!$A$6:$A$505,0)),""))</f>
        <v/>
      </c>
      <c r="F244" s="32"/>
      <c r="G244" s="32"/>
      <c r="H244" s="32"/>
      <c r="I244" s="34" t="str">
        <f aca="false">IF($A244="","",N($F244)+N($G244)+N($H244))</f>
        <v/>
      </c>
      <c r="J244" s="26"/>
      <c r="K244" s="28"/>
      <c r="L244" s="26"/>
      <c r="M244" s="26"/>
      <c r="N244" s="28"/>
      <c r="O244" s="28"/>
    </row>
    <row r="245" customFormat="false" ht="15" hidden="false" customHeight="false" outlineLevel="0" collapsed="false">
      <c r="A245" s="26"/>
      <c r="B245" s="29"/>
      <c r="C245" s="26"/>
      <c r="D245" s="27" t="str">
        <f aca="false">IF($C245="","",IFERROR(INDEX(Invoices!$C$6:$C$505,MATCH($C245,Invoices!$A$6:$A$505,0)),"Invoice not found"))</f>
        <v/>
      </c>
      <c r="E245" s="35" t="str">
        <f aca="false">IF($C245="","",IFERROR(INDEX(Invoices!$L$6:$L$505,MATCH($C245,Invoices!$A$6:$A$505,0)),""))</f>
        <v/>
      </c>
      <c r="F245" s="32"/>
      <c r="G245" s="32"/>
      <c r="H245" s="32"/>
      <c r="I245" s="34" t="str">
        <f aca="false">IF($A245="","",N($F245)+N($G245)+N($H245))</f>
        <v/>
      </c>
      <c r="J245" s="26"/>
      <c r="K245" s="28"/>
      <c r="L245" s="26"/>
      <c r="M245" s="26"/>
      <c r="N245" s="28"/>
      <c r="O245" s="28"/>
    </row>
    <row r="246" customFormat="false" ht="15" hidden="false" customHeight="false" outlineLevel="0" collapsed="false">
      <c r="A246" s="26"/>
      <c r="B246" s="29"/>
      <c r="C246" s="26"/>
      <c r="D246" s="27" t="str">
        <f aca="false">IF($C246="","",IFERROR(INDEX(Invoices!$C$6:$C$505,MATCH($C246,Invoices!$A$6:$A$505,0)),"Invoice not found"))</f>
        <v/>
      </c>
      <c r="E246" s="35" t="str">
        <f aca="false">IF($C246="","",IFERROR(INDEX(Invoices!$L$6:$L$505,MATCH($C246,Invoices!$A$6:$A$505,0)),""))</f>
        <v/>
      </c>
      <c r="F246" s="32"/>
      <c r="G246" s="32"/>
      <c r="H246" s="32"/>
      <c r="I246" s="34" t="str">
        <f aca="false">IF($A246="","",N($F246)+N($G246)+N($H246))</f>
        <v/>
      </c>
      <c r="J246" s="26"/>
      <c r="K246" s="28"/>
      <c r="L246" s="26"/>
      <c r="M246" s="26"/>
      <c r="N246" s="28"/>
      <c r="O246" s="28"/>
    </row>
    <row r="247" customFormat="false" ht="15" hidden="false" customHeight="false" outlineLevel="0" collapsed="false">
      <c r="A247" s="26"/>
      <c r="B247" s="29"/>
      <c r="C247" s="26"/>
      <c r="D247" s="27" t="str">
        <f aca="false">IF($C247="","",IFERROR(INDEX(Invoices!$C$6:$C$505,MATCH($C247,Invoices!$A$6:$A$505,0)),"Invoice not found"))</f>
        <v/>
      </c>
      <c r="E247" s="35" t="str">
        <f aca="false">IF($C247="","",IFERROR(INDEX(Invoices!$L$6:$L$505,MATCH($C247,Invoices!$A$6:$A$505,0)),""))</f>
        <v/>
      </c>
      <c r="F247" s="32"/>
      <c r="G247" s="32"/>
      <c r="H247" s="32"/>
      <c r="I247" s="34" t="str">
        <f aca="false">IF($A247="","",N($F247)+N($G247)+N($H247))</f>
        <v/>
      </c>
      <c r="J247" s="26"/>
      <c r="K247" s="28"/>
      <c r="L247" s="26"/>
      <c r="M247" s="26"/>
      <c r="N247" s="28"/>
      <c r="O247" s="28"/>
    </row>
    <row r="248" customFormat="false" ht="15" hidden="false" customHeight="false" outlineLevel="0" collapsed="false">
      <c r="A248" s="26"/>
      <c r="B248" s="29"/>
      <c r="C248" s="26"/>
      <c r="D248" s="27" t="str">
        <f aca="false">IF($C248="","",IFERROR(INDEX(Invoices!$C$6:$C$505,MATCH($C248,Invoices!$A$6:$A$505,0)),"Invoice not found"))</f>
        <v/>
      </c>
      <c r="E248" s="35" t="str">
        <f aca="false">IF($C248="","",IFERROR(INDEX(Invoices!$L$6:$L$505,MATCH($C248,Invoices!$A$6:$A$505,0)),""))</f>
        <v/>
      </c>
      <c r="F248" s="32"/>
      <c r="G248" s="32"/>
      <c r="H248" s="32"/>
      <c r="I248" s="34" t="str">
        <f aca="false">IF($A248="","",N($F248)+N($G248)+N($H248))</f>
        <v/>
      </c>
      <c r="J248" s="26"/>
      <c r="K248" s="28"/>
      <c r="L248" s="26"/>
      <c r="M248" s="26"/>
      <c r="N248" s="28"/>
      <c r="O248" s="28"/>
    </row>
    <row r="249" customFormat="false" ht="15" hidden="false" customHeight="false" outlineLevel="0" collapsed="false">
      <c r="A249" s="26"/>
      <c r="B249" s="29"/>
      <c r="C249" s="26"/>
      <c r="D249" s="27" t="str">
        <f aca="false">IF($C249="","",IFERROR(INDEX(Invoices!$C$6:$C$505,MATCH($C249,Invoices!$A$6:$A$505,0)),"Invoice not found"))</f>
        <v/>
      </c>
      <c r="E249" s="35" t="str">
        <f aca="false">IF($C249="","",IFERROR(INDEX(Invoices!$L$6:$L$505,MATCH($C249,Invoices!$A$6:$A$505,0)),""))</f>
        <v/>
      </c>
      <c r="F249" s="32"/>
      <c r="G249" s="32"/>
      <c r="H249" s="32"/>
      <c r="I249" s="34" t="str">
        <f aca="false">IF($A249="","",N($F249)+N($G249)+N($H249))</f>
        <v/>
      </c>
      <c r="J249" s="26"/>
      <c r="K249" s="28"/>
      <c r="L249" s="26"/>
      <c r="M249" s="26"/>
      <c r="N249" s="28"/>
      <c r="O249" s="28"/>
    </row>
    <row r="250" customFormat="false" ht="15" hidden="false" customHeight="false" outlineLevel="0" collapsed="false">
      <c r="A250" s="26"/>
      <c r="B250" s="29"/>
      <c r="C250" s="26"/>
      <c r="D250" s="27" t="str">
        <f aca="false">IF($C250="","",IFERROR(INDEX(Invoices!$C$6:$C$505,MATCH($C250,Invoices!$A$6:$A$505,0)),"Invoice not found"))</f>
        <v/>
      </c>
      <c r="E250" s="35" t="str">
        <f aca="false">IF($C250="","",IFERROR(INDEX(Invoices!$L$6:$L$505,MATCH($C250,Invoices!$A$6:$A$505,0)),""))</f>
        <v/>
      </c>
      <c r="F250" s="32"/>
      <c r="G250" s="32"/>
      <c r="H250" s="32"/>
      <c r="I250" s="34" t="str">
        <f aca="false">IF($A250="","",N($F250)+N($G250)+N($H250))</f>
        <v/>
      </c>
      <c r="J250" s="26"/>
      <c r="K250" s="28"/>
      <c r="L250" s="26"/>
      <c r="M250" s="26"/>
      <c r="N250" s="28"/>
      <c r="O250" s="28"/>
    </row>
    <row r="251" customFormat="false" ht="15" hidden="false" customHeight="false" outlineLevel="0" collapsed="false">
      <c r="A251" s="26"/>
      <c r="B251" s="29"/>
      <c r="C251" s="26"/>
      <c r="D251" s="27" t="str">
        <f aca="false">IF($C251="","",IFERROR(INDEX(Invoices!$C$6:$C$505,MATCH($C251,Invoices!$A$6:$A$505,0)),"Invoice not found"))</f>
        <v/>
      </c>
      <c r="E251" s="35" t="str">
        <f aca="false">IF($C251="","",IFERROR(INDEX(Invoices!$L$6:$L$505,MATCH($C251,Invoices!$A$6:$A$505,0)),""))</f>
        <v/>
      </c>
      <c r="F251" s="32"/>
      <c r="G251" s="32"/>
      <c r="H251" s="32"/>
      <c r="I251" s="34" t="str">
        <f aca="false">IF($A251="","",N($F251)+N($G251)+N($H251))</f>
        <v/>
      </c>
      <c r="J251" s="26"/>
      <c r="K251" s="28"/>
      <c r="L251" s="26"/>
      <c r="M251" s="26"/>
      <c r="N251" s="28"/>
      <c r="O251" s="28"/>
    </row>
    <row r="252" customFormat="false" ht="15" hidden="false" customHeight="false" outlineLevel="0" collapsed="false">
      <c r="A252" s="26"/>
      <c r="B252" s="29"/>
      <c r="C252" s="26"/>
      <c r="D252" s="27" t="str">
        <f aca="false">IF($C252="","",IFERROR(INDEX(Invoices!$C$6:$C$505,MATCH($C252,Invoices!$A$6:$A$505,0)),"Invoice not found"))</f>
        <v/>
      </c>
      <c r="E252" s="35" t="str">
        <f aca="false">IF($C252="","",IFERROR(INDEX(Invoices!$L$6:$L$505,MATCH($C252,Invoices!$A$6:$A$505,0)),""))</f>
        <v/>
      </c>
      <c r="F252" s="32"/>
      <c r="G252" s="32"/>
      <c r="H252" s="32"/>
      <c r="I252" s="34" t="str">
        <f aca="false">IF($A252="","",N($F252)+N($G252)+N($H252))</f>
        <v/>
      </c>
      <c r="J252" s="26"/>
      <c r="K252" s="28"/>
      <c r="L252" s="26"/>
      <c r="M252" s="26"/>
      <c r="N252" s="28"/>
      <c r="O252" s="28"/>
    </row>
    <row r="253" customFormat="false" ht="15" hidden="false" customHeight="false" outlineLevel="0" collapsed="false">
      <c r="A253" s="26"/>
      <c r="B253" s="29"/>
      <c r="C253" s="26"/>
      <c r="D253" s="27" t="str">
        <f aca="false">IF($C253="","",IFERROR(INDEX(Invoices!$C$6:$C$505,MATCH($C253,Invoices!$A$6:$A$505,0)),"Invoice not found"))</f>
        <v/>
      </c>
      <c r="E253" s="35" t="str">
        <f aca="false">IF($C253="","",IFERROR(INDEX(Invoices!$L$6:$L$505,MATCH($C253,Invoices!$A$6:$A$505,0)),""))</f>
        <v/>
      </c>
      <c r="F253" s="32"/>
      <c r="G253" s="32"/>
      <c r="H253" s="32"/>
      <c r="I253" s="34" t="str">
        <f aca="false">IF($A253="","",N($F253)+N($G253)+N($H253))</f>
        <v/>
      </c>
      <c r="J253" s="26"/>
      <c r="K253" s="28"/>
      <c r="L253" s="26"/>
      <c r="M253" s="26"/>
      <c r="N253" s="28"/>
      <c r="O253" s="28"/>
    </row>
    <row r="254" customFormat="false" ht="15" hidden="false" customHeight="false" outlineLevel="0" collapsed="false">
      <c r="A254" s="26"/>
      <c r="B254" s="29"/>
      <c r="C254" s="26"/>
      <c r="D254" s="27" t="str">
        <f aca="false">IF($C254="","",IFERROR(INDEX(Invoices!$C$6:$C$505,MATCH($C254,Invoices!$A$6:$A$505,0)),"Invoice not found"))</f>
        <v/>
      </c>
      <c r="E254" s="35" t="str">
        <f aca="false">IF($C254="","",IFERROR(INDEX(Invoices!$L$6:$L$505,MATCH($C254,Invoices!$A$6:$A$505,0)),""))</f>
        <v/>
      </c>
      <c r="F254" s="32"/>
      <c r="G254" s="32"/>
      <c r="H254" s="32"/>
      <c r="I254" s="34" t="str">
        <f aca="false">IF($A254="","",N($F254)+N($G254)+N($H254))</f>
        <v/>
      </c>
      <c r="J254" s="26"/>
      <c r="K254" s="28"/>
      <c r="L254" s="26"/>
      <c r="M254" s="26"/>
      <c r="N254" s="28"/>
      <c r="O254" s="28"/>
    </row>
    <row r="255" customFormat="false" ht="15" hidden="false" customHeight="false" outlineLevel="0" collapsed="false">
      <c r="A255" s="26"/>
      <c r="B255" s="29"/>
      <c r="C255" s="26"/>
      <c r="D255" s="27" t="str">
        <f aca="false">IF($C255="","",IFERROR(INDEX(Invoices!$C$6:$C$505,MATCH($C255,Invoices!$A$6:$A$505,0)),"Invoice not found"))</f>
        <v/>
      </c>
      <c r="E255" s="35" t="str">
        <f aca="false">IF($C255="","",IFERROR(INDEX(Invoices!$L$6:$L$505,MATCH($C255,Invoices!$A$6:$A$505,0)),""))</f>
        <v/>
      </c>
      <c r="F255" s="32"/>
      <c r="G255" s="32"/>
      <c r="H255" s="32"/>
      <c r="I255" s="34" t="str">
        <f aca="false">IF($A255="","",N($F255)+N($G255)+N($H255))</f>
        <v/>
      </c>
      <c r="J255" s="26"/>
      <c r="K255" s="28"/>
      <c r="L255" s="26"/>
      <c r="M255" s="26"/>
      <c r="N255" s="28"/>
      <c r="O255" s="28"/>
    </row>
    <row r="256" customFormat="false" ht="15" hidden="false" customHeight="false" outlineLevel="0" collapsed="false">
      <c r="A256" s="26"/>
      <c r="B256" s="29"/>
      <c r="C256" s="26"/>
      <c r="D256" s="27" t="str">
        <f aca="false">IF($C256="","",IFERROR(INDEX(Invoices!$C$6:$C$505,MATCH($C256,Invoices!$A$6:$A$505,0)),"Invoice not found"))</f>
        <v/>
      </c>
      <c r="E256" s="35" t="str">
        <f aca="false">IF($C256="","",IFERROR(INDEX(Invoices!$L$6:$L$505,MATCH($C256,Invoices!$A$6:$A$505,0)),""))</f>
        <v/>
      </c>
      <c r="F256" s="32"/>
      <c r="G256" s="32"/>
      <c r="H256" s="32"/>
      <c r="I256" s="34" t="str">
        <f aca="false">IF($A256="","",N($F256)+N($G256)+N($H256))</f>
        <v/>
      </c>
      <c r="J256" s="26"/>
      <c r="K256" s="28"/>
      <c r="L256" s="26"/>
      <c r="M256" s="26"/>
      <c r="N256" s="28"/>
      <c r="O256" s="28"/>
    </row>
    <row r="257" customFormat="false" ht="15" hidden="false" customHeight="false" outlineLevel="0" collapsed="false">
      <c r="A257" s="26"/>
      <c r="B257" s="29"/>
      <c r="C257" s="26"/>
      <c r="D257" s="27" t="str">
        <f aca="false">IF($C257="","",IFERROR(INDEX(Invoices!$C$6:$C$505,MATCH($C257,Invoices!$A$6:$A$505,0)),"Invoice not found"))</f>
        <v/>
      </c>
      <c r="E257" s="35" t="str">
        <f aca="false">IF($C257="","",IFERROR(INDEX(Invoices!$L$6:$L$505,MATCH($C257,Invoices!$A$6:$A$505,0)),""))</f>
        <v/>
      </c>
      <c r="F257" s="32"/>
      <c r="G257" s="32"/>
      <c r="H257" s="32"/>
      <c r="I257" s="34" t="str">
        <f aca="false">IF($A257="","",N($F257)+N($G257)+N($H257))</f>
        <v/>
      </c>
      <c r="J257" s="26"/>
      <c r="K257" s="28"/>
      <c r="L257" s="26"/>
      <c r="M257" s="26"/>
      <c r="N257" s="28"/>
      <c r="O257" s="28"/>
    </row>
    <row r="258" customFormat="false" ht="15" hidden="false" customHeight="false" outlineLevel="0" collapsed="false">
      <c r="A258" s="26"/>
      <c r="B258" s="29"/>
      <c r="C258" s="26"/>
      <c r="D258" s="27" t="str">
        <f aca="false">IF($C258="","",IFERROR(INDEX(Invoices!$C$6:$C$505,MATCH($C258,Invoices!$A$6:$A$505,0)),"Invoice not found"))</f>
        <v/>
      </c>
      <c r="E258" s="35" t="str">
        <f aca="false">IF($C258="","",IFERROR(INDEX(Invoices!$L$6:$L$505,MATCH($C258,Invoices!$A$6:$A$505,0)),""))</f>
        <v/>
      </c>
      <c r="F258" s="32"/>
      <c r="G258" s="32"/>
      <c r="H258" s="32"/>
      <c r="I258" s="34" t="str">
        <f aca="false">IF($A258="","",N($F258)+N($G258)+N($H258))</f>
        <v/>
      </c>
      <c r="J258" s="26"/>
      <c r="K258" s="28"/>
      <c r="L258" s="26"/>
      <c r="M258" s="26"/>
      <c r="N258" s="28"/>
      <c r="O258" s="28"/>
    </row>
    <row r="259" customFormat="false" ht="15" hidden="false" customHeight="false" outlineLevel="0" collapsed="false">
      <c r="A259" s="26"/>
      <c r="B259" s="29"/>
      <c r="C259" s="26"/>
      <c r="D259" s="27" t="str">
        <f aca="false">IF($C259="","",IFERROR(INDEX(Invoices!$C$6:$C$505,MATCH($C259,Invoices!$A$6:$A$505,0)),"Invoice not found"))</f>
        <v/>
      </c>
      <c r="E259" s="35" t="str">
        <f aca="false">IF($C259="","",IFERROR(INDEX(Invoices!$L$6:$L$505,MATCH($C259,Invoices!$A$6:$A$505,0)),""))</f>
        <v/>
      </c>
      <c r="F259" s="32"/>
      <c r="G259" s="32"/>
      <c r="H259" s="32"/>
      <c r="I259" s="34" t="str">
        <f aca="false">IF($A259="","",N($F259)+N($G259)+N($H259))</f>
        <v/>
      </c>
      <c r="J259" s="26"/>
      <c r="K259" s="28"/>
      <c r="L259" s="26"/>
      <c r="M259" s="26"/>
      <c r="N259" s="28"/>
      <c r="O259" s="28"/>
    </row>
    <row r="260" customFormat="false" ht="15" hidden="false" customHeight="false" outlineLevel="0" collapsed="false">
      <c r="A260" s="26"/>
      <c r="B260" s="29"/>
      <c r="C260" s="26"/>
      <c r="D260" s="27" t="str">
        <f aca="false">IF($C260="","",IFERROR(INDEX(Invoices!$C$6:$C$505,MATCH($C260,Invoices!$A$6:$A$505,0)),"Invoice not found"))</f>
        <v/>
      </c>
      <c r="E260" s="35" t="str">
        <f aca="false">IF($C260="","",IFERROR(INDEX(Invoices!$L$6:$L$505,MATCH($C260,Invoices!$A$6:$A$505,0)),""))</f>
        <v/>
      </c>
      <c r="F260" s="32"/>
      <c r="G260" s="32"/>
      <c r="H260" s="32"/>
      <c r="I260" s="34" t="str">
        <f aca="false">IF($A260="","",N($F260)+N($G260)+N($H260))</f>
        <v/>
      </c>
      <c r="J260" s="26"/>
      <c r="K260" s="28"/>
      <c r="L260" s="26"/>
      <c r="M260" s="26"/>
      <c r="N260" s="28"/>
      <c r="O260" s="28"/>
    </row>
    <row r="261" customFormat="false" ht="15" hidden="false" customHeight="false" outlineLevel="0" collapsed="false">
      <c r="A261" s="26"/>
      <c r="B261" s="29"/>
      <c r="C261" s="26"/>
      <c r="D261" s="27" t="str">
        <f aca="false">IF($C261="","",IFERROR(INDEX(Invoices!$C$6:$C$505,MATCH($C261,Invoices!$A$6:$A$505,0)),"Invoice not found"))</f>
        <v/>
      </c>
      <c r="E261" s="35" t="str">
        <f aca="false">IF($C261="","",IFERROR(INDEX(Invoices!$L$6:$L$505,MATCH($C261,Invoices!$A$6:$A$505,0)),""))</f>
        <v/>
      </c>
      <c r="F261" s="32"/>
      <c r="G261" s="32"/>
      <c r="H261" s="32"/>
      <c r="I261" s="34" t="str">
        <f aca="false">IF($A261="","",N($F261)+N($G261)+N($H261))</f>
        <v/>
      </c>
      <c r="J261" s="26"/>
      <c r="K261" s="28"/>
      <c r="L261" s="26"/>
      <c r="M261" s="26"/>
      <c r="N261" s="28"/>
      <c r="O261" s="28"/>
    </row>
    <row r="262" customFormat="false" ht="15" hidden="false" customHeight="false" outlineLevel="0" collapsed="false">
      <c r="A262" s="26"/>
      <c r="B262" s="29"/>
      <c r="C262" s="26"/>
      <c r="D262" s="27" t="str">
        <f aca="false">IF($C262="","",IFERROR(INDEX(Invoices!$C$6:$C$505,MATCH($C262,Invoices!$A$6:$A$505,0)),"Invoice not found"))</f>
        <v/>
      </c>
      <c r="E262" s="35" t="str">
        <f aca="false">IF($C262="","",IFERROR(INDEX(Invoices!$L$6:$L$505,MATCH($C262,Invoices!$A$6:$A$505,0)),""))</f>
        <v/>
      </c>
      <c r="F262" s="32"/>
      <c r="G262" s="32"/>
      <c r="H262" s="32"/>
      <c r="I262" s="34" t="str">
        <f aca="false">IF($A262="","",N($F262)+N($G262)+N($H262))</f>
        <v/>
      </c>
      <c r="J262" s="26"/>
      <c r="K262" s="28"/>
      <c r="L262" s="26"/>
      <c r="M262" s="26"/>
      <c r="N262" s="28"/>
      <c r="O262" s="28"/>
    </row>
    <row r="263" customFormat="false" ht="15" hidden="false" customHeight="false" outlineLevel="0" collapsed="false">
      <c r="A263" s="26"/>
      <c r="B263" s="29"/>
      <c r="C263" s="26"/>
      <c r="D263" s="27" t="str">
        <f aca="false">IF($C263="","",IFERROR(INDEX(Invoices!$C$6:$C$505,MATCH($C263,Invoices!$A$6:$A$505,0)),"Invoice not found"))</f>
        <v/>
      </c>
      <c r="E263" s="35" t="str">
        <f aca="false">IF($C263="","",IFERROR(INDEX(Invoices!$L$6:$L$505,MATCH($C263,Invoices!$A$6:$A$505,0)),""))</f>
        <v/>
      </c>
      <c r="F263" s="32"/>
      <c r="G263" s="32"/>
      <c r="H263" s="32"/>
      <c r="I263" s="34" t="str">
        <f aca="false">IF($A263="","",N($F263)+N($G263)+N($H263))</f>
        <v/>
      </c>
      <c r="J263" s="26"/>
      <c r="K263" s="28"/>
      <c r="L263" s="26"/>
      <c r="M263" s="26"/>
      <c r="N263" s="28"/>
      <c r="O263" s="28"/>
    </row>
    <row r="264" customFormat="false" ht="15" hidden="false" customHeight="false" outlineLevel="0" collapsed="false">
      <c r="A264" s="26"/>
      <c r="B264" s="29"/>
      <c r="C264" s="26"/>
      <c r="D264" s="27" t="str">
        <f aca="false">IF($C264="","",IFERROR(INDEX(Invoices!$C$6:$C$505,MATCH($C264,Invoices!$A$6:$A$505,0)),"Invoice not found"))</f>
        <v/>
      </c>
      <c r="E264" s="35" t="str">
        <f aca="false">IF($C264="","",IFERROR(INDEX(Invoices!$L$6:$L$505,MATCH($C264,Invoices!$A$6:$A$505,0)),""))</f>
        <v/>
      </c>
      <c r="F264" s="32"/>
      <c r="G264" s="32"/>
      <c r="H264" s="32"/>
      <c r="I264" s="34" t="str">
        <f aca="false">IF($A264="","",N($F264)+N($G264)+N($H264))</f>
        <v/>
      </c>
      <c r="J264" s="26"/>
      <c r="K264" s="28"/>
      <c r="L264" s="26"/>
      <c r="M264" s="26"/>
      <c r="N264" s="28"/>
      <c r="O264" s="28"/>
    </row>
    <row r="265" customFormat="false" ht="15" hidden="false" customHeight="false" outlineLevel="0" collapsed="false">
      <c r="A265" s="26"/>
      <c r="B265" s="29"/>
      <c r="C265" s="26"/>
      <c r="D265" s="27" t="str">
        <f aca="false">IF($C265="","",IFERROR(INDEX(Invoices!$C$6:$C$505,MATCH($C265,Invoices!$A$6:$A$505,0)),"Invoice not found"))</f>
        <v/>
      </c>
      <c r="E265" s="35" t="str">
        <f aca="false">IF($C265="","",IFERROR(INDEX(Invoices!$L$6:$L$505,MATCH($C265,Invoices!$A$6:$A$505,0)),""))</f>
        <v/>
      </c>
      <c r="F265" s="32"/>
      <c r="G265" s="32"/>
      <c r="H265" s="32"/>
      <c r="I265" s="34" t="str">
        <f aca="false">IF($A265="","",N($F265)+N($G265)+N($H265))</f>
        <v/>
      </c>
      <c r="J265" s="26"/>
      <c r="K265" s="28"/>
      <c r="L265" s="26"/>
      <c r="M265" s="26"/>
      <c r="N265" s="28"/>
      <c r="O265" s="28"/>
    </row>
    <row r="266" customFormat="false" ht="15" hidden="false" customHeight="false" outlineLevel="0" collapsed="false">
      <c r="A266" s="26"/>
      <c r="B266" s="29"/>
      <c r="C266" s="26"/>
      <c r="D266" s="27" t="str">
        <f aca="false">IF($C266="","",IFERROR(INDEX(Invoices!$C$6:$C$505,MATCH($C266,Invoices!$A$6:$A$505,0)),"Invoice not found"))</f>
        <v/>
      </c>
      <c r="E266" s="35" t="str">
        <f aca="false">IF($C266="","",IFERROR(INDEX(Invoices!$L$6:$L$505,MATCH($C266,Invoices!$A$6:$A$505,0)),""))</f>
        <v/>
      </c>
      <c r="F266" s="32"/>
      <c r="G266" s="32"/>
      <c r="H266" s="32"/>
      <c r="I266" s="34" t="str">
        <f aca="false">IF($A266="","",N($F266)+N($G266)+N($H266))</f>
        <v/>
      </c>
      <c r="J266" s="26"/>
      <c r="K266" s="28"/>
      <c r="L266" s="26"/>
      <c r="M266" s="26"/>
      <c r="N266" s="28"/>
      <c r="O266" s="28"/>
    </row>
    <row r="267" customFormat="false" ht="15" hidden="false" customHeight="false" outlineLevel="0" collapsed="false">
      <c r="A267" s="26"/>
      <c r="B267" s="29"/>
      <c r="C267" s="26"/>
      <c r="D267" s="27" t="str">
        <f aca="false">IF($C267="","",IFERROR(INDEX(Invoices!$C$6:$C$505,MATCH($C267,Invoices!$A$6:$A$505,0)),"Invoice not found"))</f>
        <v/>
      </c>
      <c r="E267" s="35" t="str">
        <f aca="false">IF($C267="","",IFERROR(INDEX(Invoices!$L$6:$L$505,MATCH($C267,Invoices!$A$6:$A$505,0)),""))</f>
        <v/>
      </c>
      <c r="F267" s="32"/>
      <c r="G267" s="32"/>
      <c r="H267" s="32"/>
      <c r="I267" s="34" t="str">
        <f aca="false">IF($A267="","",N($F267)+N($G267)+N($H267))</f>
        <v/>
      </c>
      <c r="J267" s="26"/>
      <c r="K267" s="28"/>
      <c r="L267" s="26"/>
      <c r="M267" s="26"/>
      <c r="N267" s="28"/>
      <c r="O267" s="28"/>
    </row>
    <row r="268" customFormat="false" ht="15" hidden="false" customHeight="false" outlineLevel="0" collapsed="false">
      <c r="A268" s="26"/>
      <c r="B268" s="29"/>
      <c r="C268" s="26"/>
      <c r="D268" s="27" t="str">
        <f aca="false">IF($C268="","",IFERROR(INDEX(Invoices!$C$6:$C$505,MATCH($C268,Invoices!$A$6:$A$505,0)),"Invoice not found"))</f>
        <v/>
      </c>
      <c r="E268" s="35" t="str">
        <f aca="false">IF($C268="","",IFERROR(INDEX(Invoices!$L$6:$L$505,MATCH($C268,Invoices!$A$6:$A$505,0)),""))</f>
        <v/>
      </c>
      <c r="F268" s="32"/>
      <c r="G268" s="32"/>
      <c r="H268" s="32"/>
      <c r="I268" s="34" t="str">
        <f aca="false">IF($A268="","",N($F268)+N($G268)+N($H268))</f>
        <v/>
      </c>
      <c r="J268" s="26"/>
      <c r="K268" s="28"/>
      <c r="L268" s="26"/>
      <c r="M268" s="26"/>
      <c r="N268" s="28"/>
      <c r="O268" s="28"/>
    </row>
    <row r="269" customFormat="false" ht="15" hidden="false" customHeight="false" outlineLevel="0" collapsed="false">
      <c r="A269" s="26"/>
      <c r="B269" s="29"/>
      <c r="C269" s="26"/>
      <c r="D269" s="27" t="str">
        <f aca="false">IF($C269="","",IFERROR(INDEX(Invoices!$C$6:$C$505,MATCH($C269,Invoices!$A$6:$A$505,0)),"Invoice not found"))</f>
        <v/>
      </c>
      <c r="E269" s="35" t="str">
        <f aca="false">IF($C269="","",IFERROR(INDEX(Invoices!$L$6:$L$505,MATCH($C269,Invoices!$A$6:$A$505,0)),""))</f>
        <v/>
      </c>
      <c r="F269" s="32"/>
      <c r="G269" s="32"/>
      <c r="H269" s="32"/>
      <c r="I269" s="34" t="str">
        <f aca="false">IF($A269="","",N($F269)+N($G269)+N($H269))</f>
        <v/>
      </c>
      <c r="J269" s="26"/>
      <c r="K269" s="28"/>
      <c r="L269" s="26"/>
      <c r="M269" s="26"/>
      <c r="N269" s="28"/>
      <c r="O269" s="28"/>
    </row>
    <row r="270" customFormat="false" ht="15" hidden="false" customHeight="false" outlineLevel="0" collapsed="false">
      <c r="A270" s="26"/>
      <c r="B270" s="29"/>
      <c r="C270" s="26"/>
      <c r="D270" s="27" t="str">
        <f aca="false">IF($C270="","",IFERROR(INDEX(Invoices!$C$6:$C$505,MATCH($C270,Invoices!$A$6:$A$505,0)),"Invoice not found"))</f>
        <v/>
      </c>
      <c r="E270" s="35" t="str">
        <f aca="false">IF($C270="","",IFERROR(INDEX(Invoices!$L$6:$L$505,MATCH($C270,Invoices!$A$6:$A$505,0)),""))</f>
        <v/>
      </c>
      <c r="F270" s="32"/>
      <c r="G270" s="32"/>
      <c r="H270" s="32"/>
      <c r="I270" s="34" t="str">
        <f aca="false">IF($A270="","",N($F270)+N($G270)+N($H270))</f>
        <v/>
      </c>
      <c r="J270" s="26"/>
      <c r="K270" s="28"/>
      <c r="L270" s="26"/>
      <c r="M270" s="26"/>
      <c r="N270" s="28"/>
      <c r="O270" s="28"/>
    </row>
    <row r="271" customFormat="false" ht="15" hidden="false" customHeight="false" outlineLevel="0" collapsed="false">
      <c r="A271" s="26"/>
      <c r="B271" s="29"/>
      <c r="C271" s="26"/>
      <c r="D271" s="27" t="str">
        <f aca="false">IF($C271="","",IFERROR(INDEX(Invoices!$C$6:$C$505,MATCH($C271,Invoices!$A$6:$A$505,0)),"Invoice not found"))</f>
        <v/>
      </c>
      <c r="E271" s="35" t="str">
        <f aca="false">IF($C271="","",IFERROR(INDEX(Invoices!$L$6:$L$505,MATCH($C271,Invoices!$A$6:$A$505,0)),""))</f>
        <v/>
      </c>
      <c r="F271" s="32"/>
      <c r="G271" s="32"/>
      <c r="H271" s="32"/>
      <c r="I271" s="34" t="str">
        <f aca="false">IF($A271="","",N($F271)+N($G271)+N($H271))</f>
        <v/>
      </c>
      <c r="J271" s="26"/>
      <c r="K271" s="28"/>
      <c r="L271" s="26"/>
      <c r="M271" s="26"/>
      <c r="N271" s="28"/>
      <c r="O271" s="28"/>
    </row>
    <row r="272" customFormat="false" ht="15" hidden="false" customHeight="false" outlineLevel="0" collapsed="false">
      <c r="A272" s="26"/>
      <c r="B272" s="29"/>
      <c r="C272" s="26"/>
      <c r="D272" s="27" t="str">
        <f aca="false">IF($C272="","",IFERROR(INDEX(Invoices!$C$6:$C$505,MATCH($C272,Invoices!$A$6:$A$505,0)),"Invoice not found"))</f>
        <v/>
      </c>
      <c r="E272" s="35" t="str">
        <f aca="false">IF($C272="","",IFERROR(INDEX(Invoices!$L$6:$L$505,MATCH($C272,Invoices!$A$6:$A$505,0)),""))</f>
        <v/>
      </c>
      <c r="F272" s="32"/>
      <c r="G272" s="32"/>
      <c r="H272" s="32"/>
      <c r="I272" s="34" t="str">
        <f aca="false">IF($A272="","",N($F272)+N($G272)+N($H272))</f>
        <v/>
      </c>
      <c r="J272" s="26"/>
      <c r="K272" s="28"/>
      <c r="L272" s="26"/>
      <c r="M272" s="26"/>
      <c r="N272" s="28"/>
      <c r="O272" s="28"/>
    </row>
    <row r="273" customFormat="false" ht="15" hidden="false" customHeight="false" outlineLevel="0" collapsed="false">
      <c r="A273" s="26"/>
      <c r="B273" s="29"/>
      <c r="C273" s="26"/>
      <c r="D273" s="27" t="str">
        <f aca="false">IF($C273="","",IFERROR(INDEX(Invoices!$C$6:$C$505,MATCH($C273,Invoices!$A$6:$A$505,0)),"Invoice not found"))</f>
        <v/>
      </c>
      <c r="E273" s="35" t="str">
        <f aca="false">IF($C273="","",IFERROR(INDEX(Invoices!$L$6:$L$505,MATCH($C273,Invoices!$A$6:$A$505,0)),""))</f>
        <v/>
      </c>
      <c r="F273" s="32"/>
      <c r="G273" s="32"/>
      <c r="H273" s="32"/>
      <c r="I273" s="34" t="str">
        <f aca="false">IF($A273="","",N($F273)+N($G273)+N($H273))</f>
        <v/>
      </c>
      <c r="J273" s="26"/>
      <c r="K273" s="28"/>
      <c r="L273" s="26"/>
      <c r="M273" s="26"/>
      <c r="N273" s="28"/>
      <c r="O273" s="28"/>
    </row>
    <row r="274" customFormat="false" ht="15" hidden="false" customHeight="false" outlineLevel="0" collapsed="false">
      <c r="A274" s="26"/>
      <c r="B274" s="29"/>
      <c r="C274" s="26"/>
      <c r="D274" s="27" t="str">
        <f aca="false">IF($C274="","",IFERROR(INDEX(Invoices!$C$6:$C$505,MATCH($C274,Invoices!$A$6:$A$505,0)),"Invoice not found"))</f>
        <v/>
      </c>
      <c r="E274" s="35" t="str">
        <f aca="false">IF($C274="","",IFERROR(INDEX(Invoices!$L$6:$L$505,MATCH($C274,Invoices!$A$6:$A$505,0)),""))</f>
        <v/>
      </c>
      <c r="F274" s="32"/>
      <c r="G274" s="32"/>
      <c r="H274" s="32"/>
      <c r="I274" s="34" t="str">
        <f aca="false">IF($A274="","",N($F274)+N($G274)+N($H274))</f>
        <v/>
      </c>
      <c r="J274" s="26"/>
      <c r="K274" s="28"/>
      <c r="L274" s="26"/>
      <c r="M274" s="26"/>
      <c r="N274" s="28"/>
      <c r="O274" s="28"/>
    </row>
    <row r="275" customFormat="false" ht="15" hidden="false" customHeight="false" outlineLevel="0" collapsed="false">
      <c r="A275" s="26"/>
      <c r="B275" s="29"/>
      <c r="C275" s="26"/>
      <c r="D275" s="27" t="str">
        <f aca="false">IF($C275="","",IFERROR(INDEX(Invoices!$C$6:$C$505,MATCH($C275,Invoices!$A$6:$A$505,0)),"Invoice not found"))</f>
        <v/>
      </c>
      <c r="E275" s="35" t="str">
        <f aca="false">IF($C275="","",IFERROR(INDEX(Invoices!$L$6:$L$505,MATCH($C275,Invoices!$A$6:$A$505,0)),""))</f>
        <v/>
      </c>
      <c r="F275" s="32"/>
      <c r="G275" s="32"/>
      <c r="H275" s="32"/>
      <c r="I275" s="34" t="str">
        <f aca="false">IF($A275="","",N($F275)+N($G275)+N($H275))</f>
        <v/>
      </c>
      <c r="J275" s="26"/>
      <c r="K275" s="28"/>
      <c r="L275" s="26"/>
      <c r="M275" s="26"/>
      <c r="N275" s="28"/>
      <c r="O275" s="28"/>
    </row>
    <row r="276" customFormat="false" ht="15" hidden="false" customHeight="false" outlineLevel="0" collapsed="false">
      <c r="A276" s="26"/>
      <c r="B276" s="29"/>
      <c r="C276" s="26"/>
      <c r="D276" s="27" t="str">
        <f aca="false">IF($C276="","",IFERROR(INDEX(Invoices!$C$6:$C$505,MATCH($C276,Invoices!$A$6:$A$505,0)),"Invoice not found"))</f>
        <v/>
      </c>
      <c r="E276" s="35" t="str">
        <f aca="false">IF($C276="","",IFERROR(INDEX(Invoices!$L$6:$L$505,MATCH($C276,Invoices!$A$6:$A$505,0)),""))</f>
        <v/>
      </c>
      <c r="F276" s="32"/>
      <c r="G276" s="32"/>
      <c r="H276" s="32"/>
      <c r="I276" s="34" t="str">
        <f aca="false">IF($A276="","",N($F276)+N($G276)+N($H276))</f>
        <v/>
      </c>
      <c r="J276" s="26"/>
      <c r="K276" s="28"/>
      <c r="L276" s="26"/>
      <c r="M276" s="26"/>
      <c r="N276" s="28"/>
      <c r="O276" s="28"/>
    </row>
    <row r="277" customFormat="false" ht="15" hidden="false" customHeight="false" outlineLevel="0" collapsed="false">
      <c r="A277" s="26"/>
      <c r="B277" s="29"/>
      <c r="C277" s="26"/>
      <c r="D277" s="27" t="str">
        <f aca="false">IF($C277="","",IFERROR(INDEX(Invoices!$C$6:$C$505,MATCH($C277,Invoices!$A$6:$A$505,0)),"Invoice not found"))</f>
        <v/>
      </c>
      <c r="E277" s="35" t="str">
        <f aca="false">IF($C277="","",IFERROR(INDEX(Invoices!$L$6:$L$505,MATCH($C277,Invoices!$A$6:$A$505,0)),""))</f>
        <v/>
      </c>
      <c r="F277" s="32"/>
      <c r="G277" s="32"/>
      <c r="H277" s="32"/>
      <c r="I277" s="34" t="str">
        <f aca="false">IF($A277="","",N($F277)+N($G277)+N($H277))</f>
        <v/>
      </c>
      <c r="J277" s="26"/>
      <c r="K277" s="28"/>
      <c r="L277" s="26"/>
      <c r="M277" s="26"/>
      <c r="N277" s="28"/>
      <c r="O277" s="28"/>
    </row>
    <row r="278" customFormat="false" ht="15" hidden="false" customHeight="false" outlineLevel="0" collapsed="false">
      <c r="A278" s="26"/>
      <c r="B278" s="29"/>
      <c r="C278" s="26"/>
      <c r="D278" s="27" t="str">
        <f aca="false">IF($C278="","",IFERROR(INDEX(Invoices!$C$6:$C$505,MATCH($C278,Invoices!$A$6:$A$505,0)),"Invoice not found"))</f>
        <v/>
      </c>
      <c r="E278" s="35" t="str">
        <f aca="false">IF($C278="","",IFERROR(INDEX(Invoices!$L$6:$L$505,MATCH($C278,Invoices!$A$6:$A$505,0)),""))</f>
        <v/>
      </c>
      <c r="F278" s="32"/>
      <c r="G278" s="32"/>
      <c r="H278" s="32"/>
      <c r="I278" s="34" t="str">
        <f aca="false">IF($A278="","",N($F278)+N($G278)+N($H278))</f>
        <v/>
      </c>
      <c r="J278" s="26"/>
      <c r="K278" s="28"/>
      <c r="L278" s="26"/>
      <c r="M278" s="26"/>
      <c r="N278" s="28"/>
      <c r="O278" s="28"/>
    </row>
    <row r="279" customFormat="false" ht="15" hidden="false" customHeight="false" outlineLevel="0" collapsed="false">
      <c r="A279" s="26"/>
      <c r="B279" s="29"/>
      <c r="C279" s="26"/>
      <c r="D279" s="27" t="str">
        <f aca="false">IF($C279="","",IFERROR(INDEX(Invoices!$C$6:$C$505,MATCH($C279,Invoices!$A$6:$A$505,0)),"Invoice not found"))</f>
        <v/>
      </c>
      <c r="E279" s="35" t="str">
        <f aca="false">IF($C279="","",IFERROR(INDEX(Invoices!$L$6:$L$505,MATCH($C279,Invoices!$A$6:$A$505,0)),""))</f>
        <v/>
      </c>
      <c r="F279" s="32"/>
      <c r="G279" s="32"/>
      <c r="H279" s="32"/>
      <c r="I279" s="34" t="str">
        <f aca="false">IF($A279="","",N($F279)+N($G279)+N($H279))</f>
        <v/>
      </c>
      <c r="J279" s="26"/>
      <c r="K279" s="28"/>
      <c r="L279" s="26"/>
      <c r="M279" s="26"/>
      <c r="N279" s="28"/>
      <c r="O279" s="28"/>
    </row>
    <row r="280" customFormat="false" ht="15" hidden="false" customHeight="false" outlineLevel="0" collapsed="false">
      <c r="A280" s="26"/>
      <c r="B280" s="29"/>
      <c r="C280" s="26"/>
      <c r="D280" s="27" t="str">
        <f aca="false">IF($C280="","",IFERROR(INDEX(Invoices!$C$6:$C$505,MATCH($C280,Invoices!$A$6:$A$505,0)),"Invoice not found"))</f>
        <v/>
      </c>
      <c r="E280" s="35" t="str">
        <f aca="false">IF($C280="","",IFERROR(INDEX(Invoices!$L$6:$L$505,MATCH($C280,Invoices!$A$6:$A$505,0)),""))</f>
        <v/>
      </c>
      <c r="F280" s="32"/>
      <c r="G280" s="32"/>
      <c r="H280" s="32"/>
      <c r="I280" s="34" t="str">
        <f aca="false">IF($A280="","",N($F280)+N($G280)+N($H280))</f>
        <v/>
      </c>
      <c r="J280" s="26"/>
      <c r="K280" s="28"/>
      <c r="L280" s="26"/>
      <c r="M280" s="26"/>
      <c r="N280" s="28"/>
      <c r="O280" s="28"/>
    </row>
    <row r="281" customFormat="false" ht="15" hidden="false" customHeight="false" outlineLevel="0" collapsed="false">
      <c r="A281" s="26"/>
      <c r="B281" s="29"/>
      <c r="C281" s="26"/>
      <c r="D281" s="27" t="str">
        <f aca="false">IF($C281="","",IFERROR(INDEX(Invoices!$C$6:$C$505,MATCH($C281,Invoices!$A$6:$A$505,0)),"Invoice not found"))</f>
        <v/>
      </c>
      <c r="E281" s="35" t="str">
        <f aca="false">IF($C281="","",IFERROR(INDEX(Invoices!$L$6:$L$505,MATCH($C281,Invoices!$A$6:$A$505,0)),""))</f>
        <v/>
      </c>
      <c r="F281" s="32"/>
      <c r="G281" s="32"/>
      <c r="H281" s="32"/>
      <c r="I281" s="34" t="str">
        <f aca="false">IF($A281="","",N($F281)+N($G281)+N($H281))</f>
        <v/>
      </c>
      <c r="J281" s="26"/>
      <c r="K281" s="28"/>
      <c r="L281" s="26"/>
      <c r="M281" s="26"/>
      <c r="N281" s="28"/>
      <c r="O281" s="28"/>
    </row>
    <row r="282" customFormat="false" ht="15" hidden="false" customHeight="false" outlineLevel="0" collapsed="false">
      <c r="A282" s="26"/>
      <c r="B282" s="29"/>
      <c r="C282" s="26"/>
      <c r="D282" s="27" t="str">
        <f aca="false">IF($C282="","",IFERROR(INDEX(Invoices!$C$6:$C$505,MATCH($C282,Invoices!$A$6:$A$505,0)),"Invoice not found"))</f>
        <v/>
      </c>
      <c r="E282" s="35" t="str">
        <f aca="false">IF($C282="","",IFERROR(INDEX(Invoices!$L$6:$L$505,MATCH($C282,Invoices!$A$6:$A$505,0)),""))</f>
        <v/>
      </c>
      <c r="F282" s="32"/>
      <c r="G282" s="32"/>
      <c r="H282" s="32"/>
      <c r="I282" s="34" t="str">
        <f aca="false">IF($A282="","",N($F282)+N($G282)+N($H282))</f>
        <v/>
      </c>
      <c r="J282" s="26"/>
      <c r="K282" s="28"/>
      <c r="L282" s="26"/>
      <c r="M282" s="26"/>
      <c r="N282" s="28"/>
      <c r="O282" s="28"/>
    </row>
    <row r="283" customFormat="false" ht="15" hidden="false" customHeight="false" outlineLevel="0" collapsed="false">
      <c r="A283" s="26"/>
      <c r="B283" s="29"/>
      <c r="C283" s="26"/>
      <c r="D283" s="27" t="str">
        <f aca="false">IF($C283="","",IFERROR(INDEX(Invoices!$C$6:$C$505,MATCH($C283,Invoices!$A$6:$A$505,0)),"Invoice not found"))</f>
        <v/>
      </c>
      <c r="E283" s="35" t="str">
        <f aca="false">IF($C283="","",IFERROR(INDEX(Invoices!$L$6:$L$505,MATCH($C283,Invoices!$A$6:$A$505,0)),""))</f>
        <v/>
      </c>
      <c r="F283" s="32"/>
      <c r="G283" s="32"/>
      <c r="H283" s="32"/>
      <c r="I283" s="34" t="str">
        <f aca="false">IF($A283="","",N($F283)+N($G283)+N($H283))</f>
        <v/>
      </c>
      <c r="J283" s="26"/>
      <c r="K283" s="28"/>
      <c r="L283" s="26"/>
      <c r="M283" s="26"/>
      <c r="N283" s="28"/>
      <c r="O283" s="28"/>
    </row>
    <row r="284" customFormat="false" ht="15" hidden="false" customHeight="false" outlineLevel="0" collapsed="false">
      <c r="A284" s="26"/>
      <c r="B284" s="29"/>
      <c r="C284" s="26"/>
      <c r="D284" s="27" t="str">
        <f aca="false">IF($C284="","",IFERROR(INDEX(Invoices!$C$6:$C$505,MATCH($C284,Invoices!$A$6:$A$505,0)),"Invoice not found"))</f>
        <v/>
      </c>
      <c r="E284" s="35" t="str">
        <f aca="false">IF($C284="","",IFERROR(INDEX(Invoices!$L$6:$L$505,MATCH($C284,Invoices!$A$6:$A$505,0)),""))</f>
        <v/>
      </c>
      <c r="F284" s="32"/>
      <c r="G284" s="32"/>
      <c r="H284" s="32"/>
      <c r="I284" s="34" t="str">
        <f aca="false">IF($A284="","",N($F284)+N($G284)+N($H284))</f>
        <v/>
      </c>
      <c r="J284" s="26"/>
      <c r="K284" s="28"/>
      <c r="L284" s="26"/>
      <c r="M284" s="26"/>
      <c r="N284" s="28"/>
      <c r="O284" s="28"/>
    </row>
    <row r="285" customFormat="false" ht="15" hidden="false" customHeight="false" outlineLevel="0" collapsed="false">
      <c r="A285" s="26"/>
      <c r="B285" s="29"/>
      <c r="C285" s="26"/>
      <c r="D285" s="27" t="str">
        <f aca="false">IF($C285="","",IFERROR(INDEX(Invoices!$C$6:$C$505,MATCH($C285,Invoices!$A$6:$A$505,0)),"Invoice not found"))</f>
        <v/>
      </c>
      <c r="E285" s="35" t="str">
        <f aca="false">IF($C285="","",IFERROR(INDEX(Invoices!$L$6:$L$505,MATCH($C285,Invoices!$A$6:$A$505,0)),""))</f>
        <v/>
      </c>
      <c r="F285" s="32"/>
      <c r="G285" s="32"/>
      <c r="H285" s="32"/>
      <c r="I285" s="34" t="str">
        <f aca="false">IF($A285="","",N($F285)+N($G285)+N($H285))</f>
        <v/>
      </c>
      <c r="J285" s="26"/>
      <c r="K285" s="28"/>
      <c r="L285" s="26"/>
      <c r="M285" s="26"/>
      <c r="N285" s="28"/>
      <c r="O285" s="28"/>
    </row>
    <row r="286" customFormat="false" ht="15" hidden="false" customHeight="false" outlineLevel="0" collapsed="false">
      <c r="A286" s="26"/>
      <c r="B286" s="29"/>
      <c r="C286" s="26"/>
      <c r="D286" s="27" t="str">
        <f aca="false">IF($C286="","",IFERROR(INDEX(Invoices!$C$6:$C$505,MATCH($C286,Invoices!$A$6:$A$505,0)),"Invoice not found"))</f>
        <v/>
      </c>
      <c r="E286" s="35" t="str">
        <f aca="false">IF($C286="","",IFERROR(INDEX(Invoices!$L$6:$L$505,MATCH($C286,Invoices!$A$6:$A$505,0)),""))</f>
        <v/>
      </c>
      <c r="F286" s="32"/>
      <c r="G286" s="32"/>
      <c r="H286" s="32"/>
      <c r="I286" s="34" t="str">
        <f aca="false">IF($A286="","",N($F286)+N($G286)+N($H286))</f>
        <v/>
      </c>
      <c r="J286" s="26"/>
      <c r="K286" s="28"/>
      <c r="L286" s="26"/>
      <c r="M286" s="26"/>
      <c r="N286" s="28"/>
      <c r="O286" s="28"/>
    </row>
    <row r="287" customFormat="false" ht="15" hidden="false" customHeight="false" outlineLevel="0" collapsed="false">
      <c r="A287" s="26"/>
      <c r="B287" s="29"/>
      <c r="C287" s="26"/>
      <c r="D287" s="27" t="str">
        <f aca="false">IF($C287="","",IFERROR(INDEX(Invoices!$C$6:$C$505,MATCH($C287,Invoices!$A$6:$A$505,0)),"Invoice not found"))</f>
        <v/>
      </c>
      <c r="E287" s="35" t="str">
        <f aca="false">IF($C287="","",IFERROR(INDEX(Invoices!$L$6:$L$505,MATCH($C287,Invoices!$A$6:$A$505,0)),""))</f>
        <v/>
      </c>
      <c r="F287" s="32"/>
      <c r="G287" s="32"/>
      <c r="H287" s="32"/>
      <c r="I287" s="34" t="str">
        <f aca="false">IF($A287="","",N($F287)+N($G287)+N($H287))</f>
        <v/>
      </c>
      <c r="J287" s="26"/>
      <c r="K287" s="28"/>
      <c r="L287" s="26"/>
      <c r="M287" s="26"/>
      <c r="N287" s="28"/>
      <c r="O287" s="28"/>
    </row>
    <row r="288" customFormat="false" ht="15" hidden="false" customHeight="false" outlineLevel="0" collapsed="false">
      <c r="A288" s="26"/>
      <c r="B288" s="29"/>
      <c r="C288" s="26"/>
      <c r="D288" s="27" t="str">
        <f aca="false">IF($C288="","",IFERROR(INDEX(Invoices!$C$6:$C$505,MATCH($C288,Invoices!$A$6:$A$505,0)),"Invoice not found"))</f>
        <v/>
      </c>
      <c r="E288" s="35" t="str">
        <f aca="false">IF($C288="","",IFERROR(INDEX(Invoices!$L$6:$L$505,MATCH($C288,Invoices!$A$6:$A$505,0)),""))</f>
        <v/>
      </c>
      <c r="F288" s="32"/>
      <c r="G288" s="32"/>
      <c r="H288" s="32"/>
      <c r="I288" s="34" t="str">
        <f aca="false">IF($A288="","",N($F288)+N($G288)+N($H288))</f>
        <v/>
      </c>
      <c r="J288" s="26"/>
      <c r="K288" s="28"/>
      <c r="L288" s="26"/>
      <c r="M288" s="26"/>
      <c r="N288" s="28"/>
      <c r="O288" s="28"/>
    </row>
    <row r="289" customFormat="false" ht="15" hidden="false" customHeight="false" outlineLevel="0" collapsed="false">
      <c r="A289" s="26"/>
      <c r="B289" s="29"/>
      <c r="C289" s="26"/>
      <c r="D289" s="27" t="str">
        <f aca="false">IF($C289="","",IFERROR(INDEX(Invoices!$C$6:$C$505,MATCH($C289,Invoices!$A$6:$A$505,0)),"Invoice not found"))</f>
        <v/>
      </c>
      <c r="E289" s="35" t="str">
        <f aca="false">IF($C289="","",IFERROR(INDEX(Invoices!$L$6:$L$505,MATCH($C289,Invoices!$A$6:$A$505,0)),""))</f>
        <v/>
      </c>
      <c r="F289" s="32"/>
      <c r="G289" s="32"/>
      <c r="H289" s="32"/>
      <c r="I289" s="34" t="str">
        <f aca="false">IF($A289="","",N($F289)+N($G289)+N($H289))</f>
        <v/>
      </c>
      <c r="J289" s="26"/>
      <c r="K289" s="28"/>
      <c r="L289" s="26"/>
      <c r="M289" s="26"/>
      <c r="N289" s="28"/>
      <c r="O289" s="28"/>
    </row>
    <row r="290" customFormat="false" ht="15" hidden="false" customHeight="false" outlineLevel="0" collapsed="false">
      <c r="A290" s="26"/>
      <c r="B290" s="29"/>
      <c r="C290" s="26"/>
      <c r="D290" s="27" t="str">
        <f aca="false">IF($C290="","",IFERROR(INDEX(Invoices!$C$6:$C$505,MATCH($C290,Invoices!$A$6:$A$505,0)),"Invoice not found"))</f>
        <v/>
      </c>
      <c r="E290" s="35" t="str">
        <f aca="false">IF($C290="","",IFERROR(INDEX(Invoices!$L$6:$L$505,MATCH($C290,Invoices!$A$6:$A$505,0)),""))</f>
        <v/>
      </c>
      <c r="F290" s="32"/>
      <c r="G290" s="32"/>
      <c r="H290" s="32"/>
      <c r="I290" s="34" t="str">
        <f aca="false">IF($A290="","",N($F290)+N($G290)+N($H290))</f>
        <v/>
      </c>
      <c r="J290" s="26"/>
      <c r="K290" s="28"/>
      <c r="L290" s="26"/>
      <c r="M290" s="26"/>
      <c r="N290" s="28"/>
      <c r="O290" s="28"/>
    </row>
    <row r="291" customFormat="false" ht="15" hidden="false" customHeight="false" outlineLevel="0" collapsed="false">
      <c r="A291" s="26"/>
      <c r="B291" s="29"/>
      <c r="C291" s="26"/>
      <c r="D291" s="27" t="str">
        <f aca="false">IF($C291="","",IFERROR(INDEX(Invoices!$C$6:$C$505,MATCH($C291,Invoices!$A$6:$A$505,0)),"Invoice not found"))</f>
        <v/>
      </c>
      <c r="E291" s="35" t="str">
        <f aca="false">IF($C291="","",IFERROR(INDEX(Invoices!$L$6:$L$505,MATCH($C291,Invoices!$A$6:$A$505,0)),""))</f>
        <v/>
      </c>
      <c r="F291" s="32"/>
      <c r="G291" s="32"/>
      <c r="H291" s="32"/>
      <c r="I291" s="34" t="str">
        <f aca="false">IF($A291="","",N($F291)+N($G291)+N($H291))</f>
        <v/>
      </c>
      <c r="J291" s="26"/>
      <c r="K291" s="28"/>
      <c r="L291" s="26"/>
      <c r="M291" s="26"/>
      <c r="N291" s="28"/>
      <c r="O291" s="28"/>
    </row>
    <row r="292" customFormat="false" ht="15" hidden="false" customHeight="false" outlineLevel="0" collapsed="false">
      <c r="A292" s="26"/>
      <c r="B292" s="29"/>
      <c r="C292" s="26"/>
      <c r="D292" s="27" t="str">
        <f aca="false">IF($C292="","",IFERROR(INDEX(Invoices!$C$6:$C$505,MATCH($C292,Invoices!$A$6:$A$505,0)),"Invoice not found"))</f>
        <v/>
      </c>
      <c r="E292" s="35" t="str">
        <f aca="false">IF($C292="","",IFERROR(INDEX(Invoices!$L$6:$L$505,MATCH($C292,Invoices!$A$6:$A$505,0)),""))</f>
        <v/>
      </c>
      <c r="F292" s="32"/>
      <c r="G292" s="32"/>
      <c r="H292" s="32"/>
      <c r="I292" s="34" t="str">
        <f aca="false">IF($A292="","",N($F292)+N($G292)+N($H292))</f>
        <v/>
      </c>
      <c r="J292" s="26"/>
      <c r="K292" s="28"/>
      <c r="L292" s="26"/>
      <c r="M292" s="26"/>
      <c r="N292" s="28"/>
      <c r="O292" s="28"/>
    </row>
    <row r="293" customFormat="false" ht="15" hidden="false" customHeight="false" outlineLevel="0" collapsed="false">
      <c r="A293" s="26"/>
      <c r="B293" s="29"/>
      <c r="C293" s="26"/>
      <c r="D293" s="27" t="str">
        <f aca="false">IF($C293="","",IFERROR(INDEX(Invoices!$C$6:$C$505,MATCH($C293,Invoices!$A$6:$A$505,0)),"Invoice not found"))</f>
        <v/>
      </c>
      <c r="E293" s="35" t="str">
        <f aca="false">IF($C293="","",IFERROR(INDEX(Invoices!$L$6:$L$505,MATCH($C293,Invoices!$A$6:$A$505,0)),""))</f>
        <v/>
      </c>
      <c r="F293" s="32"/>
      <c r="G293" s="32"/>
      <c r="H293" s="32"/>
      <c r="I293" s="34" t="str">
        <f aca="false">IF($A293="","",N($F293)+N($G293)+N($H293))</f>
        <v/>
      </c>
      <c r="J293" s="26"/>
      <c r="K293" s="28"/>
      <c r="L293" s="26"/>
      <c r="M293" s="26"/>
      <c r="N293" s="28"/>
      <c r="O293" s="28"/>
    </row>
    <row r="294" customFormat="false" ht="15" hidden="false" customHeight="false" outlineLevel="0" collapsed="false">
      <c r="A294" s="26"/>
      <c r="B294" s="29"/>
      <c r="C294" s="26"/>
      <c r="D294" s="27" t="str">
        <f aca="false">IF($C294="","",IFERROR(INDEX(Invoices!$C$6:$C$505,MATCH($C294,Invoices!$A$6:$A$505,0)),"Invoice not found"))</f>
        <v/>
      </c>
      <c r="E294" s="35" t="str">
        <f aca="false">IF($C294="","",IFERROR(INDEX(Invoices!$L$6:$L$505,MATCH($C294,Invoices!$A$6:$A$505,0)),""))</f>
        <v/>
      </c>
      <c r="F294" s="32"/>
      <c r="G294" s="32"/>
      <c r="H294" s="32"/>
      <c r="I294" s="34" t="str">
        <f aca="false">IF($A294="","",N($F294)+N($G294)+N($H294))</f>
        <v/>
      </c>
      <c r="J294" s="26"/>
      <c r="K294" s="28"/>
      <c r="L294" s="26"/>
      <c r="M294" s="26"/>
      <c r="N294" s="28"/>
      <c r="O294" s="28"/>
    </row>
    <row r="295" customFormat="false" ht="15" hidden="false" customHeight="false" outlineLevel="0" collapsed="false">
      <c r="A295" s="26"/>
      <c r="B295" s="29"/>
      <c r="C295" s="26"/>
      <c r="D295" s="27" t="str">
        <f aca="false">IF($C295="","",IFERROR(INDEX(Invoices!$C$6:$C$505,MATCH($C295,Invoices!$A$6:$A$505,0)),"Invoice not found"))</f>
        <v/>
      </c>
      <c r="E295" s="35" t="str">
        <f aca="false">IF($C295="","",IFERROR(INDEX(Invoices!$L$6:$L$505,MATCH($C295,Invoices!$A$6:$A$505,0)),""))</f>
        <v/>
      </c>
      <c r="F295" s="32"/>
      <c r="G295" s="32"/>
      <c r="H295" s="32"/>
      <c r="I295" s="34" t="str">
        <f aca="false">IF($A295="","",N($F295)+N($G295)+N($H295))</f>
        <v/>
      </c>
      <c r="J295" s="26"/>
      <c r="K295" s="28"/>
      <c r="L295" s="26"/>
      <c r="M295" s="26"/>
      <c r="N295" s="28"/>
      <c r="O295" s="28"/>
    </row>
    <row r="296" customFormat="false" ht="15" hidden="false" customHeight="false" outlineLevel="0" collapsed="false">
      <c r="A296" s="26"/>
      <c r="B296" s="29"/>
      <c r="C296" s="26"/>
      <c r="D296" s="27" t="str">
        <f aca="false">IF($C296="","",IFERROR(INDEX(Invoices!$C$6:$C$505,MATCH($C296,Invoices!$A$6:$A$505,0)),"Invoice not found"))</f>
        <v/>
      </c>
      <c r="E296" s="35" t="str">
        <f aca="false">IF($C296="","",IFERROR(INDEX(Invoices!$L$6:$L$505,MATCH($C296,Invoices!$A$6:$A$505,0)),""))</f>
        <v/>
      </c>
      <c r="F296" s="32"/>
      <c r="G296" s="32"/>
      <c r="H296" s="32"/>
      <c r="I296" s="34" t="str">
        <f aca="false">IF($A296="","",N($F296)+N($G296)+N($H296))</f>
        <v/>
      </c>
      <c r="J296" s="26"/>
      <c r="K296" s="28"/>
      <c r="L296" s="26"/>
      <c r="M296" s="26"/>
      <c r="N296" s="28"/>
      <c r="O296" s="28"/>
    </row>
    <row r="297" customFormat="false" ht="15" hidden="false" customHeight="false" outlineLevel="0" collapsed="false">
      <c r="A297" s="26"/>
      <c r="B297" s="29"/>
      <c r="C297" s="26"/>
      <c r="D297" s="27" t="str">
        <f aca="false">IF($C297="","",IFERROR(INDEX(Invoices!$C$6:$C$505,MATCH($C297,Invoices!$A$6:$A$505,0)),"Invoice not found"))</f>
        <v/>
      </c>
      <c r="E297" s="35" t="str">
        <f aca="false">IF($C297="","",IFERROR(INDEX(Invoices!$L$6:$L$505,MATCH($C297,Invoices!$A$6:$A$505,0)),""))</f>
        <v/>
      </c>
      <c r="F297" s="32"/>
      <c r="G297" s="32"/>
      <c r="H297" s="32"/>
      <c r="I297" s="34" t="str">
        <f aca="false">IF($A297="","",N($F297)+N($G297)+N($H297))</f>
        <v/>
      </c>
      <c r="J297" s="26"/>
      <c r="K297" s="28"/>
      <c r="L297" s="26"/>
      <c r="M297" s="26"/>
      <c r="N297" s="28"/>
      <c r="O297" s="28"/>
    </row>
    <row r="298" customFormat="false" ht="15" hidden="false" customHeight="false" outlineLevel="0" collapsed="false">
      <c r="A298" s="26"/>
      <c r="B298" s="29"/>
      <c r="C298" s="26"/>
      <c r="D298" s="27" t="str">
        <f aca="false">IF($C298="","",IFERROR(INDEX(Invoices!$C$6:$C$505,MATCH($C298,Invoices!$A$6:$A$505,0)),"Invoice not found"))</f>
        <v/>
      </c>
      <c r="E298" s="35" t="str">
        <f aca="false">IF($C298="","",IFERROR(INDEX(Invoices!$L$6:$L$505,MATCH($C298,Invoices!$A$6:$A$505,0)),""))</f>
        <v/>
      </c>
      <c r="F298" s="32"/>
      <c r="G298" s="32"/>
      <c r="H298" s="32"/>
      <c r="I298" s="34" t="str">
        <f aca="false">IF($A298="","",N($F298)+N($G298)+N($H298))</f>
        <v/>
      </c>
      <c r="J298" s="26"/>
      <c r="K298" s="28"/>
      <c r="L298" s="26"/>
      <c r="M298" s="26"/>
      <c r="N298" s="28"/>
      <c r="O298" s="28"/>
    </row>
    <row r="299" customFormat="false" ht="15" hidden="false" customHeight="false" outlineLevel="0" collapsed="false">
      <c r="A299" s="26"/>
      <c r="B299" s="29"/>
      <c r="C299" s="26"/>
      <c r="D299" s="27" t="str">
        <f aca="false">IF($C299="","",IFERROR(INDEX(Invoices!$C$6:$C$505,MATCH($C299,Invoices!$A$6:$A$505,0)),"Invoice not found"))</f>
        <v/>
      </c>
      <c r="E299" s="35" t="str">
        <f aca="false">IF($C299="","",IFERROR(INDEX(Invoices!$L$6:$L$505,MATCH($C299,Invoices!$A$6:$A$505,0)),""))</f>
        <v/>
      </c>
      <c r="F299" s="32"/>
      <c r="G299" s="32"/>
      <c r="H299" s="32"/>
      <c r="I299" s="34" t="str">
        <f aca="false">IF($A299="","",N($F299)+N($G299)+N($H299))</f>
        <v/>
      </c>
      <c r="J299" s="26"/>
      <c r="K299" s="28"/>
      <c r="L299" s="26"/>
      <c r="M299" s="26"/>
      <c r="N299" s="28"/>
      <c r="O299" s="28"/>
    </row>
    <row r="300" customFormat="false" ht="15" hidden="false" customHeight="false" outlineLevel="0" collapsed="false">
      <c r="A300" s="26"/>
      <c r="B300" s="29"/>
      <c r="C300" s="26"/>
      <c r="D300" s="27" t="str">
        <f aca="false">IF($C300="","",IFERROR(INDEX(Invoices!$C$6:$C$505,MATCH($C300,Invoices!$A$6:$A$505,0)),"Invoice not found"))</f>
        <v/>
      </c>
      <c r="E300" s="35" t="str">
        <f aca="false">IF($C300="","",IFERROR(INDEX(Invoices!$L$6:$L$505,MATCH($C300,Invoices!$A$6:$A$505,0)),""))</f>
        <v/>
      </c>
      <c r="F300" s="32"/>
      <c r="G300" s="32"/>
      <c r="H300" s="32"/>
      <c r="I300" s="34" t="str">
        <f aca="false">IF($A300="","",N($F300)+N($G300)+N($H300))</f>
        <v/>
      </c>
      <c r="J300" s="26"/>
      <c r="K300" s="28"/>
      <c r="L300" s="26"/>
      <c r="M300" s="26"/>
      <c r="N300" s="28"/>
      <c r="O300" s="28"/>
    </row>
    <row r="301" customFormat="false" ht="15" hidden="false" customHeight="false" outlineLevel="0" collapsed="false">
      <c r="A301" s="26"/>
      <c r="B301" s="29"/>
      <c r="C301" s="26"/>
      <c r="D301" s="27" t="str">
        <f aca="false">IF($C301="","",IFERROR(INDEX(Invoices!$C$6:$C$505,MATCH($C301,Invoices!$A$6:$A$505,0)),"Invoice not found"))</f>
        <v/>
      </c>
      <c r="E301" s="35" t="str">
        <f aca="false">IF($C301="","",IFERROR(INDEX(Invoices!$L$6:$L$505,MATCH($C301,Invoices!$A$6:$A$505,0)),""))</f>
        <v/>
      </c>
      <c r="F301" s="32"/>
      <c r="G301" s="32"/>
      <c r="H301" s="32"/>
      <c r="I301" s="34" t="str">
        <f aca="false">IF($A301="","",N($F301)+N($G301)+N($H301))</f>
        <v/>
      </c>
      <c r="J301" s="26"/>
      <c r="K301" s="28"/>
      <c r="L301" s="26"/>
      <c r="M301" s="26"/>
      <c r="N301" s="28"/>
      <c r="O301" s="28"/>
    </row>
    <row r="302" customFormat="false" ht="15" hidden="false" customHeight="false" outlineLevel="0" collapsed="false">
      <c r="A302" s="26"/>
      <c r="B302" s="29"/>
      <c r="C302" s="26"/>
      <c r="D302" s="27" t="str">
        <f aca="false">IF($C302="","",IFERROR(INDEX(Invoices!$C$6:$C$505,MATCH($C302,Invoices!$A$6:$A$505,0)),"Invoice not found"))</f>
        <v/>
      </c>
      <c r="E302" s="35" t="str">
        <f aca="false">IF($C302="","",IFERROR(INDEX(Invoices!$L$6:$L$505,MATCH($C302,Invoices!$A$6:$A$505,0)),""))</f>
        <v/>
      </c>
      <c r="F302" s="32"/>
      <c r="G302" s="32"/>
      <c r="H302" s="32"/>
      <c r="I302" s="34" t="str">
        <f aca="false">IF($A302="","",N($F302)+N($G302)+N($H302))</f>
        <v/>
      </c>
      <c r="J302" s="26"/>
      <c r="K302" s="28"/>
      <c r="L302" s="26"/>
      <c r="M302" s="26"/>
      <c r="N302" s="28"/>
      <c r="O302" s="28"/>
    </row>
    <row r="303" customFormat="false" ht="15" hidden="false" customHeight="false" outlineLevel="0" collapsed="false">
      <c r="A303" s="26"/>
      <c r="B303" s="29"/>
      <c r="C303" s="26"/>
      <c r="D303" s="27" t="str">
        <f aca="false">IF($C303="","",IFERROR(INDEX(Invoices!$C$6:$C$505,MATCH($C303,Invoices!$A$6:$A$505,0)),"Invoice not found"))</f>
        <v/>
      </c>
      <c r="E303" s="35" t="str">
        <f aca="false">IF($C303="","",IFERROR(INDEX(Invoices!$L$6:$L$505,MATCH($C303,Invoices!$A$6:$A$505,0)),""))</f>
        <v/>
      </c>
      <c r="F303" s="32"/>
      <c r="G303" s="32"/>
      <c r="H303" s="32"/>
      <c r="I303" s="34" t="str">
        <f aca="false">IF($A303="","",N($F303)+N($G303)+N($H303))</f>
        <v/>
      </c>
      <c r="J303" s="26"/>
      <c r="K303" s="28"/>
      <c r="L303" s="26"/>
      <c r="M303" s="26"/>
      <c r="N303" s="28"/>
      <c r="O303" s="28"/>
    </row>
    <row r="304" customFormat="false" ht="15" hidden="false" customHeight="false" outlineLevel="0" collapsed="false">
      <c r="A304" s="26"/>
      <c r="B304" s="29"/>
      <c r="C304" s="26"/>
      <c r="D304" s="27" t="str">
        <f aca="false">IF($C304="","",IFERROR(INDEX(Invoices!$C$6:$C$505,MATCH($C304,Invoices!$A$6:$A$505,0)),"Invoice not found"))</f>
        <v/>
      </c>
      <c r="E304" s="35" t="str">
        <f aca="false">IF($C304="","",IFERROR(INDEX(Invoices!$L$6:$L$505,MATCH($C304,Invoices!$A$6:$A$505,0)),""))</f>
        <v/>
      </c>
      <c r="F304" s="32"/>
      <c r="G304" s="32"/>
      <c r="H304" s="32"/>
      <c r="I304" s="34" t="str">
        <f aca="false">IF($A304="","",N($F304)+N($G304)+N($H304))</f>
        <v/>
      </c>
      <c r="J304" s="26"/>
      <c r="K304" s="28"/>
      <c r="L304" s="26"/>
      <c r="M304" s="26"/>
      <c r="N304" s="28"/>
      <c r="O304" s="28"/>
    </row>
    <row r="305" customFormat="false" ht="15" hidden="false" customHeight="false" outlineLevel="0" collapsed="false">
      <c r="A305" s="26"/>
      <c r="B305" s="29"/>
      <c r="C305" s="26"/>
      <c r="D305" s="27" t="str">
        <f aca="false">IF($C305="","",IFERROR(INDEX(Invoices!$C$6:$C$505,MATCH($C305,Invoices!$A$6:$A$505,0)),"Invoice not found"))</f>
        <v/>
      </c>
      <c r="E305" s="35" t="str">
        <f aca="false">IF($C305="","",IFERROR(INDEX(Invoices!$L$6:$L$505,MATCH($C305,Invoices!$A$6:$A$505,0)),""))</f>
        <v/>
      </c>
      <c r="F305" s="32"/>
      <c r="G305" s="32"/>
      <c r="H305" s="32"/>
      <c r="I305" s="34" t="str">
        <f aca="false">IF($A305="","",N($F305)+N($G305)+N($H305))</f>
        <v/>
      </c>
      <c r="J305" s="26"/>
      <c r="K305" s="28"/>
      <c r="L305" s="26"/>
      <c r="M305" s="26"/>
      <c r="N305" s="28"/>
      <c r="O305" s="28"/>
    </row>
    <row r="306" customFormat="false" ht="15" hidden="false" customHeight="false" outlineLevel="0" collapsed="false">
      <c r="A306" s="26"/>
      <c r="B306" s="29"/>
      <c r="C306" s="26"/>
      <c r="D306" s="27" t="str">
        <f aca="false">IF($C306="","",IFERROR(INDEX(Invoices!$C$6:$C$505,MATCH($C306,Invoices!$A$6:$A$505,0)),"Invoice not found"))</f>
        <v/>
      </c>
      <c r="E306" s="35" t="str">
        <f aca="false">IF($C306="","",IFERROR(INDEX(Invoices!$L$6:$L$505,MATCH($C306,Invoices!$A$6:$A$505,0)),""))</f>
        <v/>
      </c>
      <c r="F306" s="32"/>
      <c r="G306" s="32"/>
      <c r="H306" s="32"/>
      <c r="I306" s="34" t="str">
        <f aca="false">IF($A306="","",N($F306)+N($G306)+N($H306))</f>
        <v/>
      </c>
      <c r="J306" s="26"/>
      <c r="K306" s="28"/>
      <c r="L306" s="26"/>
      <c r="M306" s="26"/>
      <c r="N306" s="28"/>
      <c r="O306" s="28"/>
    </row>
    <row r="307" customFormat="false" ht="15" hidden="false" customHeight="false" outlineLevel="0" collapsed="false">
      <c r="A307" s="26"/>
      <c r="B307" s="29"/>
      <c r="C307" s="26"/>
      <c r="D307" s="27" t="str">
        <f aca="false">IF($C307="","",IFERROR(INDEX(Invoices!$C$6:$C$505,MATCH($C307,Invoices!$A$6:$A$505,0)),"Invoice not found"))</f>
        <v/>
      </c>
      <c r="E307" s="35" t="str">
        <f aca="false">IF($C307="","",IFERROR(INDEX(Invoices!$L$6:$L$505,MATCH($C307,Invoices!$A$6:$A$505,0)),""))</f>
        <v/>
      </c>
      <c r="F307" s="32"/>
      <c r="G307" s="32"/>
      <c r="H307" s="32"/>
      <c r="I307" s="34" t="str">
        <f aca="false">IF($A307="","",N($F307)+N($G307)+N($H307))</f>
        <v/>
      </c>
      <c r="J307" s="26"/>
      <c r="K307" s="28"/>
      <c r="L307" s="26"/>
      <c r="M307" s="26"/>
      <c r="N307" s="28"/>
      <c r="O307" s="28"/>
    </row>
    <row r="308" customFormat="false" ht="15" hidden="false" customHeight="false" outlineLevel="0" collapsed="false">
      <c r="A308" s="26"/>
      <c r="B308" s="29"/>
      <c r="C308" s="26"/>
      <c r="D308" s="27" t="str">
        <f aca="false">IF($C308="","",IFERROR(INDEX(Invoices!$C$6:$C$505,MATCH($C308,Invoices!$A$6:$A$505,0)),"Invoice not found"))</f>
        <v/>
      </c>
      <c r="E308" s="35" t="str">
        <f aca="false">IF($C308="","",IFERROR(INDEX(Invoices!$L$6:$L$505,MATCH($C308,Invoices!$A$6:$A$505,0)),""))</f>
        <v/>
      </c>
      <c r="F308" s="32"/>
      <c r="G308" s="32"/>
      <c r="H308" s="32"/>
      <c r="I308" s="34" t="str">
        <f aca="false">IF($A308="","",N($F308)+N($G308)+N($H308))</f>
        <v/>
      </c>
      <c r="J308" s="26"/>
      <c r="K308" s="28"/>
      <c r="L308" s="26"/>
      <c r="M308" s="26"/>
      <c r="N308" s="28"/>
      <c r="O308" s="28"/>
    </row>
    <row r="309" customFormat="false" ht="15" hidden="false" customHeight="false" outlineLevel="0" collapsed="false">
      <c r="A309" s="26"/>
      <c r="B309" s="29"/>
      <c r="C309" s="26"/>
      <c r="D309" s="27" t="str">
        <f aca="false">IF($C309="","",IFERROR(INDEX(Invoices!$C$6:$C$505,MATCH($C309,Invoices!$A$6:$A$505,0)),"Invoice not found"))</f>
        <v/>
      </c>
      <c r="E309" s="35" t="str">
        <f aca="false">IF($C309="","",IFERROR(INDEX(Invoices!$L$6:$L$505,MATCH($C309,Invoices!$A$6:$A$505,0)),""))</f>
        <v/>
      </c>
      <c r="F309" s="32"/>
      <c r="G309" s="32"/>
      <c r="H309" s="32"/>
      <c r="I309" s="34" t="str">
        <f aca="false">IF($A309="","",N($F309)+N($G309)+N($H309))</f>
        <v/>
      </c>
      <c r="J309" s="26"/>
      <c r="K309" s="28"/>
      <c r="L309" s="26"/>
      <c r="M309" s="26"/>
      <c r="N309" s="28"/>
      <c r="O309" s="28"/>
    </row>
    <row r="310" customFormat="false" ht="15" hidden="false" customHeight="false" outlineLevel="0" collapsed="false">
      <c r="A310" s="26"/>
      <c r="B310" s="29"/>
      <c r="C310" s="26"/>
      <c r="D310" s="27" t="str">
        <f aca="false">IF($C310="","",IFERROR(INDEX(Invoices!$C$6:$C$505,MATCH($C310,Invoices!$A$6:$A$505,0)),"Invoice not found"))</f>
        <v/>
      </c>
      <c r="E310" s="35" t="str">
        <f aca="false">IF($C310="","",IFERROR(INDEX(Invoices!$L$6:$L$505,MATCH($C310,Invoices!$A$6:$A$505,0)),""))</f>
        <v/>
      </c>
      <c r="F310" s="32"/>
      <c r="G310" s="32"/>
      <c r="H310" s="32"/>
      <c r="I310" s="34" t="str">
        <f aca="false">IF($A310="","",N($F310)+N($G310)+N($H310))</f>
        <v/>
      </c>
      <c r="J310" s="26"/>
      <c r="K310" s="28"/>
      <c r="L310" s="26"/>
      <c r="M310" s="26"/>
      <c r="N310" s="28"/>
      <c r="O310" s="28"/>
    </row>
    <row r="311" customFormat="false" ht="15" hidden="false" customHeight="false" outlineLevel="0" collapsed="false">
      <c r="A311" s="26"/>
      <c r="B311" s="29"/>
      <c r="C311" s="26"/>
      <c r="D311" s="27" t="str">
        <f aca="false">IF($C311="","",IFERROR(INDEX(Invoices!$C$6:$C$505,MATCH($C311,Invoices!$A$6:$A$505,0)),"Invoice not found"))</f>
        <v/>
      </c>
      <c r="E311" s="35" t="str">
        <f aca="false">IF($C311="","",IFERROR(INDEX(Invoices!$L$6:$L$505,MATCH($C311,Invoices!$A$6:$A$505,0)),""))</f>
        <v/>
      </c>
      <c r="F311" s="32"/>
      <c r="G311" s="32"/>
      <c r="H311" s="32"/>
      <c r="I311" s="34" t="str">
        <f aca="false">IF($A311="","",N($F311)+N($G311)+N($H311))</f>
        <v/>
      </c>
      <c r="J311" s="26"/>
      <c r="K311" s="28"/>
      <c r="L311" s="26"/>
      <c r="M311" s="26"/>
      <c r="N311" s="28"/>
      <c r="O311" s="28"/>
    </row>
    <row r="312" customFormat="false" ht="15" hidden="false" customHeight="false" outlineLevel="0" collapsed="false">
      <c r="A312" s="26"/>
      <c r="B312" s="29"/>
      <c r="C312" s="26"/>
      <c r="D312" s="27" t="str">
        <f aca="false">IF($C312="","",IFERROR(INDEX(Invoices!$C$6:$C$505,MATCH($C312,Invoices!$A$6:$A$505,0)),"Invoice not found"))</f>
        <v/>
      </c>
      <c r="E312" s="35" t="str">
        <f aca="false">IF($C312="","",IFERROR(INDEX(Invoices!$L$6:$L$505,MATCH($C312,Invoices!$A$6:$A$505,0)),""))</f>
        <v/>
      </c>
      <c r="F312" s="32"/>
      <c r="G312" s="32"/>
      <c r="H312" s="32"/>
      <c r="I312" s="34" t="str">
        <f aca="false">IF($A312="","",N($F312)+N($G312)+N($H312))</f>
        <v/>
      </c>
      <c r="J312" s="26"/>
      <c r="K312" s="28"/>
      <c r="L312" s="26"/>
      <c r="M312" s="26"/>
      <c r="N312" s="28"/>
      <c r="O312" s="28"/>
    </row>
    <row r="313" customFormat="false" ht="15" hidden="false" customHeight="false" outlineLevel="0" collapsed="false">
      <c r="A313" s="26"/>
      <c r="B313" s="29"/>
      <c r="C313" s="26"/>
      <c r="D313" s="27" t="str">
        <f aca="false">IF($C313="","",IFERROR(INDEX(Invoices!$C$6:$C$505,MATCH($C313,Invoices!$A$6:$A$505,0)),"Invoice not found"))</f>
        <v/>
      </c>
      <c r="E313" s="35" t="str">
        <f aca="false">IF($C313="","",IFERROR(INDEX(Invoices!$L$6:$L$505,MATCH($C313,Invoices!$A$6:$A$505,0)),""))</f>
        <v/>
      </c>
      <c r="F313" s="32"/>
      <c r="G313" s="32"/>
      <c r="H313" s="32"/>
      <c r="I313" s="34" t="str">
        <f aca="false">IF($A313="","",N($F313)+N($G313)+N($H313))</f>
        <v/>
      </c>
      <c r="J313" s="26"/>
      <c r="K313" s="28"/>
      <c r="L313" s="26"/>
      <c r="M313" s="26"/>
      <c r="N313" s="28"/>
      <c r="O313" s="28"/>
    </row>
    <row r="314" customFormat="false" ht="15" hidden="false" customHeight="false" outlineLevel="0" collapsed="false">
      <c r="A314" s="26"/>
      <c r="B314" s="29"/>
      <c r="C314" s="26"/>
      <c r="D314" s="27" t="str">
        <f aca="false">IF($C314="","",IFERROR(INDEX(Invoices!$C$6:$C$505,MATCH($C314,Invoices!$A$6:$A$505,0)),"Invoice not found"))</f>
        <v/>
      </c>
      <c r="E314" s="35" t="str">
        <f aca="false">IF($C314="","",IFERROR(INDEX(Invoices!$L$6:$L$505,MATCH($C314,Invoices!$A$6:$A$505,0)),""))</f>
        <v/>
      </c>
      <c r="F314" s="32"/>
      <c r="G314" s="32"/>
      <c r="H314" s="32"/>
      <c r="I314" s="34" t="str">
        <f aca="false">IF($A314="","",N($F314)+N($G314)+N($H314))</f>
        <v/>
      </c>
      <c r="J314" s="26"/>
      <c r="K314" s="28"/>
      <c r="L314" s="26"/>
      <c r="M314" s="26"/>
      <c r="N314" s="28"/>
      <c r="O314" s="28"/>
    </row>
    <row r="315" customFormat="false" ht="15" hidden="false" customHeight="false" outlineLevel="0" collapsed="false">
      <c r="A315" s="26"/>
      <c r="B315" s="29"/>
      <c r="C315" s="26"/>
      <c r="D315" s="27" t="str">
        <f aca="false">IF($C315="","",IFERROR(INDEX(Invoices!$C$6:$C$505,MATCH($C315,Invoices!$A$6:$A$505,0)),"Invoice not found"))</f>
        <v/>
      </c>
      <c r="E315" s="35" t="str">
        <f aca="false">IF($C315="","",IFERROR(INDEX(Invoices!$L$6:$L$505,MATCH($C315,Invoices!$A$6:$A$505,0)),""))</f>
        <v/>
      </c>
      <c r="F315" s="32"/>
      <c r="G315" s="32"/>
      <c r="H315" s="32"/>
      <c r="I315" s="34" t="str">
        <f aca="false">IF($A315="","",N($F315)+N($G315)+N($H315))</f>
        <v/>
      </c>
      <c r="J315" s="26"/>
      <c r="K315" s="28"/>
      <c r="L315" s="26"/>
      <c r="M315" s="26"/>
      <c r="N315" s="28"/>
      <c r="O315" s="28"/>
    </row>
    <row r="316" customFormat="false" ht="15" hidden="false" customHeight="false" outlineLevel="0" collapsed="false">
      <c r="A316" s="26"/>
      <c r="B316" s="29"/>
      <c r="C316" s="26"/>
      <c r="D316" s="27" t="str">
        <f aca="false">IF($C316="","",IFERROR(INDEX(Invoices!$C$6:$C$505,MATCH($C316,Invoices!$A$6:$A$505,0)),"Invoice not found"))</f>
        <v/>
      </c>
      <c r="E316" s="35" t="str">
        <f aca="false">IF($C316="","",IFERROR(INDEX(Invoices!$L$6:$L$505,MATCH($C316,Invoices!$A$6:$A$505,0)),""))</f>
        <v/>
      </c>
      <c r="F316" s="32"/>
      <c r="G316" s="32"/>
      <c r="H316" s="32"/>
      <c r="I316" s="34" t="str">
        <f aca="false">IF($A316="","",N($F316)+N($G316)+N($H316))</f>
        <v/>
      </c>
      <c r="J316" s="26"/>
      <c r="K316" s="28"/>
      <c r="L316" s="26"/>
      <c r="M316" s="26"/>
      <c r="N316" s="28"/>
      <c r="O316" s="28"/>
    </row>
    <row r="317" customFormat="false" ht="15" hidden="false" customHeight="false" outlineLevel="0" collapsed="false">
      <c r="A317" s="26"/>
      <c r="B317" s="29"/>
      <c r="C317" s="26"/>
      <c r="D317" s="27" t="str">
        <f aca="false">IF($C317="","",IFERROR(INDEX(Invoices!$C$6:$C$505,MATCH($C317,Invoices!$A$6:$A$505,0)),"Invoice not found"))</f>
        <v/>
      </c>
      <c r="E317" s="35" t="str">
        <f aca="false">IF($C317="","",IFERROR(INDEX(Invoices!$L$6:$L$505,MATCH($C317,Invoices!$A$6:$A$505,0)),""))</f>
        <v/>
      </c>
      <c r="F317" s="32"/>
      <c r="G317" s="32"/>
      <c r="H317" s="32"/>
      <c r="I317" s="34" t="str">
        <f aca="false">IF($A317="","",N($F317)+N($G317)+N($H317))</f>
        <v/>
      </c>
      <c r="J317" s="26"/>
      <c r="K317" s="28"/>
      <c r="L317" s="26"/>
      <c r="M317" s="26"/>
      <c r="N317" s="28"/>
      <c r="O317" s="28"/>
    </row>
    <row r="318" customFormat="false" ht="15" hidden="false" customHeight="false" outlineLevel="0" collapsed="false">
      <c r="A318" s="26"/>
      <c r="B318" s="29"/>
      <c r="C318" s="26"/>
      <c r="D318" s="27" t="str">
        <f aca="false">IF($C318="","",IFERROR(INDEX(Invoices!$C$6:$C$505,MATCH($C318,Invoices!$A$6:$A$505,0)),"Invoice not found"))</f>
        <v/>
      </c>
      <c r="E318" s="35" t="str">
        <f aca="false">IF($C318="","",IFERROR(INDEX(Invoices!$L$6:$L$505,MATCH($C318,Invoices!$A$6:$A$505,0)),""))</f>
        <v/>
      </c>
      <c r="F318" s="32"/>
      <c r="G318" s="32"/>
      <c r="H318" s="32"/>
      <c r="I318" s="34" t="str">
        <f aca="false">IF($A318="","",N($F318)+N($G318)+N($H318))</f>
        <v/>
      </c>
      <c r="J318" s="26"/>
      <c r="K318" s="28"/>
      <c r="L318" s="26"/>
      <c r="M318" s="26"/>
      <c r="N318" s="28"/>
      <c r="O318" s="28"/>
    </row>
    <row r="319" customFormat="false" ht="15" hidden="false" customHeight="false" outlineLevel="0" collapsed="false">
      <c r="A319" s="26"/>
      <c r="B319" s="29"/>
      <c r="C319" s="26"/>
      <c r="D319" s="27" t="str">
        <f aca="false">IF($C319="","",IFERROR(INDEX(Invoices!$C$6:$C$505,MATCH($C319,Invoices!$A$6:$A$505,0)),"Invoice not found"))</f>
        <v/>
      </c>
      <c r="E319" s="35" t="str">
        <f aca="false">IF($C319="","",IFERROR(INDEX(Invoices!$L$6:$L$505,MATCH($C319,Invoices!$A$6:$A$505,0)),""))</f>
        <v/>
      </c>
      <c r="F319" s="32"/>
      <c r="G319" s="32"/>
      <c r="H319" s="32"/>
      <c r="I319" s="34" t="str">
        <f aca="false">IF($A319="","",N($F319)+N($G319)+N($H319))</f>
        <v/>
      </c>
      <c r="J319" s="26"/>
      <c r="K319" s="28"/>
      <c r="L319" s="26"/>
      <c r="M319" s="26"/>
      <c r="N319" s="28"/>
      <c r="O319" s="28"/>
    </row>
    <row r="320" customFormat="false" ht="15" hidden="false" customHeight="false" outlineLevel="0" collapsed="false">
      <c r="A320" s="26"/>
      <c r="B320" s="29"/>
      <c r="C320" s="26"/>
      <c r="D320" s="27" t="str">
        <f aca="false">IF($C320="","",IFERROR(INDEX(Invoices!$C$6:$C$505,MATCH($C320,Invoices!$A$6:$A$505,0)),"Invoice not found"))</f>
        <v/>
      </c>
      <c r="E320" s="35" t="str">
        <f aca="false">IF($C320="","",IFERROR(INDEX(Invoices!$L$6:$L$505,MATCH($C320,Invoices!$A$6:$A$505,0)),""))</f>
        <v/>
      </c>
      <c r="F320" s="32"/>
      <c r="G320" s="32"/>
      <c r="H320" s="32"/>
      <c r="I320" s="34" t="str">
        <f aca="false">IF($A320="","",N($F320)+N($G320)+N($H320))</f>
        <v/>
      </c>
      <c r="J320" s="26"/>
      <c r="K320" s="28"/>
      <c r="L320" s="26"/>
      <c r="M320" s="26"/>
      <c r="N320" s="28"/>
      <c r="O320" s="28"/>
    </row>
    <row r="321" customFormat="false" ht="15" hidden="false" customHeight="false" outlineLevel="0" collapsed="false">
      <c r="A321" s="26"/>
      <c r="B321" s="29"/>
      <c r="C321" s="26"/>
      <c r="D321" s="27" t="str">
        <f aca="false">IF($C321="","",IFERROR(INDEX(Invoices!$C$6:$C$505,MATCH($C321,Invoices!$A$6:$A$505,0)),"Invoice not found"))</f>
        <v/>
      </c>
      <c r="E321" s="35" t="str">
        <f aca="false">IF($C321="","",IFERROR(INDEX(Invoices!$L$6:$L$505,MATCH($C321,Invoices!$A$6:$A$505,0)),""))</f>
        <v/>
      </c>
      <c r="F321" s="32"/>
      <c r="G321" s="32"/>
      <c r="H321" s="32"/>
      <c r="I321" s="34" t="str">
        <f aca="false">IF($A321="","",N($F321)+N($G321)+N($H321))</f>
        <v/>
      </c>
      <c r="J321" s="26"/>
      <c r="K321" s="28"/>
      <c r="L321" s="26"/>
      <c r="M321" s="26"/>
      <c r="N321" s="28"/>
      <c r="O321" s="28"/>
    </row>
    <row r="322" customFormat="false" ht="15" hidden="false" customHeight="false" outlineLevel="0" collapsed="false">
      <c r="A322" s="26"/>
      <c r="B322" s="29"/>
      <c r="C322" s="26"/>
      <c r="D322" s="27" t="str">
        <f aca="false">IF($C322="","",IFERROR(INDEX(Invoices!$C$6:$C$505,MATCH($C322,Invoices!$A$6:$A$505,0)),"Invoice not found"))</f>
        <v/>
      </c>
      <c r="E322" s="35" t="str">
        <f aca="false">IF($C322="","",IFERROR(INDEX(Invoices!$L$6:$L$505,MATCH($C322,Invoices!$A$6:$A$505,0)),""))</f>
        <v/>
      </c>
      <c r="F322" s="32"/>
      <c r="G322" s="32"/>
      <c r="H322" s="32"/>
      <c r="I322" s="34" t="str">
        <f aca="false">IF($A322="","",N($F322)+N($G322)+N($H322))</f>
        <v/>
      </c>
      <c r="J322" s="26"/>
      <c r="K322" s="28"/>
      <c r="L322" s="26"/>
      <c r="M322" s="26"/>
      <c r="N322" s="28"/>
      <c r="O322" s="28"/>
    </row>
    <row r="323" customFormat="false" ht="15" hidden="false" customHeight="false" outlineLevel="0" collapsed="false">
      <c r="A323" s="26"/>
      <c r="B323" s="29"/>
      <c r="C323" s="26"/>
      <c r="D323" s="27" t="str">
        <f aca="false">IF($C323="","",IFERROR(INDEX(Invoices!$C$6:$C$505,MATCH($C323,Invoices!$A$6:$A$505,0)),"Invoice not found"))</f>
        <v/>
      </c>
      <c r="E323" s="35" t="str">
        <f aca="false">IF($C323="","",IFERROR(INDEX(Invoices!$L$6:$L$505,MATCH($C323,Invoices!$A$6:$A$505,0)),""))</f>
        <v/>
      </c>
      <c r="F323" s="32"/>
      <c r="G323" s="32"/>
      <c r="H323" s="32"/>
      <c r="I323" s="34" t="str">
        <f aca="false">IF($A323="","",N($F323)+N($G323)+N($H323))</f>
        <v/>
      </c>
      <c r="J323" s="26"/>
      <c r="K323" s="28"/>
      <c r="L323" s="26"/>
      <c r="M323" s="26"/>
      <c r="N323" s="28"/>
      <c r="O323" s="28"/>
    </row>
    <row r="324" customFormat="false" ht="15" hidden="false" customHeight="false" outlineLevel="0" collapsed="false">
      <c r="A324" s="26"/>
      <c r="B324" s="29"/>
      <c r="C324" s="26"/>
      <c r="D324" s="27" t="str">
        <f aca="false">IF($C324="","",IFERROR(INDEX(Invoices!$C$6:$C$505,MATCH($C324,Invoices!$A$6:$A$505,0)),"Invoice not found"))</f>
        <v/>
      </c>
      <c r="E324" s="35" t="str">
        <f aca="false">IF($C324="","",IFERROR(INDEX(Invoices!$L$6:$L$505,MATCH($C324,Invoices!$A$6:$A$505,0)),""))</f>
        <v/>
      </c>
      <c r="F324" s="32"/>
      <c r="G324" s="32"/>
      <c r="H324" s="32"/>
      <c r="I324" s="34" t="str">
        <f aca="false">IF($A324="","",N($F324)+N($G324)+N($H324))</f>
        <v/>
      </c>
      <c r="J324" s="26"/>
      <c r="K324" s="28"/>
      <c r="L324" s="26"/>
      <c r="M324" s="26"/>
      <c r="N324" s="28"/>
      <c r="O324" s="28"/>
    </row>
    <row r="325" customFormat="false" ht="15" hidden="false" customHeight="false" outlineLevel="0" collapsed="false">
      <c r="A325" s="26"/>
      <c r="B325" s="29"/>
      <c r="C325" s="26"/>
      <c r="D325" s="27" t="str">
        <f aca="false">IF($C325="","",IFERROR(INDEX(Invoices!$C$6:$C$505,MATCH($C325,Invoices!$A$6:$A$505,0)),"Invoice not found"))</f>
        <v/>
      </c>
      <c r="E325" s="35" t="str">
        <f aca="false">IF($C325="","",IFERROR(INDEX(Invoices!$L$6:$L$505,MATCH($C325,Invoices!$A$6:$A$505,0)),""))</f>
        <v/>
      </c>
      <c r="F325" s="32"/>
      <c r="G325" s="32"/>
      <c r="H325" s="32"/>
      <c r="I325" s="34" t="str">
        <f aca="false">IF($A325="","",N($F325)+N($G325)+N($H325))</f>
        <v/>
      </c>
      <c r="J325" s="26"/>
      <c r="K325" s="28"/>
      <c r="L325" s="26"/>
      <c r="M325" s="26"/>
      <c r="N325" s="28"/>
      <c r="O325" s="28"/>
    </row>
    <row r="326" customFormat="false" ht="15" hidden="false" customHeight="false" outlineLevel="0" collapsed="false">
      <c r="A326" s="26"/>
      <c r="B326" s="29"/>
      <c r="C326" s="26"/>
      <c r="D326" s="27" t="str">
        <f aca="false">IF($C326="","",IFERROR(INDEX(Invoices!$C$6:$C$505,MATCH($C326,Invoices!$A$6:$A$505,0)),"Invoice not found"))</f>
        <v/>
      </c>
      <c r="E326" s="35" t="str">
        <f aca="false">IF($C326="","",IFERROR(INDEX(Invoices!$L$6:$L$505,MATCH($C326,Invoices!$A$6:$A$505,0)),""))</f>
        <v/>
      </c>
      <c r="F326" s="32"/>
      <c r="G326" s="32"/>
      <c r="H326" s="32"/>
      <c r="I326" s="34" t="str">
        <f aca="false">IF($A326="","",N($F326)+N($G326)+N($H326))</f>
        <v/>
      </c>
      <c r="J326" s="26"/>
      <c r="K326" s="28"/>
      <c r="L326" s="26"/>
      <c r="M326" s="26"/>
      <c r="N326" s="28"/>
      <c r="O326" s="28"/>
    </row>
    <row r="327" customFormat="false" ht="15" hidden="false" customHeight="false" outlineLevel="0" collapsed="false">
      <c r="A327" s="26"/>
      <c r="B327" s="29"/>
      <c r="C327" s="26"/>
      <c r="D327" s="27" t="str">
        <f aca="false">IF($C327="","",IFERROR(INDEX(Invoices!$C$6:$C$505,MATCH($C327,Invoices!$A$6:$A$505,0)),"Invoice not found"))</f>
        <v/>
      </c>
      <c r="E327" s="35" t="str">
        <f aca="false">IF($C327="","",IFERROR(INDEX(Invoices!$L$6:$L$505,MATCH($C327,Invoices!$A$6:$A$505,0)),""))</f>
        <v/>
      </c>
      <c r="F327" s="32"/>
      <c r="G327" s="32"/>
      <c r="H327" s="32"/>
      <c r="I327" s="34" t="str">
        <f aca="false">IF($A327="","",N($F327)+N($G327)+N($H327))</f>
        <v/>
      </c>
      <c r="J327" s="26"/>
      <c r="K327" s="28"/>
      <c r="L327" s="26"/>
      <c r="M327" s="26"/>
      <c r="N327" s="28"/>
      <c r="O327" s="28"/>
    </row>
    <row r="328" customFormat="false" ht="15" hidden="false" customHeight="false" outlineLevel="0" collapsed="false">
      <c r="A328" s="26"/>
      <c r="B328" s="29"/>
      <c r="C328" s="26"/>
      <c r="D328" s="27" t="str">
        <f aca="false">IF($C328="","",IFERROR(INDEX(Invoices!$C$6:$C$505,MATCH($C328,Invoices!$A$6:$A$505,0)),"Invoice not found"))</f>
        <v/>
      </c>
      <c r="E328" s="35" t="str">
        <f aca="false">IF($C328="","",IFERROR(INDEX(Invoices!$L$6:$L$505,MATCH($C328,Invoices!$A$6:$A$505,0)),""))</f>
        <v/>
      </c>
      <c r="F328" s="32"/>
      <c r="G328" s="32"/>
      <c r="H328" s="32"/>
      <c r="I328" s="34" t="str">
        <f aca="false">IF($A328="","",N($F328)+N($G328)+N($H328))</f>
        <v/>
      </c>
      <c r="J328" s="26"/>
      <c r="K328" s="28"/>
      <c r="L328" s="26"/>
      <c r="M328" s="26"/>
      <c r="N328" s="28"/>
      <c r="O328" s="28"/>
    </row>
    <row r="329" customFormat="false" ht="15" hidden="false" customHeight="false" outlineLevel="0" collapsed="false">
      <c r="A329" s="26"/>
      <c r="B329" s="29"/>
      <c r="C329" s="26"/>
      <c r="D329" s="27" t="str">
        <f aca="false">IF($C329="","",IFERROR(INDEX(Invoices!$C$6:$C$505,MATCH($C329,Invoices!$A$6:$A$505,0)),"Invoice not found"))</f>
        <v/>
      </c>
      <c r="E329" s="35" t="str">
        <f aca="false">IF($C329="","",IFERROR(INDEX(Invoices!$L$6:$L$505,MATCH($C329,Invoices!$A$6:$A$505,0)),""))</f>
        <v/>
      </c>
      <c r="F329" s="32"/>
      <c r="G329" s="32"/>
      <c r="H329" s="32"/>
      <c r="I329" s="34" t="str">
        <f aca="false">IF($A329="","",N($F329)+N($G329)+N($H329))</f>
        <v/>
      </c>
      <c r="J329" s="26"/>
      <c r="K329" s="28"/>
      <c r="L329" s="26"/>
      <c r="M329" s="26"/>
      <c r="N329" s="28"/>
      <c r="O329" s="28"/>
    </row>
    <row r="330" customFormat="false" ht="15" hidden="false" customHeight="false" outlineLevel="0" collapsed="false">
      <c r="A330" s="26"/>
      <c r="B330" s="29"/>
      <c r="C330" s="26"/>
      <c r="D330" s="27" t="str">
        <f aca="false">IF($C330="","",IFERROR(INDEX(Invoices!$C$6:$C$505,MATCH($C330,Invoices!$A$6:$A$505,0)),"Invoice not found"))</f>
        <v/>
      </c>
      <c r="E330" s="35" t="str">
        <f aca="false">IF($C330="","",IFERROR(INDEX(Invoices!$L$6:$L$505,MATCH($C330,Invoices!$A$6:$A$505,0)),""))</f>
        <v/>
      </c>
      <c r="F330" s="32"/>
      <c r="G330" s="32"/>
      <c r="H330" s="32"/>
      <c r="I330" s="34" t="str">
        <f aca="false">IF($A330="","",N($F330)+N($G330)+N($H330))</f>
        <v/>
      </c>
      <c r="J330" s="26"/>
      <c r="K330" s="28"/>
      <c r="L330" s="26"/>
      <c r="M330" s="26"/>
      <c r="N330" s="28"/>
      <c r="O330" s="28"/>
    </row>
    <row r="331" customFormat="false" ht="15" hidden="false" customHeight="false" outlineLevel="0" collapsed="false">
      <c r="A331" s="26"/>
      <c r="B331" s="29"/>
      <c r="C331" s="26"/>
      <c r="D331" s="27" t="str">
        <f aca="false">IF($C331="","",IFERROR(INDEX(Invoices!$C$6:$C$505,MATCH($C331,Invoices!$A$6:$A$505,0)),"Invoice not found"))</f>
        <v/>
      </c>
      <c r="E331" s="35" t="str">
        <f aca="false">IF($C331="","",IFERROR(INDEX(Invoices!$L$6:$L$505,MATCH($C331,Invoices!$A$6:$A$505,0)),""))</f>
        <v/>
      </c>
      <c r="F331" s="32"/>
      <c r="G331" s="32"/>
      <c r="H331" s="32"/>
      <c r="I331" s="34" t="str">
        <f aca="false">IF($A331="","",N($F331)+N($G331)+N($H331))</f>
        <v/>
      </c>
      <c r="J331" s="26"/>
      <c r="K331" s="28"/>
      <c r="L331" s="26"/>
      <c r="M331" s="26"/>
      <c r="N331" s="28"/>
      <c r="O331" s="28"/>
    </row>
    <row r="332" customFormat="false" ht="15" hidden="false" customHeight="false" outlineLevel="0" collapsed="false">
      <c r="A332" s="26"/>
      <c r="B332" s="29"/>
      <c r="C332" s="26"/>
      <c r="D332" s="27" t="str">
        <f aca="false">IF($C332="","",IFERROR(INDEX(Invoices!$C$6:$C$505,MATCH($C332,Invoices!$A$6:$A$505,0)),"Invoice not found"))</f>
        <v/>
      </c>
      <c r="E332" s="35" t="str">
        <f aca="false">IF($C332="","",IFERROR(INDEX(Invoices!$L$6:$L$505,MATCH($C332,Invoices!$A$6:$A$505,0)),""))</f>
        <v/>
      </c>
      <c r="F332" s="32"/>
      <c r="G332" s="32"/>
      <c r="H332" s="32"/>
      <c r="I332" s="34" t="str">
        <f aca="false">IF($A332="","",N($F332)+N($G332)+N($H332))</f>
        <v/>
      </c>
      <c r="J332" s="26"/>
      <c r="K332" s="28"/>
      <c r="L332" s="26"/>
      <c r="M332" s="26"/>
      <c r="N332" s="28"/>
      <c r="O332" s="28"/>
    </row>
    <row r="333" customFormat="false" ht="15" hidden="false" customHeight="false" outlineLevel="0" collapsed="false">
      <c r="A333" s="26"/>
      <c r="B333" s="29"/>
      <c r="C333" s="26"/>
      <c r="D333" s="27" t="str">
        <f aca="false">IF($C333="","",IFERROR(INDEX(Invoices!$C$6:$C$505,MATCH($C333,Invoices!$A$6:$A$505,0)),"Invoice not found"))</f>
        <v/>
      </c>
      <c r="E333" s="35" t="str">
        <f aca="false">IF($C333="","",IFERROR(INDEX(Invoices!$L$6:$L$505,MATCH($C333,Invoices!$A$6:$A$505,0)),""))</f>
        <v/>
      </c>
      <c r="F333" s="32"/>
      <c r="G333" s="32"/>
      <c r="H333" s="32"/>
      <c r="I333" s="34" t="str">
        <f aca="false">IF($A333="","",N($F333)+N($G333)+N($H333))</f>
        <v/>
      </c>
      <c r="J333" s="26"/>
      <c r="K333" s="28"/>
      <c r="L333" s="26"/>
      <c r="M333" s="26"/>
      <c r="N333" s="28"/>
      <c r="O333" s="28"/>
    </row>
    <row r="334" customFormat="false" ht="15" hidden="false" customHeight="false" outlineLevel="0" collapsed="false">
      <c r="A334" s="26"/>
      <c r="B334" s="29"/>
      <c r="C334" s="26"/>
      <c r="D334" s="27" t="str">
        <f aca="false">IF($C334="","",IFERROR(INDEX(Invoices!$C$6:$C$505,MATCH($C334,Invoices!$A$6:$A$505,0)),"Invoice not found"))</f>
        <v/>
      </c>
      <c r="E334" s="35" t="str">
        <f aca="false">IF($C334="","",IFERROR(INDEX(Invoices!$L$6:$L$505,MATCH($C334,Invoices!$A$6:$A$505,0)),""))</f>
        <v/>
      </c>
      <c r="F334" s="32"/>
      <c r="G334" s="32"/>
      <c r="H334" s="32"/>
      <c r="I334" s="34" t="str">
        <f aca="false">IF($A334="","",N($F334)+N($G334)+N($H334))</f>
        <v/>
      </c>
      <c r="J334" s="26"/>
      <c r="K334" s="28"/>
      <c r="L334" s="26"/>
      <c r="M334" s="26"/>
      <c r="N334" s="28"/>
      <c r="O334" s="28"/>
    </row>
    <row r="335" customFormat="false" ht="15" hidden="false" customHeight="false" outlineLevel="0" collapsed="false">
      <c r="A335" s="26"/>
      <c r="B335" s="29"/>
      <c r="C335" s="26"/>
      <c r="D335" s="27" t="str">
        <f aca="false">IF($C335="","",IFERROR(INDEX(Invoices!$C$6:$C$505,MATCH($C335,Invoices!$A$6:$A$505,0)),"Invoice not found"))</f>
        <v/>
      </c>
      <c r="E335" s="35" t="str">
        <f aca="false">IF($C335="","",IFERROR(INDEX(Invoices!$L$6:$L$505,MATCH($C335,Invoices!$A$6:$A$505,0)),""))</f>
        <v/>
      </c>
      <c r="F335" s="32"/>
      <c r="G335" s="32"/>
      <c r="H335" s="32"/>
      <c r="I335" s="34" t="str">
        <f aca="false">IF($A335="","",N($F335)+N($G335)+N($H335))</f>
        <v/>
      </c>
      <c r="J335" s="26"/>
      <c r="K335" s="28"/>
      <c r="L335" s="26"/>
      <c r="M335" s="26"/>
      <c r="N335" s="28"/>
      <c r="O335" s="28"/>
    </row>
    <row r="336" customFormat="false" ht="15" hidden="false" customHeight="false" outlineLevel="0" collapsed="false">
      <c r="A336" s="26"/>
      <c r="B336" s="29"/>
      <c r="C336" s="26"/>
      <c r="D336" s="27" t="str">
        <f aca="false">IF($C336="","",IFERROR(INDEX(Invoices!$C$6:$C$505,MATCH($C336,Invoices!$A$6:$A$505,0)),"Invoice not found"))</f>
        <v/>
      </c>
      <c r="E336" s="35" t="str">
        <f aca="false">IF($C336="","",IFERROR(INDEX(Invoices!$L$6:$L$505,MATCH($C336,Invoices!$A$6:$A$505,0)),""))</f>
        <v/>
      </c>
      <c r="F336" s="32"/>
      <c r="G336" s="32"/>
      <c r="H336" s="32"/>
      <c r="I336" s="34" t="str">
        <f aca="false">IF($A336="","",N($F336)+N($G336)+N($H336))</f>
        <v/>
      </c>
      <c r="J336" s="26"/>
      <c r="K336" s="28"/>
      <c r="L336" s="26"/>
      <c r="M336" s="26"/>
      <c r="N336" s="28"/>
      <c r="O336" s="28"/>
    </row>
    <row r="337" customFormat="false" ht="15" hidden="false" customHeight="false" outlineLevel="0" collapsed="false">
      <c r="A337" s="26"/>
      <c r="B337" s="29"/>
      <c r="C337" s="26"/>
      <c r="D337" s="27" t="str">
        <f aca="false">IF($C337="","",IFERROR(INDEX(Invoices!$C$6:$C$505,MATCH($C337,Invoices!$A$6:$A$505,0)),"Invoice not found"))</f>
        <v/>
      </c>
      <c r="E337" s="35" t="str">
        <f aca="false">IF($C337="","",IFERROR(INDEX(Invoices!$L$6:$L$505,MATCH($C337,Invoices!$A$6:$A$505,0)),""))</f>
        <v/>
      </c>
      <c r="F337" s="32"/>
      <c r="G337" s="32"/>
      <c r="H337" s="32"/>
      <c r="I337" s="34" t="str">
        <f aca="false">IF($A337="","",N($F337)+N($G337)+N($H337))</f>
        <v/>
      </c>
      <c r="J337" s="26"/>
      <c r="K337" s="28"/>
      <c r="L337" s="26"/>
      <c r="M337" s="26"/>
      <c r="N337" s="28"/>
      <c r="O337" s="28"/>
    </row>
    <row r="338" customFormat="false" ht="15" hidden="false" customHeight="false" outlineLevel="0" collapsed="false">
      <c r="A338" s="26"/>
      <c r="B338" s="29"/>
      <c r="C338" s="26"/>
      <c r="D338" s="27" t="str">
        <f aca="false">IF($C338="","",IFERROR(INDEX(Invoices!$C$6:$C$505,MATCH($C338,Invoices!$A$6:$A$505,0)),"Invoice not found"))</f>
        <v/>
      </c>
      <c r="E338" s="35" t="str">
        <f aca="false">IF($C338="","",IFERROR(INDEX(Invoices!$L$6:$L$505,MATCH($C338,Invoices!$A$6:$A$505,0)),""))</f>
        <v/>
      </c>
      <c r="F338" s="32"/>
      <c r="G338" s="32"/>
      <c r="H338" s="32"/>
      <c r="I338" s="34" t="str">
        <f aca="false">IF($A338="","",N($F338)+N($G338)+N($H338))</f>
        <v/>
      </c>
      <c r="J338" s="26"/>
      <c r="K338" s="28"/>
      <c r="L338" s="26"/>
      <c r="M338" s="26"/>
      <c r="N338" s="28"/>
      <c r="O338" s="28"/>
    </row>
    <row r="339" customFormat="false" ht="15" hidden="false" customHeight="false" outlineLevel="0" collapsed="false">
      <c r="A339" s="26"/>
      <c r="B339" s="29"/>
      <c r="C339" s="26"/>
      <c r="D339" s="27" t="str">
        <f aca="false">IF($C339="","",IFERROR(INDEX(Invoices!$C$6:$C$505,MATCH($C339,Invoices!$A$6:$A$505,0)),"Invoice not found"))</f>
        <v/>
      </c>
      <c r="E339" s="35" t="str">
        <f aca="false">IF($C339="","",IFERROR(INDEX(Invoices!$L$6:$L$505,MATCH($C339,Invoices!$A$6:$A$505,0)),""))</f>
        <v/>
      </c>
      <c r="F339" s="32"/>
      <c r="G339" s="32"/>
      <c r="H339" s="32"/>
      <c r="I339" s="34" t="str">
        <f aca="false">IF($A339="","",N($F339)+N($G339)+N($H339))</f>
        <v/>
      </c>
      <c r="J339" s="26"/>
      <c r="K339" s="28"/>
      <c r="L339" s="26"/>
      <c r="M339" s="26"/>
      <c r="N339" s="28"/>
      <c r="O339" s="28"/>
    </row>
    <row r="340" customFormat="false" ht="15" hidden="false" customHeight="false" outlineLevel="0" collapsed="false">
      <c r="A340" s="26"/>
      <c r="B340" s="29"/>
      <c r="C340" s="26"/>
      <c r="D340" s="27" t="str">
        <f aca="false">IF($C340="","",IFERROR(INDEX(Invoices!$C$6:$C$505,MATCH($C340,Invoices!$A$6:$A$505,0)),"Invoice not found"))</f>
        <v/>
      </c>
      <c r="E340" s="35" t="str">
        <f aca="false">IF($C340="","",IFERROR(INDEX(Invoices!$L$6:$L$505,MATCH($C340,Invoices!$A$6:$A$505,0)),""))</f>
        <v/>
      </c>
      <c r="F340" s="32"/>
      <c r="G340" s="32"/>
      <c r="H340" s="32"/>
      <c r="I340" s="34" t="str">
        <f aca="false">IF($A340="","",N($F340)+N($G340)+N($H340))</f>
        <v/>
      </c>
      <c r="J340" s="26"/>
      <c r="K340" s="28"/>
      <c r="L340" s="26"/>
      <c r="M340" s="26"/>
      <c r="N340" s="28"/>
      <c r="O340" s="28"/>
    </row>
    <row r="341" customFormat="false" ht="15" hidden="false" customHeight="false" outlineLevel="0" collapsed="false">
      <c r="A341" s="26"/>
      <c r="B341" s="29"/>
      <c r="C341" s="26"/>
      <c r="D341" s="27" t="str">
        <f aca="false">IF($C341="","",IFERROR(INDEX(Invoices!$C$6:$C$505,MATCH($C341,Invoices!$A$6:$A$505,0)),"Invoice not found"))</f>
        <v/>
      </c>
      <c r="E341" s="35" t="str">
        <f aca="false">IF($C341="","",IFERROR(INDEX(Invoices!$L$6:$L$505,MATCH($C341,Invoices!$A$6:$A$505,0)),""))</f>
        <v/>
      </c>
      <c r="F341" s="32"/>
      <c r="G341" s="32"/>
      <c r="H341" s="32"/>
      <c r="I341" s="34" t="str">
        <f aca="false">IF($A341="","",N($F341)+N($G341)+N($H341))</f>
        <v/>
      </c>
      <c r="J341" s="26"/>
      <c r="K341" s="28"/>
      <c r="L341" s="26"/>
      <c r="M341" s="26"/>
      <c r="N341" s="28"/>
      <c r="O341" s="28"/>
    </row>
    <row r="342" customFormat="false" ht="15" hidden="false" customHeight="false" outlineLevel="0" collapsed="false">
      <c r="A342" s="26"/>
      <c r="B342" s="29"/>
      <c r="C342" s="26"/>
      <c r="D342" s="27" t="str">
        <f aca="false">IF($C342="","",IFERROR(INDEX(Invoices!$C$6:$C$505,MATCH($C342,Invoices!$A$6:$A$505,0)),"Invoice not found"))</f>
        <v/>
      </c>
      <c r="E342" s="35" t="str">
        <f aca="false">IF($C342="","",IFERROR(INDEX(Invoices!$L$6:$L$505,MATCH($C342,Invoices!$A$6:$A$505,0)),""))</f>
        <v/>
      </c>
      <c r="F342" s="32"/>
      <c r="G342" s="32"/>
      <c r="H342" s="32"/>
      <c r="I342" s="34" t="str">
        <f aca="false">IF($A342="","",N($F342)+N($G342)+N($H342))</f>
        <v/>
      </c>
      <c r="J342" s="26"/>
      <c r="K342" s="28"/>
      <c r="L342" s="26"/>
      <c r="M342" s="26"/>
      <c r="N342" s="28"/>
      <c r="O342" s="28"/>
    </row>
    <row r="343" customFormat="false" ht="15" hidden="false" customHeight="false" outlineLevel="0" collapsed="false">
      <c r="A343" s="26"/>
      <c r="B343" s="29"/>
      <c r="C343" s="26"/>
      <c r="D343" s="27" t="str">
        <f aca="false">IF($C343="","",IFERROR(INDEX(Invoices!$C$6:$C$505,MATCH($C343,Invoices!$A$6:$A$505,0)),"Invoice not found"))</f>
        <v/>
      </c>
      <c r="E343" s="35" t="str">
        <f aca="false">IF($C343="","",IFERROR(INDEX(Invoices!$L$6:$L$505,MATCH($C343,Invoices!$A$6:$A$505,0)),""))</f>
        <v/>
      </c>
      <c r="F343" s="32"/>
      <c r="G343" s="32"/>
      <c r="H343" s="32"/>
      <c r="I343" s="34" t="str">
        <f aca="false">IF($A343="","",N($F343)+N($G343)+N($H343))</f>
        <v/>
      </c>
      <c r="J343" s="26"/>
      <c r="K343" s="28"/>
      <c r="L343" s="26"/>
      <c r="M343" s="26"/>
      <c r="N343" s="28"/>
      <c r="O343" s="28"/>
    </row>
    <row r="344" customFormat="false" ht="15" hidden="false" customHeight="false" outlineLevel="0" collapsed="false">
      <c r="A344" s="26"/>
      <c r="B344" s="29"/>
      <c r="C344" s="26"/>
      <c r="D344" s="27" t="str">
        <f aca="false">IF($C344="","",IFERROR(INDEX(Invoices!$C$6:$C$505,MATCH($C344,Invoices!$A$6:$A$505,0)),"Invoice not found"))</f>
        <v/>
      </c>
      <c r="E344" s="35" t="str">
        <f aca="false">IF($C344="","",IFERROR(INDEX(Invoices!$L$6:$L$505,MATCH($C344,Invoices!$A$6:$A$505,0)),""))</f>
        <v/>
      </c>
      <c r="F344" s="32"/>
      <c r="G344" s="32"/>
      <c r="H344" s="32"/>
      <c r="I344" s="34" t="str">
        <f aca="false">IF($A344="","",N($F344)+N($G344)+N($H344))</f>
        <v/>
      </c>
      <c r="J344" s="26"/>
      <c r="K344" s="28"/>
      <c r="L344" s="26"/>
      <c r="M344" s="26"/>
      <c r="N344" s="28"/>
      <c r="O344" s="28"/>
    </row>
    <row r="345" customFormat="false" ht="15" hidden="false" customHeight="false" outlineLevel="0" collapsed="false">
      <c r="A345" s="26"/>
      <c r="B345" s="29"/>
      <c r="C345" s="26"/>
      <c r="D345" s="27" t="str">
        <f aca="false">IF($C345="","",IFERROR(INDEX(Invoices!$C$6:$C$505,MATCH($C345,Invoices!$A$6:$A$505,0)),"Invoice not found"))</f>
        <v/>
      </c>
      <c r="E345" s="35" t="str">
        <f aca="false">IF($C345="","",IFERROR(INDEX(Invoices!$L$6:$L$505,MATCH($C345,Invoices!$A$6:$A$505,0)),""))</f>
        <v/>
      </c>
      <c r="F345" s="32"/>
      <c r="G345" s="32"/>
      <c r="H345" s="32"/>
      <c r="I345" s="34" t="str">
        <f aca="false">IF($A345="","",N($F345)+N($G345)+N($H345))</f>
        <v/>
      </c>
      <c r="J345" s="26"/>
      <c r="K345" s="28"/>
      <c r="L345" s="26"/>
      <c r="M345" s="26"/>
      <c r="N345" s="28"/>
      <c r="O345" s="28"/>
    </row>
    <row r="346" customFormat="false" ht="15" hidden="false" customHeight="false" outlineLevel="0" collapsed="false">
      <c r="A346" s="26"/>
      <c r="B346" s="29"/>
      <c r="C346" s="26"/>
      <c r="D346" s="27" t="str">
        <f aca="false">IF($C346="","",IFERROR(INDEX(Invoices!$C$6:$C$505,MATCH($C346,Invoices!$A$6:$A$505,0)),"Invoice not found"))</f>
        <v/>
      </c>
      <c r="E346" s="35" t="str">
        <f aca="false">IF($C346="","",IFERROR(INDEX(Invoices!$L$6:$L$505,MATCH($C346,Invoices!$A$6:$A$505,0)),""))</f>
        <v/>
      </c>
      <c r="F346" s="32"/>
      <c r="G346" s="32"/>
      <c r="H346" s="32"/>
      <c r="I346" s="34" t="str">
        <f aca="false">IF($A346="","",N($F346)+N($G346)+N($H346))</f>
        <v/>
      </c>
      <c r="J346" s="26"/>
      <c r="K346" s="28"/>
      <c r="L346" s="26"/>
      <c r="M346" s="26"/>
      <c r="N346" s="28"/>
      <c r="O346" s="28"/>
    </row>
    <row r="347" customFormat="false" ht="15" hidden="false" customHeight="false" outlineLevel="0" collapsed="false">
      <c r="A347" s="26"/>
      <c r="B347" s="29"/>
      <c r="C347" s="26"/>
      <c r="D347" s="27" t="str">
        <f aca="false">IF($C347="","",IFERROR(INDEX(Invoices!$C$6:$C$505,MATCH($C347,Invoices!$A$6:$A$505,0)),"Invoice not found"))</f>
        <v/>
      </c>
      <c r="E347" s="35" t="str">
        <f aca="false">IF($C347="","",IFERROR(INDEX(Invoices!$L$6:$L$505,MATCH($C347,Invoices!$A$6:$A$505,0)),""))</f>
        <v/>
      </c>
      <c r="F347" s="32"/>
      <c r="G347" s="32"/>
      <c r="H347" s="32"/>
      <c r="I347" s="34" t="str">
        <f aca="false">IF($A347="","",N($F347)+N($G347)+N($H347))</f>
        <v/>
      </c>
      <c r="J347" s="26"/>
      <c r="K347" s="28"/>
      <c r="L347" s="26"/>
      <c r="M347" s="26"/>
      <c r="N347" s="28"/>
      <c r="O347" s="28"/>
    </row>
    <row r="348" customFormat="false" ht="15" hidden="false" customHeight="false" outlineLevel="0" collapsed="false">
      <c r="A348" s="26"/>
      <c r="B348" s="29"/>
      <c r="C348" s="26"/>
      <c r="D348" s="27" t="str">
        <f aca="false">IF($C348="","",IFERROR(INDEX(Invoices!$C$6:$C$505,MATCH($C348,Invoices!$A$6:$A$505,0)),"Invoice not found"))</f>
        <v/>
      </c>
      <c r="E348" s="35" t="str">
        <f aca="false">IF($C348="","",IFERROR(INDEX(Invoices!$L$6:$L$505,MATCH($C348,Invoices!$A$6:$A$505,0)),""))</f>
        <v/>
      </c>
      <c r="F348" s="32"/>
      <c r="G348" s="32"/>
      <c r="H348" s="32"/>
      <c r="I348" s="34" t="str">
        <f aca="false">IF($A348="","",N($F348)+N($G348)+N($H348))</f>
        <v/>
      </c>
      <c r="J348" s="26"/>
      <c r="K348" s="28"/>
      <c r="L348" s="26"/>
      <c r="M348" s="26"/>
      <c r="N348" s="28"/>
      <c r="O348" s="28"/>
    </row>
    <row r="349" customFormat="false" ht="15" hidden="false" customHeight="false" outlineLevel="0" collapsed="false">
      <c r="A349" s="26"/>
      <c r="B349" s="29"/>
      <c r="C349" s="26"/>
      <c r="D349" s="27" t="str">
        <f aca="false">IF($C349="","",IFERROR(INDEX(Invoices!$C$6:$C$505,MATCH($C349,Invoices!$A$6:$A$505,0)),"Invoice not found"))</f>
        <v/>
      </c>
      <c r="E349" s="35" t="str">
        <f aca="false">IF($C349="","",IFERROR(INDEX(Invoices!$L$6:$L$505,MATCH($C349,Invoices!$A$6:$A$505,0)),""))</f>
        <v/>
      </c>
      <c r="F349" s="32"/>
      <c r="G349" s="32"/>
      <c r="H349" s="32"/>
      <c r="I349" s="34" t="str">
        <f aca="false">IF($A349="","",N($F349)+N($G349)+N($H349))</f>
        <v/>
      </c>
      <c r="J349" s="26"/>
      <c r="K349" s="28"/>
      <c r="L349" s="26"/>
      <c r="M349" s="26"/>
      <c r="N349" s="28"/>
      <c r="O349" s="28"/>
    </row>
    <row r="350" customFormat="false" ht="15" hidden="false" customHeight="false" outlineLevel="0" collapsed="false">
      <c r="A350" s="26"/>
      <c r="B350" s="29"/>
      <c r="C350" s="26"/>
      <c r="D350" s="27" t="str">
        <f aca="false">IF($C350="","",IFERROR(INDEX(Invoices!$C$6:$C$505,MATCH($C350,Invoices!$A$6:$A$505,0)),"Invoice not found"))</f>
        <v/>
      </c>
      <c r="E350" s="35" t="str">
        <f aca="false">IF($C350="","",IFERROR(INDEX(Invoices!$L$6:$L$505,MATCH($C350,Invoices!$A$6:$A$505,0)),""))</f>
        <v/>
      </c>
      <c r="F350" s="32"/>
      <c r="G350" s="32"/>
      <c r="H350" s="32"/>
      <c r="I350" s="34" t="str">
        <f aca="false">IF($A350="","",N($F350)+N($G350)+N($H350))</f>
        <v/>
      </c>
      <c r="J350" s="26"/>
      <c r="K350" s="28"/>
      <c r="L350" s="26"/>
      <c r="M350" s="26"/>
      <c r="N350" s="28"/>
      <c r="O350" s="28"/>
    </row>
    <row r="351" customFormat="false" ht="15" hidden="false" customHeight="false" outlineLevel="0" collapsed="false">
      <c r="A351" s="26"/>
      <c r="B351" s="29"/>
      <c r="C351" s="26"/>
      <c r="D351" s="27" t="str">
        <f aca="false">IF($C351="","",IFERROR(INDEX(Invoices!$C$6:$C$505,MATCH($C351,Invoices!$A$6:$A$505,0)),"Invoice not found"))</f>
        <v/>
      </c>
      <c r="E351" s="35" t="str">
        <f aca="false">IF($C351="","",IFERROR(INDEX(Invoices!$L$6:$L$505,MATCH($C351,Invoices!$A$6:$A$505,0)),""))</f>
        <v/>
      </c>
      <c r="F351" s="32"/>
      <c r="G351" s="32"/>
      <c r="H351" s="32"/>
      <c r="I351" s="34" t="str">
        <f aca="false">IF($A351="","",N($F351)+N($G351)+N($H351))</f>
        <v/>
      </c>
      <c r="J351" s="26"/>
      <c r="K351" s="28"/>
      <c r="L351" s="26"/>
      <c r="M351" s="26"/>
      <c r="N351" s="28"/>
      <c r="O351" s="28"/>
    </row>
    <row r="352" customFormat="false" ht="15" hidden="false" customHeight="false" outlineLevel="0" collapsed="false">
      <c r="A352" s="26"/>
      <c r="B352" s="29"/>
      <c r="C352" s="26"/>
      <c r="D352" s="27" t="str">
        <f aca="false">IF($C352="","",IFERROR(INDEX(Invoices!$C$6:$C$505,MATCH($C352,Invoices!$A$6:$A$505,0)),"Invoice not found"))</f>
        <v/>
      </c>
      <c r="E352" s="35" t="str">
        <f aca="false">IF($C352="","",IFERROR(INDEX(Invoices!$L$6:$L$505,MATCH($C352,Invoices!$A$6:$A$505,0)),""))</f>
        <v/>
      </c>
      <c r="F352" s="32"/>
      <c r="G352" s="32"/>
      <c r="H352" s="32"/>
      <c r="I352" s="34" t="str">
        <f aca="false">IF($A352="","",N($F352)+N($G352)+N($H352))</f>
        <v/>
      </c>
      <c r="J352" s="26"/>
      <c r="K352" s="28"/>
      <c r="L352" s="26"/>
      <c r="M352" s="26"/>
      <c r="N352" s="28"/>
      <c r="O352" s="28"/>
    </row>
    <row r="353" customFormat="false" ht="15" hidden="false" customHeight="false" outlineLevel="0" collapsed="false">
      <c r="A353" s="26"/>
      <c r="B353" s="29"/>
      <c r="C353" s="26"/>
      <c r="D353" s="27" t="str">
        <f aca="false">IF($C353="","",IFERROR(INDEX(Invoices!$C$6:$C$505,MATCH($C353,Invoices!$A$6:$A$505,0)),"Invoice not found"))</f>
        <v/>
      </c>
      <c r="E353" s="35" t="str">
        <f aca="false">IF($C353="","",IFERROR(INDEX(Invoices!$L$6:$L$505,MATCH($C353,Invoices!$A$6:$A$505,0)),""))</f>
        <v/>
      </c>
      <c r="F353" s="32"/>
      <c r="G353" s="32"/>
      <c r="H353" s="32"/>
      <c r="I353" s="34" t="str">
        <f aca="false">IF($A353="","",N($F353)+N($G353)+N($H353))</f>
        <v/>
      </c>
      <c r="J353" s="26"/>
      <c r="K353" s="28"/>
      <c r="L353" s="26"/>
      <c r="M353" s="26"/>
      <c r="N353" s="28"/>
      <c r="O353" s="28"/>
    </row>
    <row r="354" customFormat="false" ht="15" hidden="false" customHeight="false" outlineLevel="0" collapsed="false">
      <c r="A354" s="26"/>
      <c r="B354" s="29"/>
      <c r="C354" s="26"/>
      <c r="D354" s="27" t="str">
        <f aca="false">IF($C354="","",IFERROR(INDEX(Invoices!$C$6:$C$505,MATCH($C354,Invoices!$A$6:$A$505,0)),"Invoice not found"))</f>
        <v/>
      </c>
      <c r="E354" s="35" t="str">
        <f aca="false">IF($C354="","",IFERROR(INDEX(Invoices!$L$6:$L$505,MATCH($C354,Invoices!$A$6:$A$505,0)),""))</f>
        <v/>
      </c>
      <c r="F354" s="32"/>
      <c r="G354" s="32"/>
      <c r="H354" s="32"/>
      <c r="I354" s="34" t="str">
        <f aca="false">IF($A354="","",N($F354)+N($G354)+N($H354))</f>
        <v/>
      </c>
      <c r="J354" s="26"/>
      <c r="K354" s="28"/>
      <c r="L354" s="26"/>
      <c r="M354" s="26"/>
      <c r="N354" s="28"/>
      <c r="O354" s="28"/>
    </row>
    <row r="355" customFormat="false" ht="15" hidden="false" customHeight="false" outlineLevel="0" collapsed="false">
      <c r="A355" s="26"/>
      <c r="B355" s="29"/>
      <c r="C355" s="26"/>
      <c r="D355" s="27" t="str">
        <f aca="false">IF($C355="","",IFERROR(INDEX(Invoices!$C$6:$C$505,MATCH($C355,Invoices!$A$6:$A$505,0)),"Invoice not found"))</f>
        <v/>
      </c>
      <c r="E355" s="35" t="str">
        <f aca="false">IF($C355="","",IFERROR(INDEX(Invoices!$L$6:$L$505,MATCH($C355,Invoices!$A$6:$A$505,0)),""))</f>
        <v/>
      </c>
      <c r="F355" s="32"/>
      <c r="G355" s="32"/>
      <c r="H355" s="32"/>
      <c r="I355" s="34" t="str">
        <f aca="false">IF($A355="","",N($F355)+N($G355)+N($H355))</f>
        <v/>
      </c>
      <c r="J355" s="26"/>
      <c r="K355" s="28"/>
      <c r="L355" s="26"/>
      <c r="M355" s="26"/>
      <c r="N355" s="28"/>
      <c r="O355" s="28"/>
    </row>
    <row r="356" customFormat="false" ht="15" hidden="false" customHeight="false" outlineLevel="0" collapsed="false">
      <c r="A356" s="26"/>
      <c r="B356" s="29"/>
      <c r="C356" s="26"/>
      <c r="D356" s="27" t="str">
        <f aca="false">IF($C356="","",IFERROR(INDEX(Invoices!$C$6:$C$505,MATCH($C356,Invoices!$A$6:$A$505,0)),"Invoice not found"))</f>
        <v/>
      </c>
      <c r="E356" s="35" t="str">
        <f aca="false">IF($C356="","",IFERROR(INDEX(Invoices!$L$6:$L$505,MATCH($C356,Invoices!$A$6:$A$505,0)),""))</f>
        <v/>
      </c>
      <c r="F356" s="32"/>
      <c r="G356" s="32"/>
      <c r="H356" s="32"/>
      <c r="I356" s="34" t="str">
        <f aca="false">IF($A356="","",N($F356)+N($G356)+N($H356))</f>
        <v/>
      </c>
      <c r="J356" s="26"/>
      <c r="K356" s="28"/>
      <c r="L356" s="26"/>
      <c r="M356" s="26"/>
      <c r="N356" s="28"/>
      <c r="O356" s="28"/>
    </row>
    <row r="357" customFormat="false" ht="15" hidden="false" customHeight="false" outlineLevel="0" collapsed="false">
      <c r="A357" s="26"/>
      <c r="B357" s="29"/>
      <c r="C357" s="26"/>
      <c r="D357" s="27" t="str">
        <f aca="false">IF($C357="","",IFERROR(INDEX(Invoices!$C$6:$C$505,MATCH($C357,Invoices!$A$6:$A$505,0)),"Invoice not found"))</f>
        <v/>
      </c>
      <c r="E357" s="35" t="str">
        <f aca="false">IF($C357="","",IFERROR(INDEX(Invoices!$L$6:$L$505,MATCH($C357,Invoices!$A$6:$A$505,0)),""))</f>
        <v/>
      </c>
      <c r="F357" s="32"/>
      <c r="G357" s="32"/>
      <c r="H357" s="32"/>
      <c r="I357" s="34" t="str">
        <f aca="false">IF($A357="","",N($F357)+N($G357)+N($H357))</f>
        <v/>
      </c>
      <c r="J357" s="26"/>
      <c r="K357" s="28"/>
      <c r="L357" s="26"/>
      <c r="M357" s="26"/>
      <c r="N357" s="28"/>
      <c r="O357" s="28"/>
    </row>
    <row r="358" customFormat="false" ht="15" hidden="false" customHeight="false" outlineLevel="0" collapsed="false">
      <c r="A358" s="26"/>
      <c r="B358" s="29"/>
      <c r="C358" s="26"/>
      <c r="D358" s="27" t="str">
        <f aca="false">IF($C358="","",IFERROR(INDEX(Invoices!$C$6:$C$505,MATCH($C358,Invoices!$A$6:$A$505,0)),"Invoice not found"))</f>
        <v/>
      </c>
      <c r="E358" s="35" t="str">
        <f aca="false">IF($C358="","",IFERROR(INDEX(Invoices!$L$6:$L$505,MATCH($C358,Invoices!$A$6:$A$505,0)),""))</f>
        <v/>
      </c>
      <c r="F358" s="32"/>
      <c r="G358" s="32"/>
      <c r="H358" s="32"/>
      <c r="I358" s="34" t="str">
        <f aca="false">IF($A358="","",N($F358)+N($G358)+N($H358))</f>
        <v/>
      </c>
      <c r="J358" s="26"/>
      <c r="K358" s="28"/>
      <c r="L358" s="26"/>
      <c r="M358" s="26"/>
      <c r="N358" s="28"/>
      <c r="O358" s="28"/>
    </row>
    <row r="359" customFormat="false" ht="15" hidden="false" customHeight="false" outlineLevel="0" collapsed="false">
      <c r="A359" s="26"/>
      <c r="B359" s="29"/>
      <c r="C359" s="26"/>
      <c r="D359" s="27" t="str">
        <f aca="false">IF($C359="","",IFERROR(INDEX(Invoices!$C$6:$C$505,MATCH($C359,Invoices!$A$6:$A$505,0)),"Invoice not found"))</f>
        <v/>
      </c>
      <c r="E359" s="35" t="str">
        <f aca="false">IF($C359="","",IFERROR(INDEX(Invoices!$L$6:$L$505,MATCH($C359,Invoices!$A$6:$A$505,0)),""))</f>
        <v/>
      </c>
      <c r="F359" s="32"/>
      <c r="G359" s="32"/>
      <c r="H359" s="32"/>
      <c r="I359" s="34" t="str">
        <f aca="false">IF($A359="","",N($F359)+N($G359)+N($H359))</f>
        <v/>
      </c>
      <c r="J359" s="26"/>
      <c r="K359" s="28"/>
      <c r="L359" s="26"/>
      <c r="M359" s="26"/>
      <c r="N359" s="28"/>
      <c r="O359" s="28"/>
    </row>
    <row r="360" customFormat="false" ht="15" hidden="false" customHeight="false" outlineLevel="0" collapsed="false">
      <c r="A360" s="26"/>
      <c r="B360" s="29"/>
      <c r="C360" s="26"/>
      <c r="D360" s="27" t="str">
        <f aca="false">IF($C360="","",IFERROR(INDEX(Invoices!$C$6:$C$505,MATCH($C360,Invoices!$A$6:$A$505,0)),"Invoice not found"))</f>
        <v/>
      </c>
      <c r="E360" s="35" t="str">
        <f aca="false">IF($C360="","",IFERROR(INDEX(Invoices!$L$6:$L$505,MATCH($C360,Invoices!$A$6:$A$505,0)),""))</f>
        <v/>
      </c>
      <c r="F360" s="32"/>
      <c r="G360" s="32"/>
      <c r="H360" s="32"/>
      <c r="I360" s="34" t="str">
        <f aca="false">IF($A360="","",N($F360)+N($G360)+N($H360))</f>
        <v/>
      </c>
      <c r="J360" s="26"/>
      <c r="K360" s="28"/>
      <c r="L360" s="26"/>
      <c r="M360" s="26"/>
      <c r="N360" s="28"/>
      <c r="O360" s="28"/>
    </row>
    <row r="361" customFormat="false" ht="15" hidden="false" customHeight="false" outlineLevel="0" collapsed="false">
      <c r="A361" s="26"/>
      <c r="B361" s="29"/>
      <c r="C361" s="26"/>
      <c r="D361" s="27" t="str">
        <f aca="false">IF($C361="","",IFERROR(INDEX(Invoices!$C$6:$C$505,MATCH($C361,Invoices!$A$6:$A$505,0)),"Invoice not found"))</f>
        <v/>
      </c>
      <c r="E361" s="35" t="str">
        <f aca="false">IF($C361="","",IFERROR(INDEX(Invoices!$L$6:$L$505,MATCH($C361,Invoices!$A$6:$A$505,0)),""))</f>
        <v/>
      </c>
      <c r="F361" s="32"/>
      <c r="G361" s="32"/>
      <c r="H361" s="32"/>
      <c r="I361" s="34" t="str">
        <f aca="false">IF($A361="","",N($F361)+N($G361)+N($H361))</f>
        <v/>
      </c>
      <c r="J361" s="26"/>
      <c r="K361" s="28"/>
      <c r="L361" s="26"/>
      <c r="M361" s="26"/>
      <c r="N361" s="28"/>
      <c r="O361" s="28"/>
    </row>
    <row r="362" customFormat="false" ht="15" hidden="false" customHeight="false" outlineLevel="0" collapsed="false">
      <c r="A362" s="26"/>
      <c r="B362" s="29"/>
      <c r="C362" s="26"/>
      <c r="D362" s="27" t="str">
        <f aca="false">IF($C362="","",IFERROR(INDEX(Invoices!$C$6:$C$505,MATCH($C362,Invoices!$A$6:$A$505,0)),"Invoice not found"))</f>
        <v/>
      </c>
      <c r="E362" s="35" t="str">
        <f aca="false">IF($C362="","",IFERROR(INDEX(Invoices!$L$6:$L$505,MATCH($C362,Invoices!$A$6:$A$505,0)),""))</f>
        <v/>
      </c>
      <c r="F362" s="32"/>
      <c r="G362" s="32"/>
      <c r="H362" s="32"/>
      <c r="I362" s="34" t="str">
        <f aca="false">IF($A362="","",N($F362)+N($G362)+N($H362))</f>
        <v/>
      </c>
      <c r="J362" s="26"/>
      <c r="K362" s="28"/>
      <c r="L362" s="26"/>
      <c r="M362" s="26"/>
      <c r="N362" s="28"/>
      <c r="O362" s="28"/>
    </row>
    <row r="363" customFormat="false" ht="15" hidden="false" customHeight="false" outlineLevel="0" collapsed="false">
      <c r="A363" s="26"/>
      <c r="B363" s="29"/>
      <c r="C363" s="26"/>
      <c r="D363" s="27" t="str">
        <f aca="false">IF($C363="","",IFERROR(INDEX(Invoices!$C$6:$C$505,MATCH($C363,Invoices!$A$6:$A$505,0)),"Invoice not found"))</f>
        <v/>
      </c>
      <c r="E363" s="35" t="str">
        <f aca="false">IF($C363="","",IFERROR(INDEX(Invoices!$L$6:$L$505,MATCH($C363,Invoices!$A$6:$A$505,0)),""))</f>
        <v/>
      </c>
      <c r="F363" s="32"/>
      <c r="G363" s="32"/>
      <c r="H363" s="32"/>
      <c r="I363" s="34" t="str">
        <f aca="false">IF($A363="","",N($F363)+N($G363)+N($H363))</f>
        <v/>
      </c>
      <c r="J363" s="26"/>
      <c r="K363" s="28"/>
      <c r="L363" s="26"/>
      <c r="M363" s="26"/>
      <c r="N363" s="28"/>
      <c r="O363" s="28"/>
    </row>
    <row r="364" customFormat="false" ht="15" hidden="false" customHeight="false" outlineLevel="0" collapsed="false">
      <c r="A364" s="26"/>
      <c r="B364" s="29"/>
      <c r="C364" s="26"/>
      <c r="D364" s="27" t="str">
        <f aca="false">IF($C364="","",IFERROR(INDEX(Invoices!$C$6:$C$505,MATCH($C364,Invoices!$A$6:$A$505,0)),"Invoice not found"))</f>
        <v/>
      </c>
      <c r="E364" s="35" t="str">
        <f aca="false">IF($C364="","",IFERROR(INDEX(Invoices!$L$6:$L$505,MATCH($C364,Invoices!$A$6:$A$505,0)),""))</f>
        <v/>
      </c>
      <c r="F364" s="32"/>
      <c r="G364" s="32"/>
      <c r="H364" s="32"/>
      <c r="I364" s="34" t="str">
        <f aca="false">IF($A364="","",N($F364)+N($G364)+N($H364))</f>
        <v/>
      </c>
      <c r="J364" s="26"/>
      <c r="K364" s="28"/>
      <c r="L364" s="26"/>
      <c r="M364" s="26"/>
      <c r="N364" s="28"/>
      <c r="O364" s="28"/>
    </row>
    <row r="365" customFormat="false" ht="15" hidden="false" customHeight="false" outlineLevel="0" collapsed="false">
      <c r="A365" s="26"/>
      <c r="B365" s="29"/>
      <c r="C365" s="26"/>
      <c r="D365" s="27" t="str">
        <f aca="false">IF($C365="","",IFERROR(INDEX(Invoices!$C$6:$C$505,MATCH($C365,Invoices!$A$6:$A$505,0)),"Invoice not found"))</f>
        <v/>
      </c>
      <c r="E365" s="35" t="str">
        <f aca="false">IF($C365="","",IFERROR(INDEX(Invoices!$L$6:$L$505,MATCH($C365,Invoices!$A$6:$A$505,0)),""))</f>
        <v/>
      </c>
      <c r="F365" s="32"/>
      <c r="G365" s="32"/>
      <c r="H365" s="32"/>
      <c r="I365" s="34" t="str">
        <f aca="false">IF($A365="","",N($F365)+N($G365)+N($H365))</f>
        <v/>
      </c>
      <c r="J365" s="26"/>
      <c r="K365" s="28"/>
      <c r="L365" s="26"/>
      <c r="M365" s="26"/>
      <c r="N365" s="28"/>
      <c r="O365" s="28"/>
    </row>
    <row r="366" customFormat="false" ht="15" hidden="false" customHeight="false" outlineLevel="0" collapsed="false">
      <c r="A366" s="26"/>
      <c r="B366" s="29"/>
      <c r="C366" s="26"/>
      <c r="D366" s="27" t="str">
        <f aca="false">IF($C366="","",IFERROR(INDEX(Invoices!$C$6:$C$505,MATCH($C366,Invoices!$A$6:$A$505,0)),"Invoice not found"))</f>
        <v/>
      </c>
      <c r="E366" s="35" t="str">
        <f aca="false">IF($C366="","",IFERROR(INDEX(Invoices!$L$6:$L$505,MATCH($C366,Invoices!$A$6:$A$505,0)),""))</f>
        <v/>
      </c>
      <c r="F366" s="32"/>
      <c r="G366" s="32"/>
      <c r="H366" s="32"/>
      <c r="I366" s="34" t="str">
        <f aca="false">IF($A366="","",N($F366)+N($G366)+N($H366))</f>
        <v/>
      </c>
      <c r="J366" s="26"/>
      <c r="K366" s="28"/>
      <c r="L366" s="26"/>
      <c r="M366" s="26"/>
      <c r="N366" s="28"/>
      <c r="O366" s="28"/>
    </row>
    <row r="367" customFormat="false" ht="15" hidden="false" customHeight="false" outlineLevel="0" collapsed="false">
      <c r="A367" s="26"/>
      <c r="B367" s="29"/>
      <c r="C367" s="26"/>
      <c r="D367" s="27" t="str">
        <f aca="false">IF($C367="","",IFERROR(INDEX(Invoices!$C$6:$C$505,MATCH($C367,Invoices!$A$6:$A$505,0)),"Invoice not found"))</f>
        <v/>
      </c>
      <c r="E367" s="35" t="str">
        <f aca="false">IF($C367="","",IFERROR(INDEX(Invoices!$L$6:$L$505,MATCH($C367,Invoices!$A$6:$A$505,0)),""))</f>
        <v/>
      </c>
      <c r="F367" s="32"/>
      <c r="G367" s="32"/>
      <c r="H367" s="32"/>
      <c r="I367" s="34" t="str">
        <f aca="false">IF($A367="","",N($F367)+N($G367)+N($H367))</f>
        <v/>
      </c>
      <c r="J367" s="26"/>
      <c r="K367" s="28"/>
      <c r="L367" s="26"/>
      <c r="M367" s="26"/>
      <c r="N367" s="28"/>
      <c r="O367" s="28"/>
    </row>
    <row r="368" customFormat="false" ht="15" hidden="false" customHeight="false" outlineLevel="0" collapsed="false">
      <c r="A368" s="26"/>
      <c r="B368" s="29"/>
      <c r="C368" s="26"/>
      <c r="D368" s="27" t="str">
        <f aca="false">IF($C368="","",IFERROR(INDEX(Invoices!$C$6:$C$505,MATCH($C368,Invoices!$A$6:$A$505,0)),"Invoice not found"))</f>
        <v/>
      </c>
      <c r="E368" s="35" t="str">
        <f aca="false">IF($C368="","",IFERROR(INDEX(Invoices!$L$6:$L$505,MATCH($C368,Invoices!$A$6:$A$505,0)),""))</f>
        <v/>
      </c>
      <c r="F368" s="32"/>
      <c r="G368" s="32"/>
      <c r="H368" s="32"/>
      <c r="I368" s="34" t="str">
        <f aca="false">IF($A368="","",N($F368)+N($G368)+N($H368))</f>
        <v/>
      </c>
      <c r="J368" s="26"/>
      <c r="K368" s="28"/>
      <c r="L368" s="26"/>
      <c r="M368" s="26"/>
      <c r="N368" s="28"/>
      <c r="O368" s="28"/>
    </row>
    <row r="369" customFormat="false" ht="15" hidden="false" customHeight="false" outlineLevel="0" collapsed="false">
      <c r="A369" s="26"/>
      <c r="B369" s="29"/>
      <c r="C369" s="26"/>
      <c r="D369" s="27" t="str">
        <f aca="false">IF($C369="","",IFERROR(INDEX(Invoices!$C$6:$C$505,MATCH($C369,Invoices!$A$6:$A$505,0)),"Invoice not found"))</f>
        <v/>
      </c>
      <c r="E369" s="35" t="str">
        <f aca="false">IF($C369="","",IFERROR(INDEX(Invoices!$L$6:$L$505,MATCH($C369,Invoices!$A$6:$A$505,0)),""))</f>
        <v/>
      </c>
      <c r="F369" s="32"/>
      <c r="G369" s="32"/>
      <c r="H369" s="32"/>
      <c r="I369" s="34" t="str">
        <f aca="false">IF($A369="","",N($F369)+N($G369)+N($H369))</f>
        <v/>
      </c>
      <c r="J369" s="26"/>
      <c r="K369" s="28"/>
      <c r="L369" s="26"/>
      <c r="M369" s="26"/>
      <c r="N369" s="28"/>
      <c r="O369" s="28"/>
    </row>
    <row r="370" customFormat="false" ht="15" hidden="false" customHeight="false" outlineLevel="0" collapsed="false">
      <c r="A370" s="26"/>
      <c r="B370" s="29"/>
      <c r="C370" s="26"/>
      <c r="D370" s="27" t="str">
        <f aca="false">IF($C370="","",IFERROR(INDEX(Invoices!$C$6:$C$505,MATCH($C370,Invoices!$A$6:$A$505,0)),"Invoice not found"))</f>
        <v/>
      </c>
      <c r="E370" s="35" t="str">
        <f aca="false">IF($C370="","",IFERROR(INDEX(Invoices!$L$6:$L$505,MATCH($C370,Invoices!$A$6:$A$505,0)),""))</f>
        <v/>
      </c>
      <c r="F370" s="32"/>
      <c r="G370" s="32"/>
      <c r="H370" s="32"/>
      <c r="I370" s="34" t="str">
        <f aca="false">IF($A370="","",N($F370)+N($G370)+N($H370))</f>
        <v/>
      </c>
      <c r="J370" s="26"/>
      <c r="K370" s="28"/>
      <c r="L370" s="26"/>
      <c r="M370" s="26"/>
      <c r="N370" s="28"/>
      <c r="O370" s="28"/>
    </row>
    <row r="371" customFormat="false" ht="15" hidden="false" customHeight="false" outlineLevel="0" collapsed="false">
      <c r="A371" s="26"/>
      <c r="B371" s="29"/>
      <c r="C371" s="26"/>
      <c r="D371" s="27" t="str">
        <f aca="false">IF($C371="","",IFERROR(INDEX(Invoices!$C$6:$C$505,MATCH($C371,Invoices!$A$6:$A$505,0)),"Invoice not found"))</f>
        <v/>
      </c>
      <c r="E371" s="35" t="str">
        <f aca="false">IF($C371="","",IFERROR(INDEX(Invoices!$L$6:$L$505,MATCH($C371,Invoices!$A$6:$A$505,0)),""))</f>
        <v/>
      </c>
      <c r="F371" s="32"/>
      <c r="G371" s="32"/>
      <c r="H371" s="32"/>
      <c r="I371" s="34" t="str">
        <f aca="false">IF($A371="","",N($F371)+N($G371)+N($H371))</f>
        <v/>
      </c>
      <c r="J371" s="26"/>
      <c r="K371" s="28"/>
      <c r="L371" s="26"/>
      <c r="M371" s="26"/>
      <c r="N371" s="28"/>
      <c r="O371" s="28"/>
    </row>
    <row r="372" customFormat="false" ht="15" hidden="false" customHeight="false" outlineLevel="0" collapsed="false">
      <c r="A372" s="26"/>
      <c r="B372" s="29"/>
      <c r="C372" s="26"/>
      <c r="D372" s="27" t="str">
        <f aca="false">IF($C372="","",IFERROR(INDEX(Invoices!$C$6:$C$505,MATCH($C372,Invoices!$A$6:$A$505,0)),"Invoice not found"))</f>
        <v/>
      </c>
      <c r="E372" s="35" t="str">
        <f aca="false">IF($C372="","",IFERROR(INDEX(Invoices!$L$6:$L$505,MATCH($C372,Invoices!$A$6:$A$505,0)),""))</f>
        <v/>
      </c>
      <c r="F372" s="32"/>
      <c r="G372" s="32"/>
      <c r="H372" s="32"/>
      <c r="I372" s="34" t="str">
        <f aca="false">IF($A372="","",N($F372)+N($G372)+N($H372))</f>
        <v/>
      </c>
      <c r="J372" s="26"/>
      <c r="K372" s="28"/>
      <c r="L372" s="26"/>
      <c r="M372" s="26"/>
      <c r="N372" s="28"/>
      <c r="O372" s="28"/>
    </row>
    <row r="373" customFormat="false" ht="15" hidden="false" customHeight="false" outlineLevel="0" collapsed="false">
      <c r="A373" s="26"/>
      <c r="B373" s="29"/>
      <c r="C373" s="26"/>
      <c r="D373" s="27" t="str">
        <f aca="false">IF($C373="","",IFERROR(INDEX(Invoices!$C$6:$C$505,MATCH($C373,Invoices!$A$6:$A$505,0)),"Invoice not found"))</f>
        <v/>
      </c>
      <c r="E373" s="35" t="str">
        <f aca="false">IF($C373="","",IFERROR(INDEX(Invoices!$L$6:$L$505,MATCH($C373,Invoices!$A$6:$A$505,0)),""))</f>
        <v/>
      </c>
      <c r="F373" s="32"/>
      <c r="G373" s="32"/>
      <c r="H373" s="32"/>
      <c r="I373" s="34" t="str">
        <f aca="false">IF($A373="","",N($F373)+N($G373)+N($H373))</f>
        <v/>
      </c>
      <c r="J373" s="26"/>
      <c r="K373" s="28"/>
      <c r="L373" s="26"/>
      <c r="M373" s="26"/>
      <c r="N373" s="28"/>
      <c r="O373" s="28"/>
    </row>
    <row r="374" customFormat="false" ht="15" hidden="false" customHeight="false" outlineLevel="0" collapsed="false">
      <c r="A374" s="26"/>
      <c r="B374" s="29"/>
      <c r="C374" s="26"/>
      <c r="D374" s="27" t="str">
        <f aca="false">IF($C374="","",IFERROR(INDEX(Invoices!$C$6:$C$505,MATCH($C374,Invoices!$A$6:$A$505,0)),"Invoice not found"))</f>
        <v/>
      </c>
      <c r="E374" s="35" t="str">
        <f aca="false">IF($C374="","",IFERROR(INDEX(Invoices!$L$6:$L$505,MATCH($C374,Invoices!$A$6:$A$505,0)),""))</f>
        <v/>
      </c>
      <c r="F374" s="32"/>
      <c r="G374" s="32"/>
      <c r="H374" s="32"/>
      <c r="I374" s="34" t="str">
        <f aca="false">IF($A374="","",N($F374)+N($G374)+N($H374))</f>
        <v/>
      </c>
      <c r="J374" s="26"/>
      <c r="K374" s="28"/>
      <c r="L374" s="26"/>
      <c r="M374" s="26"/>
      <c r="N374" s="28"/>
      <c r="O374" s="28"/>
    </row>
    <row r="375" customFormat="false" ht="15" hidden="false" customHeight="false" outlineLevel="0" collapsed="false">
      <c r="A375" s="26"/>
      <c r="B375" s="29"/>
      <c r="C375" s="26"/>
      <c r="D375" s="27" t="str">
        <f aca="false">IF($C375="","",IFERROR(INDEX(Invoices!$C$6:$C$505,MATCH($C375,Invoices!$A$6:$A$505,0)),"Invoice not found"))</f>
        <v/>
      </c>
      <c r="E375" s="35" t="str">
        <f aca="false">IF($C375="","",IFERROR(INDEX(Invoices!$L$6:$L$505,MATCH($C375,Invoices!$A$6:$A$505,0)),""))</f>
        <v/>
      </c>
      <c r="F375" s="32"/>
      <c r="G375" s="32"/>
      <c r="H375" s="32"/>
      <c r="I375" s="34" t="str">
        <f aca="false">IF($A375="","",N($F375)+N($G375)+N($H375))</f>
        <v/>
      </c>
      <c r="J375" s="26"/>
      <c r="K375" s="28"/>
      <c r="L375" s="26"/>
      <c r="M375" s="26"/>
      <c r="N375" s="28"/>
      <c r="O375" s="28"/>
    </row>
    <row r="376" customFormat="false" ht="15" hidden="false" customHeight="false" outlineLevel="0" collapsed="false">
      <c r="A376" s="26"/>
      <c r="B376" s="29"/>
      <c r="C376" s="26"/>
      <c r="D376" s="27" t="str">
        <f aca="false">IF($C376="","",IFERROR(INDEX(Invoices!$C$6:$C$505,MATCH($C376,Invoices!$A$6:$A$505,0)),"Invoice not found"))</f>
        <v/>
      </c>
      <c r="E376" s="35" t="str">
        <f aca="false">IF($C376="","",IFERROR(INDEX(Invoices!$L$6:$L$505,MATCH($C376,Invoices!$A$6:$A$505,0)),""))</f>
        <v/>
      </c>
      <c r="F376" s="32"/>
      <c r="G376" s="32"/>
      <c r="H376" s="32"/>
      <c r="I376" s="34" t="str">
        <f aca="false">IF($A376="","",N($F376)+N($G376)+N($H376))</f>
        <v/>
      </c>
      <c r="J376" s="26"/>
      <c r="K376" s="28"/>
      <c r="L376" s="26"/>
      <c r="M376" s="26"/>
      <c r="N376" s="28"/>
      <c r="O376" s="28"/>
    </row>
    <row r="377" customFormat="false" ht="15" hidden="false" customHeight="false" outlineLevel="0" collapsed="false">
      <c r="A377" s="26"/>
      <c r="B377" s="29"/>
      <c r="C377" s="26"/>
      <c r="D377" s="27" t="str">
        <f aca="false">IF($C377="","",IFERROR(INDEX(Invoices!$C$6:$C$505,MATCH($C377,Invoices!$A$6:$A$505,0)),"Invoice not found"))</f>
        <v/>
      </c>
      <c r="E377" s="35" t="str">
        <f aca="false">IF($C377="","",IFERROR(INDEX(Invoices!$L$6:$L$505,MATCH($C377,Invoices!$A$6:$A$505,0)),""))</f>
        <v/>
      </c>
      <c r="F377" s="32"/>
      <c r="G377" s="32"/>
      <c r="H377" s="32"/>
      <c r="I377" s="34" t="str">
        <f aca="false">IF($A377="","",N($F377)+N($G377)+N($H377))</f>
        <v/>
      </c>
      <c r="J377" s="26"/>
      <c r="K377" s="28"/>
      <c r="L377" s="26"/>
      <c r="M377" s="26"/>
      <c r="N377" s="28"/>
      <c r="O377" s="28"/>
    </row>
    <row r="378" customFormat="false" ht="15" hidden="false" customHeight="false" outlineLevel="0" collapsed="false">
      <c r="A378" s="26"/>
      <c r="B378" s="29"/>
      <c r="C378" s="26"/>
      <c r="D378" s="27" t="str">
        <f aca="false">IF($C378="","",IFERROR(INDEX(Invoices!$C$6:$C$505,MATCH($C378,Invoices!$A$6:$A$505,0)),"Invoice not found"))</f>
        <v/>
      </c>
      <c r="E378" s="35" t="str">
        <f aca="false">IF($C378="","",IFERROR(INDEX(Invoices!$L$6:$L$505,MATCH($C378,Invoices!$A$6:$A$505,0)),""))</f>
        <v/>
      </c>
      <c r="F378" s="32"/>
      <c r="G378" s="32"/>
      <c r="H378" s="32"/>
      <c r="I378" s="34" t="str">
        <f aca="false">IF($A378="","",N($F378)+N($G378)+N($H378))</f>
        <v/>
      </c>
      <c r="J378" s="26"/>
      <c r="K378" s="28"/>
      <c r="L378" s="26"/>
      <c r="M378" s="26"/>
      <c r="N378" s="28"/>
      <c r="O378" s="28"/>
    </row>
    <row r="379" customFormat="false" ht="15" hidden="false" customHeight="false" outlineLevel="0" collapsed="false">
      <c r="A379" s="26"/>
      <c r="B379" s="29"/>
      <c r="C379" s="26"/>
      <c r="D379" s="27" t="str">
        <f aca="false">IF($C379="","",IFERROR(INDEX(Invoices!$C$6:$C$505,MATCH($C379,Invoices!$A$6:$A$505,0)),"Invoice not found"))</f>
        <v/>
      </c>
      <c r="E379" s="35" t="str">
        <f aca="false">IF($C379="","",IFERROR(INDEX(Invoices!$L$6:$L$505,MATCH($C379,Invoices!$A$6:$A$505,0)),""))</f>
        <v/>
      </c>
      <c r="F379" s="32"/>
      <c r="G379" s="32"/>
      <c r="H379" s="32"/>
      <c r="I379" s="34" t="str">
        <f aca="false">IF($A379="","",N($F379)+N($G379)+N($H379))</f>
        <v/>
      </c>
      <c r="J379" s="26"/>
      <c r="K379" s="28"/>
      <c r="L379" s="26"/>
      <c r="M379" s="26"/>
      <c r="N379" s="28"/>
      <c r="O379" s="28"/>
    </row>
    <row r="380" customFormat="false" ht="15" hidden="false" customHeight="false" outlineLevel="0" collapsed="false">
      <c r="A380" s="26"/>
      <c r="B380" s="29"/>
      <c r="C380" s="26"/>
      <c r="D380" s="27" t="str">
        <f aca="false">IF($C380="","",IFERROR(INDEX(Invoices!$C$6:$C$505,MATCH($C380,Invoices!$A$6:$A$505,0)),"Invoice not found"))</f>
        <v/>
      </c>
      <c r="E380" s="35" t="str">
        <f aca="false">IF($C380="","",IFERROR(INDEX(Invoices!$L$6:$L$505,MATCH($C380,Invoices!$A$6:$A$505,0)),""))</f>
        <v/>
      </c>
      <c r="F380" s="32"/>
      <c r="G380" s="32"/>
      <c r="H380" s="32"/>
      <c r="I380" s="34" t="str">
        <f aca="false">IF($A380="","",N($F380)+N($G380)+N($H380))</f>
        <v/>
      </c>
      <c r="J380" s="26"/>
      <c r="K380" s="28"/>
      <c r="L380" s="26"/>
      <c r="M380" s="26"/>
      <c r="N380" s="28"/>
      <c r="O380" s="28"/>
    </row>
    <row r="381" customFormat="false" ht="15" hidden="false" customHeight="false" outlineLevel="0" collapsed="false">
      <c r="A381" s="26"/>
      <c r="B381" s="29"/>
      <c r="C381" s="26"/>
      <c r="D381" s="27" t="str">
        <f aca="false">IF($C381="","",IFERROR(INDEX(Invoices!$C$6:$C$505,MATCH($C381,Invoices!$A$6:$A$505,0)),"Invoice not found"))</f>
        <v/>
      </c>
      <c r="E381" s="35" t="str">
        <f aca="false">IF($C381="","",IFERROR(INDEX(Invoices!$L$6:$L$505,MATCH($C381,Invoices!$A$6:$A$505,0)),""))</f>
        <v/>
      </c>
      <c r="F381" s="32"/>
      <c r="G381" s="32"/>
      <c r="H381" s="32"/>
      <c r="I381" s="34" t="str">
        <f aca="false">IF($A381="","",N($F381)+N($G381)+N($H381))</f>
        <v/>
      </c>
      <c r="J381" s="26"/>
      <c r="K381" s="28"/>
      <c r="L381" s="26"/>
      <c r="M381" s="26"/>
      <c r="N381" s="28"/>
      <c r="O381" s="28"/>
    </row>
    <row r="382" customFormat="false" ht="15" hidden="false" customHeight="false" outlineLevel="0" collapsed="false">
      <c r="A382" s="26"/>
      <c r="B382" s="29"/>
      <c r="C382" s="26"/>
      <c r="D382" s="27" t="str">
        <f aca="false">IF($C382="","",IFERROR(INDEX(Invoices!$C$6:$C$505,MATCH($C382,Invoices!$A$6:$A$505,0)),"Invoice not found"))</f>
        <v/>
      </c>
      <c r="E382" s="35" t="str">
        <f aca="false">IF($C382="","",IFERROR(INDEX(Invoices!$L$6:$L$505,MATCH($C382,Invoices!$A$6:$A$505,0)),""))</f>
        <v/>
      </c>
      <c r="F382" s="32"/>
      <c r="G382" s="32"/>
      <c r="H382" s="32"/>
      <c r="I382" s="34" t="str">
        <f aca="false">IF($A382="","",N($F382)+N($G382)+N($H382))</f>
        <v/>
      </c>
      <c r="J382" s="26"/>
      <c r="K382" s="28"/>
      <c r="L382" s="26"/>
      <c r="M382" s="26"/>
      <c r="N382" s="28"/>
      <c r="O382" s="28"/>
    </row>
    <row r="383" customFormat="false" ht="15" hidden="false" customHeight="false" outlineLevel="0" collapsed="false">
      <c r="A383" s="26"/>
      <c r="B383" s="29"/>
      <c r="C383" s="26"/>
      <c r="D383" s="27" t="str">
        <f aca="false">IF($C383="","",IFERROR(INDEX(Invoices!$C$6:$C$505,MATCH($C383,Invoices!$A$6:$A$505,0)),"Invoice not found"))</f>
        <v/>
      </c>
      <c r="E383" s="35" t="str">
        <f aca="false">IF($C383="","",IFERROR(INDEX(Invoices!$L$6:$L$505,MATCH($C383,Invoices!$A$6:$A$505,0)),""))</f>
        <v/>
      </c>
      <c r="F383" s="32"/>
      <c r="G383" s="32"/>
      <c r="H383" s="32"/>
      <c r="I383" s="34" t="str">
        <f aca="false">IF($A383="","",N($F383)+N($G383)+N($H383))</f>
        <v/>
      </c>
      <c r="J383" s="26"/>
      <c r="K383" s="28"/>
      <c r="L383" s="26"/>
      <c r="M383" s="26"/>
      <c r="N383" s="28"/>
      <c r="O383" s="28"/>
    </row>
    <row r="384" customFormat="false" ht="15" hidden="false" customHeight="false" outlineLevel="0" collapsed="false">
      <c r="A384" s="26"/>
      <c r="B384" s="29"/>
      <c r="C384" s="26"/>
      <c r="D384" s="27" t="str">
        <f aca="false">IF($C384="","",IFERROR(INDEX(Invoices!$C$6:$C$505,MATCH($C384,Invoices!$A$6:$A$505,0)),"Invoice not found"))</f>
        <v/>
      </c>
      <c r="E384" s="35" t="str">
        <f aca="false">IF($C384="","",IFERROR(INDEX(Invoices!$L$6:$L$505,MATCH($C384,Invoices!$A$6:$A$505,0)),""))</f>
        <v/>
      </c>
      <c r="F384" s="32"/>
      <c r="G384" s="32"/>
      <c r="H384" s="32"/>
      <c r="I384" s="34" t="str">
        <f aca="false">IF($A384="","",N($F384)+N($G384)+N($H384))</f>
        <v/>
      </c>
      <c r="J384" s="26"/>
      <c r="K384" s="28"/>
      <c r="L384" s="26"/>
      <c r="M384" s="26"/>
      <c r="N384" s="28"/>
      <c r="O384" s="28"/>
    </row>
    <row r="385" customFormat="false" ht="15" hidden="false" customHeight="false" outlineLevel="0" collapsed="false">
      <c r="A385" s="26"/>
      <c r="B385" s="29"/>
      <c r="C385" s="26"/>
      <c r="D385" s="27" t="str">
        <f aca="false">IF($C385="","",IFERROR(INDEX(Invoices!$C$6:$C$505,MATCH($C385,Invoices!$A$6:$A$505,0)),"Invoice not found"))</f>
        <v/>
      </c>
      <c r="E385" s="35" t="str">
        <f aca="false">IF($C385="","",IFERROR(INDEX(Invoices!$L$6:$L$505,MATCH($C385,Invoices!$A$6:$A$505,0)),""))</f>
        <v/>
      </c>
      <c r="F385" s="32"/>
      <c r="G385" s="32"/>
      <c r="H385" s="32"/>
      <c r="I385" s="34" t="str">
        <f aca="false">IF($A385="","",N($F385)+N($G385)+N($H385))</f>
        <v/>
      </c>
      <c r="J385" s="26"/>
      <c r="K385" s="28"/>
      <c r="L385" s="26"/>
      <c r="M385" s="26"/>
      <c r="N385" s="28"/>
      <c r="O385" s="28"/>
    </row>
    <row r="386" customFormat="false" ht="15" hidden="false" customHeight="false" outlineLevel="0" collapsed="false">
      <c r="A386" s="26"/>
      <c r="B386" s="29"/>
      <c r="C386" s="26"/>
      <c r="D386" s="27" t="str">
        <f aca="false">IF($C386="","",IFERROR(INDEX(Invoices!$C$6:$C$505,MATCH($C386,Invoices!$A$6:$A$505,0)),"Invoice not found"))</f>
        <v/>
      </c>
      <c r="E386" s="35" t="str">
        <f aca="false">IF($C386="","",IFERROR(INDEX(Invoices!$L$6:$L$505,MATCH($C386,Invoices!$A$6:$A$505,0)),""))</f>
        <v/>
      </c>
      <c r="F386" s="32"/>
      <c r="G386" s="32"/>
      <c r="H386" s="32"/>
      <c r="I386" s="34" t="str">
        <f aca="false">IF($A386="","",N($F386)+N($G386)+N($H386))</f>
        <v/>
      </c>
      <c r="J386" s="26"/>
      <c r="K386" s="28"/>
      <c r="L386" s="26"/>
      <c r="M386" s="26"/>
      <c r="N386" s="28"/>
      <c r="O386" s="28"/>
    </row>
    <row r="387" customFormat="false" ht="15" hidden="false" customHeight="false" outlineLevel="0" collapsed="false">
      <c r="A387" s="26"/>
      <c r="B387" s="29"/>
      <c r="C387" s="26"/>
      <c r="D387" s="27" t="str">
        <f aca="false">IF($C387="","",IFERROR(INDEX(Invoices!$C$6:$C$505,MATCH($C387,Invoices!$A$6:$A$505,0)),"Invoice not found"))</f>
        <v/>
      </c>
      <c r="E387" s="35" t="str">
        <f aca="false">IF($C387="","",IFERROR(INDEX(Invoices!$L$6:$L$505,MATCH($C387,Invoices!$A$6:$A$505,0)),""))</f>
        <v/>
      </c>
      <c r="F387" s="32"/>
      <c r="G387" s="32"/>
      <c r="H387" s="32"/>
      <c r="I387" s="34" t="str">
        <f aca="false">IF($A387="","",N($F387)+N($G387)+N($H387))</f>
        <v/>
      </c>
      <c r="J387" s="26"/>
      <c r="K387" s="28"/>
      <c r="L387" s="26"/>
      <c r="M387" s="26"/>
      <c r="N387" s="28"/>
      <c r="O387" s="28"/>
    </row>
    <row r="388" customFormat="false" ht="15" hidden="false" customHeight="false" outlineLevel="0" collapsed="false">
      <c r="A388" s="26"/>
      <c r="B388" s="29"/>
      <c r="C388" s="26"/>
      <c r="D388" s="27" t="str">
        <f aca="false">IF($C388="","",IFERROR(INDEX(Invoices!$C$6:$C$505,MATCH($C388,Invoices!$A$6:$A$505,0)),"Invoice not found"))</f>
        <v/>
      </c>
      <c r="E388" s="35" t="str">
        <f aca="false">IF($C388="","",IFERROR(INDEX(Invoices!$L$6:$L$505,MATCH($C388,Invoices!$A$6:$A$505,0)),""))</f>
        <v/>
      </c>
      <c r="F388" s="32"/>
      <c r="G388" s="32"/>
      <c r="H388" s="32"/>
      <c r="I388" s="34" t="str">
        <f aca="false">IF($A388="","",N($F388)+N($G388)+N($H388))</f>
        <v/>
      </c>
      <c r="J388" s="26"/>
      <c r="K388" s="28"/>
      <c r="L388" s="26"/>
      <c r="M388" s="26"/>
      <c r="N388" s="28"/>
      <c r="O388" s="28"/>
    </row>
    <row r="389" customFormat="false" ht="15" hidden="false" customHeight="false" outlineLevel="0" collapsed="false">
      <c r="A389" s="26"/>
      <c r="B389" s="29"/>
      <c r="C389" s="26"/>
      <c r="D389" s="27" t="str">
        <f aca="false">IF($C389="","",IFERROR(INDEX(Invoices!$C$6:$C$505,MATCH($C389,Invoices!$A$6:$A$505,0)),"Invoice not found"))</f>
        <v/>
      </c>
      <c r="E389" s="35" t="str">
        <f aca="false">IF($C389="","",IFERROR(INDEX(Invoices!$L$6:$L$505,MATCH($C389,Invoices!$A$6:$A$505,0)),""))</f>
        <v/>
      </c>
      <c r="F389" s="32"/>
      <c r="G389" s="32"/>
      <c r="H389" s="32"/>
      <c r="I389" s="34" t="str">
        <f aca="false">IF($A389="","",N($F389)+N($G389)+N($H389))</f>
        <v/>
      </c>
      <c r="J389" s="26"/>
      <c r="K389" s="28"/>
      <c r="L389" s="26"/>
      <c r="M389" s="26"/>
      <c r="N389" s="28"/>
      <c r="O389" s="28"/>
    </row>
    <row r="390" customFormat="false" ht="15" hidden="false" customHeight="false" outlineLevel="0" collapsed="false">
      <c r="A390" s="26"/>
      <c r="B390" s="29"/>
      <c r="C390" s="26"/>
      <c r="D390" s="27" t="str">
        <f aca="false">IF($C390="","",IFERROR(INDEX(Invoices!$C$6:$C$505,MATCH($C390,Invoices!$A$6:$A$505,0)),"Invoice not found"))</f>
        <v/>
      </c>
      <c r="E390" s="35" t="str">
        <f aca="false">IF($C390="","",IFERROR(INDEX(Invoices!$L$6:$L$505,MATCH($C390,Invoices!$A$6:$A$505,0)),""))</f>
        <v/>
      </c>
      <c r="F390" s="32"/>
      <c r="G390" s="32"/>
      <c r="H390" s="32"/>
      <c r="I390" s="34" t="str">
        <f aca="false">IF($A390="","",N($F390)+N($G390)+N($H390))</f>
        <v/>
      </c>
      <c r="J390" s="26"/>
      <c r="K390" s="28"/>
      <c r="L390" s="26"/>
      <c r="M390" s="26"/>
      <c r="N390" s="28"/>
      <c r="O390" s="28"/>
    </row>
    <row r="391" customFormat="false" ht="15" hidden="false" customHeight="false" outlineLevel="0" collapsed="false">
      <c r="A391" s="26"/>
      <c r="B391" s="29"/>
      <c r="C391" s="26"/>
      <c r="D391" s="27" t="str">
        <f aca="false">IF($C391="","",IFERROR(INDEX(Invoices!$C$6:$C$505,MATCH($C391,Invoices!$A$6:$A$505,0)),"Invoice not found"))</f>
        <v/>
      </c>
      <c r="E391" s="35" t="str">
        <f aca="false">IF($C391="","",IFERROR(INDEX(Invoices!$L$6:$L$505,MATCH($C391,Invoices!$A$6:$A$505,0)),""))</f>
        <v/>
      </c>
      <c r="F391" s="32"/>
      <c r="G391" s="32"/>
      <c r="H391" s="32"/>
      <c r="I391" s="34" t="str">
        <f aca="false">IF($A391="","",N($F391)+N($G391)+N($H391))</f>
        <v/>
      </c>
      <c r="J391" s="26"/>
      <c r="K391" s="28"/>
      <c r="L391" s="26"/>
      <c r="M391" s="26"/>
      <c r="N391" s="28"/>
      <c r="O391" s="28"/>
    </row>
    <row r="392" customFormat="false" ht="15" hidden="false" customHeight="false" outlineLevel="0" collapsed="false">
      <c r="A392" s="26"/>
      <c r="B392" s="29"/>
      <c r="C392" s="26"/>
      <c r="D392" s="27" t="str">
        <f aca="false">IF($C392="","",IFERROR(INDEX(Invoices!$C$6:$C$505,MATCH($C392,Invoices!$A$6:$A$505,0)),"Invoice not found"))</f>
        <v/>
      </c>
      <c r="E392" s="35" t="str">
        <f aca="false">IF($C392="","",IFERROR(INDEX(Invoices!$L$6:$L$505,MATCH($C392,Invoices!$A$6:$A$505,0)),""))</f>
        <v/>
      </c>
      <c r="F392" s="32"/>
      <c r="G392" s="32"/>
      <c r="H392" s="32"/>
      <c r="I392" s="34" t="str">
        <f aca="false">IF($A392="","",N($F392)+N($G392)+N($H392))</f>
        <v/>
      </c>
      <c r="J392" s="26"/>
      <c r="K392" s="28"/>
      <c r="L392" s="26"/>
      <c r="M392" s="26"/>
      <c r="N392" s="28"/>
      <c r="O392" s="28"/>
    </row>
    <row r="393" customFormat="false" ht="15" hidden="false" customHeight="false" outlineLevel="0" collapsed="false">
      <c r="A393" s="26"/>
      <c r="B393" s="29"/>
      <c r="C393" s="26"/>
      <c r="D393" s="27" t="str">
        <f aca="false">IF($C393="","",IFERROR(INDEX(Invoices!$C$6:$C$505,MATCH($C393,Invoices!$A$6:$A$505,0)),"Invoice not found"))</f>
        <v/>
      </c>
      <c r="E393" s="35" t="str">
        <f aca="false">IF($C393="","",IFERROR(INDEX(Invoices!$L$6:$L$505,MATCH($C393,Invoices!$A$6:$A$505,0)),""))</f>
        <v/>
      </c>
      <c r="F393" s="32"/>
      <c r="G393" s="32"/>
      <c r="H393" s="32"/>
      <c r="I393" s="34" t="str">
        <f aca="false">IF($A393="","",N($F393)+N($G393)+N($H393))</f>
        <v/>
      </c>
      <c r="J393" s="26"/>
      <c r="K393" s="28"/>
      <c r="L393" s="26"/>
      <c r="M393" s="26"/>
      <c r="N393" s="28"/>
      <c r="O393" s="28"/>
    </row>
    <row r="394" customFormat="false" ht="15" hidden="false" customHeight="false" outlineLevel="0" collapsed="false">
      <c r="A394" s="26"/>
      <c r="B394" s="29"/>
      <c r="C394" s="26"/>
      <c r="D394" s="27" t="str">
        <f aca="false">IF($C394="","",IFERROR(INDEX(Invoices!$C$6:$C$505,MATCH($C394,Invoices!$A$6:$A$505,0)),"Invoice not found"))</f>
        <v/>
      </c>
      <c r="E394" s="35" t="str">
        <f aca="false">IF($C394="","",IFERROR(INDEX(Invoices!$L$6:$L$505,MATCH($C394,Invoices!$A$6:$A$505,0)),""))</f>
        <v/>
      </c>
      <c r="F394" s="32"/>
      <c r="G394" s="32"/>
      <c r="H394" s="32"/>
      <c r="I394" s="34" t="str">
        <f aca="false">IF($A394="","",N($F394)+N($G394)+N($H394))</f>
        <v/>
      </c>
      <c r="J394" s="26"/>
      <c r="K394" s="28"/>
      <c r="L394" s="26"/>
      <c r="M394" s="26"/>
      <c r="N394" s="28"/>
      <c r="O394" s="28"/>
    </row>
    <row r="395" customFormat="false" ht="15" hidden="false" customHeight="false" outlineLevel="0" collapsed="false">
      <c r="A395" s="26"/>
      <c r="B395" s="29"/>
      <c r="C395" s="26"/>
      <c r="D395" s="27" t="str">
        <f aca="false">IF($C395="","",IFERROR(INDEX(Invoices!$C$6:$C$505,MATCH($C395,Invoices!$A$6:$A$505,0)),"Invoice not found"))</f>
        <v/>
      </c>
      <c r="E395" s="35" t="str">
        <f aca="false">IF($C395="","",IFERROR(INDEX(Invoices!$L$6:$L$505,MATCH($C395,Invoices!$A$6:$A$505,0)),""))</f>
        <v/>
      </c>
      <c r="F395" s="32"/>
      <c r="G395" s="32"/>
      <c r="H395" s="32"/>
      <c r="I395" s="34" t="str">
        <f aca="false">IF($A395="","",N($F395)+N($G395)+N($H395))</f>
        <v/>
      </c>
      <c r="J395" s="26"/>
      <c r="K395" s="28"/>
      <c r="L395" s="26"/>
      <c r="M395" s="26"/>
      <c r="N395" s="28"/>
      <c r="O395" s="28"/>
    </row>
    <row r="396" customFormat="false" ht="15" hidden="false" customHeight="false" outlineLevel="0" collapsed="false">
      <c r="A396" s="26"/>
      <c r="B396" s="29"/>
      <c r="C396" s="26"/>
      <c r="D396" s="27" t="str">
        <f aca="false">IF($C396="","",IFERROR(INDEX(Invoices!$C$6:$C$505,MATCH($C396,Invoices!$A$6:$A$505,0)),"Invoice not found"))</f>
        <v/>
      </c>
      <c r="E396" s="35" t="str">
        <f aca="false">IF($C396="","",IFERROR(INDEX(Invoices!$L$6:$L$505,MATCH($C396,Invoices!$A$6:$A$505,0)),""))</f>
        <v/>
      </c>
      <c r="F396" s="32"/>
      <c r="G396" s="32"/>
      <c r="H396" s="32"/>
      <c r="I396" s="34" t="str">
        <f aca="false">IF($A396="","",N($F396)+N($G396)+N($H396))</f>
        <v/>
      </c>
      <c r="J396" s="26"/>
      <c r="K396" s="28"/>
      <c r="L396" s="26"/>
      <c r="M396" s="26"/>
      <c r="N396" s="28"/>
      <c r="O396" s="28"/>
    </row>
    <row r="397" customFormat="false" ht="15" hidden="false" customHeight="false" outlineLevel="0" collapsed="false">
      <c r="A397" s="26"/>
      <c r="B397" s="29"/>
      <c r="C397" s="26"/>
      <c r="D397" s="27" t="str">
        <f aca="false">IF($C397="","",IFERROR(INDEX(Invoices!$C$6:$C$505,MATCH($C397,Invoices!$A$6:$A$505,0)),"Invoice not found"))</f>
        <v/>
      </c>
      <c r="E397" s="35" t="str">
        <f aca="false">IF($C397="","",IFERROR(INDEX(Invoices!$L$6:$L$505,MATCH($C397,Invoices!$A$6:$A$505,0)),""))</f>
        <v/>
      </c>
      <c r="F397" s="32"/>
      <c r="G397" s="32"/>
      <c r="H397" s="32"/>
      <c r="I397" s="34" t="str">
        <f aca="false">IF($A397="","",N($F397)+N($G397)+N($H397))</f>
        <v/>
      </c>
      <c r="J397" s="26"/>
      <c r="K397" s="28"/>
      <c r="L397" s="26"/>
      <c r="M397" s="26"/>
      <c r="N397" s="28"/>
      <c r="O397" s="28"/>
    </row>
    <row r="398" customFormat="false" ht="15" hidden="false" customHeight="false" outlineLevel="0" collapsed="false">
      <c r="A398" s="26"/>
      <c r="B398" s="29"/>
      <c r="C398" s="26"/>
      <c r="D398" s="27" t="str">
        <f aca="false">IF($C398="","",IFERROR(INDEX(Invoices!$C$6:$C$505,MATCH($C398,Invoices!$A$6:$A$505,0)),"Invoice not found"))</f>
        <v/>
      </c>
      <c r="E398" s="35" t="str">
        <f aca="false">IF($C398="","",IFERROR(INDEX(Invoices!$L$6:$L$505,MATCH($C398,Invoices!$A$6:$A$505,0)),""))</f>
        <v/>
      </c>
      <c r="F398" s="32"/>
      <c r="G398" s="32"/>
      <c r="H398" s="32"/>
      <c r="I398" s="34" t="str">
        <f aca="false">IF($A398="","",N($F398)+N($G398)+N($H398))</f>
        <v/>
      </c>
      <c r="J398" s="26"/>
      <c r="K398" s="28"/>
      <c r="L398" s="26"/>
      <c r="M398" s="26"/>
      <c r="N398" s="28"/>
      <c r="O398" s="28"/>
    </row>
    <row r="399" customFormat="false" ht="15" hidden="false" customHeight="false" outlineLevel="0" collapsed="false">
      <c r="A399" s="26"/>
      <c r="B399" s="29"/>
      <c r="C399" s="26"/>
      <c r="D399" s="27" t="str">
        <f aca="false">IF($C399="","",IFERROR(INDEX(Invoices!$C$6:$C$505,MATCH($C399,Invoices!$A$6:$A$505,0)),"Invoice not found"))</f>
        <v/>
      </c>
      <c r="E399" s="35" t="str">
        <f aca="false">IF($C399="","",IFERROR(INDEX(Invoices!$L$6:$L$505,MATCH($C399,Invoices!$A$6:$A$505,0)),""))</f>
        <v/>
      </c>
      <c r="F399" s="32"/>
      <c r="G399" s="32"/>
      <c r="H399" s="32"/>
      <c r="I399" s="34" t="str">
        <f aca="false">IF($A399="","",N($F399)+N($G399)+N($H399))</f>
        <v/>
      </c>
      <c r="J399" s="26"/>
      <c r="K399" s="28"/>
      <c r="L399" s="26"/>
      <c r="M399" s="26"/>
      <c r="N399" s="28"/>
      <c r="O399" s="28"/>
    </row>
    <row r="400" customFormat="false" ht="15" hidden="false" customHeight="false" outlineLevel="0" collapsed="false">
      <c r="A400" s="26"/>
      <c r="B400" s="29"/>
      <c r="C400" s="26"/>
      <c r="D400" s="27" t="str">
        <f aca="false">IF($C400="","",IFERROR(INDEX(Invoices!$C$6:$C$505,MATCH($C400,Invoices!$A$6:$A$505,0)),"Invoice not found"))</f>
        <v/>
      </c>
      <c r="E400" s="35" t="str">
        <f aca="false">IF($C400="","",IFERROR(INDEX(Invoices!$L$6:$L$505,MATCH($C400,Invoices!$A$6:$A$505,0)),""))</f>
        <v/>
      </c>
      <c r="F400" s="32"/>
      <c r="G400" s="32"/>
      <c r="H400" s="32"/>
      <c r="I400" s="34" t="str">
        <f aca="false">IF($A400="","",N($F400)+N($G400)+N($H400))</f>
        <v/>
      </c>
      <c r="J400" s="26"/>
      <c r="K400" s="28"/>
      <c r="L400" s="26"/>
      <c r="M400" s="26"/>
      <c r="N400" s="28"/>
      <c r="O400" s="28"/>
    </row>
    <row r="401" customFormat="false" ht="15" hidden="false" customHeight="false" outlineLevel="0" collapsed="false">
      <c r="A401" s="26"/>
      <c r="B401" s="29"/>
      <c r="C401" s="26"/>
      <c r="D401" s="27" t="str">
        <f aca="false">IF($C401="","",IFERROR(INDEX(Invoices!$C$6:$C$505,MATCH($C401,Invoices!$A$6:$A$505,0)),"Invoice not found"))</f>
        <v/>
      </c>
      <c r="E401" s="35" t="str">
        <f aca="false">IF($C401="","",IFERROR(INDEX(Invoices!$L$6:$L$505,MATCH($C401,Invoices!$A$6:$A$505,0)),""))</f>
        <v/>
      </c>
      <c r="F401" s="32"/>
      <c r="G401" s="32"/>
      <c r="H401" s="32"/>
      <c r="I401" s="34" t="str">
        <f aca="false">IF($A401="","",N($F401)+N($G401)+N($H401))</f>
        <v/>
      </c>
      <c r="J401" s="26"/>
      <c r="K401" s="28"/>
      <c r="L401" s="26"/>
      <c r="M401" s="26"/>
      <c r="N401" s="28"/>
      <c r="O401" s="28"/>
    </row>
    <row r="402" customFormat="false" ht="15" hidden="false" customHeight="false" outlineLevel="0" collapsed="false">
      <c r="A402" s="26"/>
      <c r="B402" s="29"/>
      <c r="C402" s="26"/>
      <c r="D402" s="27" t="str">
        <f aca="false">IF($C402="","",IFERROR(INDEX(Invoices!$C$6:$C$505,MATCH($C402,Invoices!$A$6:$A$505,0)),"Invoice not found"))</f>
        <v/>
      </c>
      <c r="E402" s="35" t="str">
        <f aca="false">IF($C402="","",IFERROR(INDEX(Invoices!$L$6:$L$505,MATCH($C402,Invoices!$A$6:$A$505,0)),""))</f>
        <v/>
      </c>
      <c r="F402" s="32"/>
      <c r="G402" s="32"/>
      <c r="H402" s="32"/>
      <c r="I402" s="34" t="str">
        <f aca="false">IF($A402="","",N($F402)+N($G402)+N($H402))</f>
        <v/>
      </c>
      <c r="J402" s="26"/>
      <c r="K402" s="28"/>
      <c r="L402" s="26"/>
      <c r="M402" s="26"/>
      <c r="N402" s="28"/>
      <c r="O402" s="28"/>
    </row>
    <row r="403" customFormat="false" ht="15" hidden="false" customHeight="false" outlineLevel="0" collapsed="false">
      <c r="A403" s="26"/>
      <c r="B403" s="29"/>
      <c r="C403" s="26"/>
      <c r="D403" s="27" t="str">
        <f aca="false">IF($C403="","",IFERROR(INDEX(Invoices!$C$6:$C$505,MATCH($C403,Invoices!$A$6:$A$505,0)),"Invoice not found"))</f>
        <v/>
      </c>
      <c r="E403" s="35" t="str">
        <f aca="false">IF($C403="","",IFERROR(INDEX(Invoices!$L$6:$L$505,MATCH($C403,Invoices!$A$6:$A$505,0)),""))</f>
        <v/>
      </c>
      <c r="F403" s="32"/>
      <c r="G403" s="32"/>
      <c r="H403" s="32"/>
      <c r="I403" s="34" t="str">
        <f aca="false">IF($A403="","",N($F403)+N($G403)+N($H403))</f>
        <v/>
      </c>
      <c r="J403" s="26"/>
      <c r="K403" s="28"/>
      <c r="L403" s="26"/>
      <c r="M403" s="26"/>
      <c r="N403" s="28"/>
      <c r="O403" s="28"/>
    </row>
    <row r="404" customFormat="false" ht="15" hidden="false" customHeight="false" outlineLevel="0" collapsed="false">
      <c r="A404" s="26"/>
      <c r="B404" s="29"/>
      <c r="C404" s="26"/>
      <c r="D404" s="27" t="str">
        <f aca="false">IF($C404="","",IFERROR(INDEX(Invoices!$C$6:$C$505,MATCH($C404,Invoices!$A$6:$A$505,0)),"Invoice not found"))</f>
        <v/>
      </c>
      <c r="E404" s="35" t="str">
        <f aca="false">IF($C404="","",IFERROR(INDEX(Invoices!$L$6:$L$505,MATCH($C404,Invoices!$A$6:$A$505,0)),""))</f>
        <v/>
      </c>
      <c r="F404" s="32"/>
      <c r="G404" s="32"/>
      <c r="H404" s="32"/>
      <c r="I404" s="34" t="str">
        <f aca="false">IF($A404="","",N($F404)+N($G404)+N($H404))</f>
        <v/>
      </c>
      <c r="J404" s="26"/>
      <c r="K404" s="28"/>
      <c r="L404" s="26"/>
      <c r="M404" s="26"/>
      <c r="N404" s="28"/>
      <c r="O404" s="28"/>
    </row>
    <row r="405" customFormat="false" ht="15" hidden="false" customHeight="false" outlineLevel="0" collapsed="false">
      <c r="A405" s="26"/>
      <c r="B405" s="29"/>
      <c r="C405" s="26"/>
      <c r="D405" s="27" t="str">
        <f aca="false">IF($C405="","",IFERROR(INDEX(Invoices!$C$6:$C$505,MATCH($C405,Invoices!$A$6:$A$505,0)),"Invoice not found"))</f>
        <v/>
      </c>
      <c r="E405" s="35" t="str">
        <f aca="false">IF($C405="","",IFERROR(INDEX(Invoices!$L$6:$L$505,MATCH($C405,Invoices!$A$6:$A$505,0)),""))</f>
        <v/>
      </c>
      <c r="F405" s="32"/>
      <c r="G405" s="32"/>
      <c r="H405" s="32"/>
      <c r="I405" s="34" t="str">
        <f aca="false">IF($A405="","",N($F405)+N($G405)+N($H405))</f>
        <v/>
      </c>
      <c r="J405" s="26"/>
      <c r="K405" s="28"/>
      <c r="L405" s="26"/>
      <c r="M405" s="26"/>
      <c r="N405" s="28"/>
      <c r="O405" s="28"/>
    </row>
    <row r="406" customFormat="false" ht="15" hidden="false" customHeight="false" outlineLevel="0" collapsed="false">
      <c r="A406" s="26"/>
      <c r="B406" s="29"/>
      <c r="C406" s="26"/>
      <c r="D406" s="27" t="str">
        <f aca="false">IF($C406="","",IFERROR(INDEX(Invoices!$C$6:$C$505,MATCH($C406,Invoices!$A$6:$A$505,0)),"Invoice not found"))</f>
        <v/>
      </c>
      <c r="E406" s="35" t="str">
        <f aca="false">IF($C406="","",IFERROR(INDEX(Invoices!$L$6:$L$505,MATCH($C406,Invoices!$A$6:$A$505,0)),""))</f>
        <v/>
      </c>
      <c r="F406" s="32"/>
      <c r="G406" s="32"/>
      <c r="H406" s="32"/>
      <c r="I406" s="34" t="str">
        <f aca="false">IF($A406="","",N($F406)+N($G406)+N($H406))</f>
        <v/>
      </c>
      <c r="J406" s="26"/>
      <c r="K406" s="28"/>
      <c r="L406" s="26"/>
      <c r="M406" s="26"/>
      <c r="N406" s="28"/>
      <c r="O406" s="28"/>
    </row>
    <row r="407" customFormat="false" ht="15" hidden="false" customHeight="false" outlineLevel="0" collapsed="false">
      <c r="A407" s="26"/>
      <c r="B407" s="29"/>
      <c r="C407" s="26"/>
      <c r="D407" s="27" t="str">
        <f aca="false">IF($C407="","",IFERROR(INDEX(Invoices!$C$6:$C$505,MATCH($C407,Invoices!$A$6:$A$505,0)),"Invoice not found"))</f>
        <v/>
      </c>
      <c r="E407" s="35" t="str">
        <f aca="false">IF($C407="","",IFERROR(INDEX(Invoices!$L$6:$L$505,MATCH($C407,Invoices!$A$6:$A$505,0)),""))</f>
        <v/>
      </c>
      <c r="F407" s="32"/>
      <c r="G407" s="32"/>
      <c r="H407" s="32"/>
      <c r="I407" s="34" t="str">
        <f aca="false">IF($A407="","",N($F407)+N($G407)+N($H407))</f>
        <v/>
      </c>
      <c r="J407" s="26"/>
      <c r="K407" s="28"/>
      <c r="L407" s="26"/>
      <c r="M407" s="26"/>
      <c r="N407" s="28"/>
      <c r="O407" s="28"/>
    </row>
    <row r="408" customFormat="false" ht="15" hidden="false" customHeight="false" outlineLevel="0" collapsed="false">
      <c r="A408" s="26"/>
      <c r="B408" s="29"/>
      <c r="C408" s="26"/>
      <c r="D408" s="27" t="str">
        <f aca="false">IF($C408="","",IFERROR(INDEX(Invoices!$C$6:$C$505,MATCH($C408,Invoices!$A$6:$A$505,0)),"Invoice not found"))</f>
        <v/>
      </c>
      <c r="E408" s="35" t="str">
        <f aca="false">IF($C408="","",IFERROR(INDEX(Invoices!$L$6:$L$505,MATCH($C408,Invoices!$A$6:$A$505,0)),""))</f>
        <v/>
      </c>
      <c r="F408" s="32"/>
      <c r="G408" s="32"/>
      <c r="H408" s="32"/>
      <c r="I408" s="34" t="str">
        <f aca="false">IF($A408="","",N($F408)+N($G408)+N($H408))</f>
        <v/>
      </c>
      <c r="J408" s="26"/>
      <c r="K408" s="28"/>
      <c r="L408" s="26"/>
      <c r="M408" s="26"/>
      <c r="N408" s="28"/>
      <c r="O408" s="28"/>
    </row>
    <row r="409" customFormat="false" ht="15" hidden="false" customHeight="false" outlineLevel="0" collapsed="false">
      <c r="A409" s="26"/>
      <c r="B409" s="29"/>
      <c r="C409" s="26"/>
      <c r="D409" s="27" t="str">
        <f aca="false">IF($C409="","",IFERROR(INDEX(Invoices!$C$6:$C$505,MATCH($C409,Invoices!$A$6:$A$505,0)),"Invoice not found"))</f>
        <v/>
      </c>
      <c r="E409" s="35" t="str">
        <f aca="false">IF($C409="","",IFERROR(INDEX(Invoices!$L$6:$L$505,MATCH($C409,Invoices!$A$6:$A$505,0)),""))</f>
        <v/>
      </c>
      <c r="F409" s="32"/>
      <c r="G409" s="32"/>
      <c r="H409" s="32"/>
      <c r="I409" s="34" t="str">
        <f aca="false">IF($A409="","",N($F409)+N($G409)+N($H409))</f>
        <v/>
      </c>
      <c r="J409" s="26"/>
      <c r="K409" s="28"/>
      <c r="L409" s="26"/>
      <c r="M409" s="26"/>
      <c r="N409" s="28"/>
      <c r="O409" s="28"/>
    </row>
    <row r="410" customFormat="false" ht="15" hidden="false" customHeight="false" outlineLevel="0" collapsed="false">
      <c r="A410" s="26"/>
      <c r="B410" s="29"/>
      <c r="C410" s="26"/>
      <c r="D410" s="27" t="str">
        <f aca="false">IF($C410="","",IFERROR(INDEX(Invoices!$C$6:$C$505,MATCH($C410,Invoices!$A$6:$A$505,0)),"Invoice not found"))</f>
        <v/>
      </c>
      <c r="E410" s="35" t="str">
        <f aca="false">IF($C410="","",IFERROR(INDEX(Invoices!$L$6:$L$505,MATCH($C410,Invoices!$A$6:$A$505,0)),""))</f>
        <v/>
      </c>
      <c r="F410" s="32"/>
      <c r="G410" s="32"/>
      <c r="H410" s="32"/>
      <c r="I410" s="34" t="str">
        <f aca="false">IF($A410="","",N($F410)+N($G410)+N($H410))</f>
        <v/>
      </c>
      <c r="J410" s="26"/>
      <c r="K410" s="28"/>
      <c r="L410" s="26"/>
      <c r="M410" s="26"/>
      <c r="N410" s="28"/>
      <c r="O410" s="28"/>
    </row>
    <row r="411" customFormat="false" ht="15" hidden="false" customHeight="false" outlineLevel="0" collapsed="false">
      <c r="A411" s="26"/>
      <c r="B411" s="29"/>
      <c r="C411" s="26"/>
      <c r="D411" s="27" t="str">
        <f aca="false">IF($C411="","",IFERROR(INDEX(Invoices!$C$6:$C$505,MATCH($C411,Invoices!$A$6:$A$505,0)),"Invoice not found"))</f>
        <v/>
      </c>
      <c r="E411" s="35" t="str">
        <f aca="false">IF($C411="","",IFERROR(INDEX(Invoices!$L$6:$L$505,MATCH($C411,Invoices!$A$6:$A$505,0)),""))</f>
        <v/>
      </c>
      <c r="F411" s="32"/>
      <c r="G411" s="32"/>
      <c r="H411" s="32"/>
      <c r="I411" s="34" t="str">
        <f aca="false">IF($A411="","",N($F411)+N($G411)+N($H411))</f>
        <v/>
      </c>
      <c r="J411" s="26"/>
      <c r="K411" s="28"/>
      <c r="L411" s="26"/>
      <c r="M411" s="26"/>
      <c r="N411" s="28"/>
      <c r="O411" s="28"/>
    </row>
    <row r="412" customFormat="false" ht="15" hidden="false" customHeight="false" outlineLevel="0" collapsed="false">
      <c r="A412" s="26"/>
      <c r="B412" s="29"/>
      <c r="C412" s="26"/>
      <c r="D412" s="27" t="str">
        <f aca="false">IF($C412="","",IFERROR(INDEX(Invoices!$C$6:$C$505,MATCH($C412,Invoices!$A$6:$A$505,0)),"Invoice not found"))</f>
        <v/>
      </c>
      <c r="E412" s="35" t="str">
        <f aca="false">IF($C412="","",IFERROR(INDEX(Invoices!$L$6:$L$505,MATCH($C412,Invoices!$A$6:$A$505,0)),""))</f>
        <v/>
      </c>
      <c r="F412" s="32"/>
      <c r="G412" s="32"/>
      <c r="H412" s="32"/>
      <c r="I412" s="34" t="str">
        <f aca="false">IF($A412="","",N($F412)+N($G412)+N($H412))</f>
        <v/>
      </c>
      <c r="J412" s="26"/>
      <c r="K412" s="28"/>
      <c r="L412" s="26"/>
      <c r="M412" s="26"/>
      <c r="N412" s="28"/>
      <c r="O412" s="28"/>
    </row>
    <row r="413" customFormat="false" ht="15" hidden="false" customHeight="false" outlineLevel="0" collapsed="false">
      <c r="A413" s="26"/>
      <c r="B413" s="29"/>
      <c r="C413" s="26"/>
      <c r="D413" s="27" t="str">
        <f aca="false">IF($C413="","",IFERROR(INDEX(Invoices!$C$6:$C$505,MATCH($C413,Invoices!$A$6:$A$505,0)),"Invoice not found"))</f>
        <v/>
      </c>
      <c r="E413" s="35" t="str">
        <f aca="false">IF($C413="","",IFERROR(INDEX(Invoices!$L$6:$L$505,MATCH($C413,Invoices!$A$6:$A$505,0)),""))</f>
        <v/>
      </c>
      <c r="F413" s="32"/>
      <c r="G413" s="32"/>
      <c r="H413" s="32"/>
      <c r="I413" s="34" t="str">
        <f aca="false">IF($A413="","",N($F413)+N($G413)+N($H413))</f>
        <v/>
      </c>
      <c r="J413" s="26"/>
      <c r="K413" s="28"/>
      <c r="L413" s="26"/>
      <c r="M413" s="26"/>
      <c r="N413" s="28"/>
      <c r="O413" s="28"/>
    </row>
    <row r="414" customFormat="false" ht="15" hidden="false" customHeight="false" outlineLevel="0" collapsed="false">
      <c r="A414" s="26"/>
      <c r="B414" s="29"/>
      <c r="C414" s="26"/>
      <c r="D414" s="27" t="str">
        <f aca="false">IF($C414="","",IFERROR(INDEX(Invoices!$C$6:$C$505,MATCH($C414,Invoices!$A$6:$A$505,0)),"Invoice not found"))</f>
        <v/>
      </c>
      <c r="E414" s="35" t="str">
        <f aca="false">IF($C414="","",IFERROR(INDEX(Invoices!$L$6:$L$505,MATCH($C414,Invoices!$A$6:$A$505,0)),""))</f>
        <v/>
      </c>
      <c r="F414" s="32"/>
      <c r="G414" s="32"/>
      <c r="H414" s="32"/>
      <c r="I414" s="34" t="str">
        <f aca="false">IF($A414="","",N($F414)+N($G414)+N($H414))</f>
        <v/>
      </c>
      <c r="J414" s="26"/>
      <c r="K414" s="28"/>
      <c r="L414" s="26"/>
      <c r="M414" s="26"/>
      <c r="N414" s="28"/>
      <c r="O414" s="28"/>
    </row>
    <row r="415" customFormat="false" ht="15" hidden="false" customHeight="false" outlineLevel="0" collapsed="false">
      <c r="A415" s="26"/>
      <c r="B415" s="29"/>
      <c r="C415" s="26"/>
      <c r="D415" s="27" t="str">
        <f aca="false">IF($C415="","",IFERROR(INDEX(Invoices!$C$6:$C$505,MATCH($C415,Invoices!$A$6:$A$505,0)),"Invoice not found"))</f>
        <v/>
      </c>
      <c r="E415" s="35" t="str">
        <f aca="false">IF($C415="","",IFERROR(INDEX(Invoices!$L$6:$L$505,MATCH($C415,Invoices!$A$6:$A$505,0)),""))</f>
        <v/>
      </c>
      <c r="F415" s="32"/>
      <c r="G415" s="32"/>
      <c r="H415" s="32"/>
      <c r="I415" s="34" t="str">
        <f aca="false">IF($A415="","",N($F415)+N($G415)+N($H415))</f>
        <v/>
      </c>
      <c r="J415" s="26"/>
      <c r="K415" s="28"/>
      <c r="L415" s="26"/>
      <c r="M415" s="26"/>
      <c r="N415" s="28"/>
      <c r="O415" s="28"/>
    </row>
    <row r="416" customFormat="false" ht="15" hidden="false" customHeight="false" outlineLevel="0" collapsed="false">
      <c r="A416" s="26"/>
      <c r="B416" s="29"/>
      <c r="C416" s="26"/>
      <c r="D416" s="27" t="str">
        <f aca="false">IF($C416="","",IFERROR(INDEX(Invoices!$C$6:$C$505,MATCH($C416,Invoices!$A$6:$A$505,0)),"Invoice not found"))</f>
        <v/>
      </c>
      <c r="E416" s="35" t="str">
        <f aca="false">IF($C416="","",IFERROR(INDEX(Invoices!$L$6:$L$505,MATCH($C416,Invoices!$A$6:$A$505,0)),""))</f>
        <v/>
      </c>
      <c r="F416" s="32"/>
      <c r="G416" s="32"/>
      <c r="H416" s="32"/>
      <c r="I416" s="34" t="str">
        <f aca="false">IF($A416="","",N($F416)+N($G416)+N($H416))</f>
        <v/>
      </c>
      <c r="J416" s="26"/>
      <c r="K416" s="28"/>
      <c r="L416" s="26"/>
      <c r="M416" s="26"/>
      <c r="N416" s="28"/>
      <c r="O416" s="28"/>
    </row>
    <row r="417" customFormat="false" ht="15" hidden="false" customHeight="false" outlineLevel="0" collapsed="false">
      <c r="A417" s="26"/>
      <c r="B417" s="29"/>
      <c r="C417" s="26"/>
      <c r="D417" s="27" t="str">
        <f aca="false">IF($C417="","",IFERROR(INDEX(Invoices!$C$6:$C$505,MATCH($C417,Invoices!$A$6:$A$505,0)),"Invoice not found"))</f>
        <v/>
      </c>
      <c r="E417" s="35" t="str">
        <f aca="false">IF($C417="","",IFERROR(INDEX(Invoices!$L$6:$L$505,MATCH($C417,Invoices!$A$6:$A$505,0)),""))</f>
        <v/>
      </c>
      <c r="F417" s="32"/>
      <c r="G417" s="32"/>
      <c r="H417" s="32"/>
      <c r="I417" s="34" t="str">
        <f aca="false">IF($A417="","",N($F417)+N($G417)+N($H417))</f>
        <v/>
      </c>
      <c r="J417" s="26"/>
      <c r="K417" s="28"/>
      <c r="L417" s="26"/>
      <c r="M417" s="26"/>
      <c r="N417" s="28"/>
      <c r="O417" s="28"/>
    </row>
    <row r="418" customFormat="false" ht="15" hidden="false" customHeight="false" outlineLevel="0" collapsed="false">
      <c r="A418" s="26"/>
      <c r="B418" s="29"/>
      <c r="C418" s="26"/>
      <c r="D418" s="27" t="str">
        <f aca="false">IF($C418="","",IFERROR(INDEX(Invoices!$C$6:$C$505,MATCH($C418,Invoices!$A$6:$A$505,0)),"Invoice not found"))</f>
        <v/>
      </c>
      <c r="E418" s="35" t="str">
        <f aca="false">IF($C418="","",IFERROR(INDEX(Invoices!$L$6:$L$505,MATCH($C418,Invoices!$A$6:$A$505,0)),""))</f>
        <v/>
      </c>
      <c r="F418" s="32"/>
      <c r="G418" s="32"/>
      <c r="H418" s="32"/>
      <c r="I418" s="34" t="str">
        <f aca="false">IF($A418="","",N($F418)+N($G418)+N($H418))</f>
        <v/>
      </c>
      <c r="J418" s="26"/>
      <c r="K418" s="28"/>
      <c r="L418" s="26"/>
      <c r="M418" s="26"/>
      <c r="N418" s="28"/>
      <c r="O418" s="28"/>
    </row>
    <row r="419" customFormat="false" ht="15" hidden="false" customHeight="false" outlineLevel="0" collapsed="false">
      <c r="A419" s="26"/>
      <c r="B419" s="29"/>
      <c r="C419" s="26"/>
      <c r="D419" s="27" t="str">
        <f aca="false">IF($C419="","",IFERROR(INDEX(Invoices!$C$6:$C$505,MATCH($C419,Invoices!$A$6:$A$505,0)),"Invoice not found"))</f>
        <v/>
      </c>
      <c r="E419" s="35" t="str">
        <f aca="false">IF($C419="","",IFERROR(INDEX(Invoices!$L$6:$L$505,MATCH($C419,Invoices!$A$6:$A$505,0)),""))</f>
        <v/>
      </c>
      <c r="F419" s="32"/>
      <c r="G419" s="32"/>
      <c r="H419" s="32"/>
      <c r="I419" s="34" t="str">
        <f aca="false">IF($A419="","",N($F419)+N($G419)+N($H419))</f>
        <v/>
      </c>
      <c r="J419" s="26"/>
      <c r="K419" s="28"/>
      <c r="L419" s="26"/>
      <c r="M419" s="26"/>
      <c r="N419" s="28"/>
      <c r="O419" s="28"/>
    </row>
    <row r="420" customFormat="false" ht="15" hidden="false" customHeight="false" outlineLevel="0" collapsed="false">
      <c r="A420" s="26"/>
      <c r="B420" s="29"/>
      <c r="C420" s="26"/>
      <c r="D420" s="27" t="str">
        <f aca="false">IF($C420="","",IFERROR(INDEX(Invoices!$C$6:$C$505,MATCH($C420,Invoices!$A$6:$A$505,0)),"Invoice not found"))</f>
        <v/>
      </c>
      <c r="E420" s="35" t="str">
        <f aca="false">IF($C420="","",IFERROR(INDEX(Invoices!$L$6:$L$505,MATCH($C420,Invoices!$A$6:$A$505,0)),""))</f>
        <v/>
      </c>
      <c r="F420" s="32"/>
      <c r="G420" s="32"/>
      <c r="H420" s="32"/>
      <c r="I420" s="34" t="str">
        <f aca="false">IF($A420="","",N($F420)+N($G420)+N($H420))</f>
        <v/>
      </c>
      <c r="J420" s="26"/>
      <c r="K420" s="28"/>
      <c r="L420" s="26"/>
      <c r="M420" s="26"/>
      <c r="N420" s="28"/>
      <c r="O420" s="28"/>
    </row>
    <row r="421" customFormat="false" ht="15" hidden="false" customHeight="false" outlineLevel="0" collapsed="false">
      <c r="A421" s="26"/>
      <c r="B421" s="29"/>
      <c r="C421" s="26"/>
      <c r="D421" s="27" t="str">
        <f aca="false">IF($C421="","",IFERROR(INDEX(Invoices!$C$6:$C$505,MATCH($C421,Invoices!$A$6:$A$505,0)),"Invoice not found"))</f>
        <v/>
      </c>
      <c r="E421" s="35" t="str">
        <f aca="false">IF($C421="","",IFERROR(INDEX(Invoices!$L$6:$L$505,MATCH($C421,Invoices!$A$6:$A$505,0)),""))</f>
        <v/>
      </c>
      <c r="F421" s="32"/>
      <c r="G421" s="32"/>
      <c r="H421" s="32"/>
      <c r="I421" s="34" t="str">
        <f aca="false">IF($A421="","",N($F421)+N($G421)+N($H421))</f>
        <v/>
      </c>
      <c r="J421" s="26"/>
      <c r="K421" s="28"/>
      <c r="L421" s="26"/>
      <c r="M421" s="26"/>
      <c r="N421" s="28"/>
      <c r="O421" s="28"/>
    </row>
    <row r="422" customFormat="false" ht="15" hidden="false" customHeight="false" outlineLevel="0" collapsed="false">
      <c r="A422" s="26"/>
      <c r="B422" s="29"/>
      <c r="C422" s="26"/>
      <c r="D422" s="27" t="str">
        <f aca="false">IF($C422="","",IFERROR(INDEX(Invoices!$C$6:$C$505,MATCH($C422,Invoices!$A$6:$A$505,0)),"Invoice not found"))</f>
        <v/>
      </c>
      <c r="E422" s="35" t="str">
        <f aca="false">IF($C422="","",IFERROR(INDEX(Invoices!$L$6:$L$505,MATCH($C422,Invoices!$A$6:$A$505,0)),""))</f>
        <v/>
      </c>
      <c r="F422" s="32"/>
      <c r="G422" s="32"/>
      <c r="H422" s="32"/>
      <c r="I422" s="34" t="str">
        <f aca="false">IF($A422="","",N($F422)+N($G422)+N($H422))</f>
        <v/>
      </c>
      <c r="J422" s="26"/>
      <c r="K422" s="28"/>
      <c r="L422" s="26"/>
      <c r="M422" s="26"/>
      <c r="N422" s="28"/>
      <c r="O422" s="28"/>
    </row>
    <row r="423" customFormat="false" ht="15" hidden="false" customHeight="false" outlineLevel="0" collapsed="false">
      <c r="A423" s="26"/>
      <c r="B423" s="29"/>
      <c r="C423" s="26"/>
      <c r="D423" s="27" t="str">
        <f aca="false">IF($C423="","",IFERROR(INDEX(Invoices!$C$6:$C$505,MATCH($C423,Invoices!$A$6:$A$505,0)),"Invoice not found"))</f>
        <v/>
      </c>
      <c r="E423" s="35" t="str">
        <f aca="false">IF($C423="","",IFERROR(INDEX(Invoices!$L$6:$L$505,MATCH($C423,Invoices!$A$6:$A$505,0)),""))</f>
        <v/>
      </c>
      <c r="F423" s="32"/>
      <c r="G423" s="32"/>
      <c r="H423" s="32"/>
      <c r="I423" s="34" t="str">
        <f aca="false">IF($A423="","",N($F423)+N($G423)+N($H423))</f>
        <v/>
      </c>
      <c r="J423" s="26"/>
      <c r="K423" s="28"/>
      <c r="L423" s="26"/>
      <c r="M423" s="26"/>
      <c r="N423" s="28"/>
      <c r="O423" s="28"/>
    </row>
    <row r="424" customFormat="false" ht="15" hidden="false" customHeight="false" outlineLevel="0" collapsed="false">
      <c r="A424" s="26"/>
      <c r="B424" s="29"/>
      <c r="C424" s="26"/>
      <c r="D424" s="27" t="str">
        <f aca="false">IF($C424="","",IFERROR(INDEX(Invoices!$C$6:$C$505,MATCH($C424,Invoices!$A$6:$A$505,0)),"Invoice not found"))</f>
        <v/>
      </c>
      <c r="E424" s="35" t="str">
        <f aca="false">IF($C424="","",IFERROR(INDEX(Invoices!$L$6:$L$505,MATCH($C424,Invoices!$A$6:$A$505,0)),""))</f>
        <v/>
      </c>
      <c r="F424" s="32"/>
      <c r="G424" s="32"/>
      <c r="H424" s="32"/>
      <c r="I424" s="34" t="str">
        <f aca="false">IF($A424="","",N($F424)+N($G424)+N($H424))</f>
        <v/>
      </c>
      <c r="J424" s="26"/>
      <c r="K424" s="28"/>
      <c r="L424" s="26"/>
      <c r="M424" s="26"/>
      <c r="N424" s="28"/>
      <c r="O424" s="28"/>
    </row>
    <row r="425" customFormat="false" ht="15" hidden="false" customHeight="false" outlineLevel="0" collapsed="false">
      <c r="A425" s="26"/>
      <c r="B425" s="29"/>
      <c r="C425" s="26"/>
      <c r="D425" s="27" t="str">
        <f aca="false">IF($C425="","",IFERROR(INDEX(Invoices!$C$6:$C$505,MATCH($C425,Invoices!$A$6:$A$505,0)),"Invoice not found"))</f>
        <v/>
      </c>
      <c r="E425" s="35" t="str">
        <f aca="false">IF($C425="","",IFERROR(INDEX(Invoices!$L$6:$L$505,MATCH($C425,Invoices!$A$6:$A$505,0)),""))</f>
        <v/>
      </c>
      <c r="F425" s="32"/>
      <c r="G425" s="32"/>
      <c r="H425" s="32"/>
      <c r="I425" s="34" t="str">
        <f aca="false">IF($A425="","",N($F425)+N($G425)+N($H425))</f>
        <v/>
      </c>
      <c r="J425" s="26"/>
      <c r="K425" s="28"/>
      <c r="L425" s="26"/>
      <c r="M425" s="26"/>
      <c r="N425" s="28"/>
      <c r="O425" s="28"/>
    </row>
    <row r="426" customFormat="false" ht="15" hidden="false" customHeight="false" outlineLevel="0" collapsed="false">
      <c r="A426" s="26"/>
      <c r="B426" s="29"/>
      <c r="C426" s="26"/>
      <c r="D426" s="27" t="str">
        <f aca="false">IF($C426="","",IFERROR(INDEX(Invoices!$C$6:$C$505,MATCH($C426,Invoices!$A$6:$A$505,0)),"Invoice not found"))</f>
        <v/>
      </c>
      <c r="E426" s="35" t="str">
        <f aca="false">IF($C426="","",IFERROR(INDEX(Invoices!$L$6:$L$505,MATCH($C426,Invoices!$A$6:$A$505,0)),""))</f>
        <v/>
      </c>
      <c r="F426" s="32"/>
      <c r="G426" s="32"/>
      <c r="H426" s="32"/>
      <c r="I426" s="34" t="str">
        <f aca="false">IF($A426="","",N($F426)+N($G426)+N($H426))</f>
        <v/>
      </c>
      <c r="J426" s="26"/>
      <c r="K426" s="28"/>
      <c r="L426" s="26"/>
      <c r="M426" s="26"/>
      <c r="N426" s="28"/>
      <c r="O426" s="28"/>
    </row>
    <row r="427" customFormat="false" ht="15" hidden="false" customHeight="false" outlineLevel="0" collapsed="false">
      <c r="A427" s="26"/>
      <c r="B427" s="29"/>
      <c r="C427" s="26"/>
      <c r="D427" s="27" t="str">
        <f aca="false">IF($C427="","",IFERROR(INDEX(Invoices!$C$6:$C$505,MATCH($C427,Invoices!$A$6:$A$505,0)),"Invoice not found"))</f>
        <v/>
      </c>
      <c r="E427" s="35" t="str">
        <f aca="false">IF($C427="","",IFERROR(INDEX(Invoices!$L$6:$L$505,MATCH($C427,Invoices!$A$6:$A$505,0)),""))</f>
        <v/>
      </c>
      <c r="F427" s="32"/>
      <c r="G427" s="32"/>
      <c r="H427" s="32"/>
      <c r="I427" s="34" t="str">
        <f aca="false">IF($A427="","",N($F427)+N($G427)+N($H427))</f>
        <v/>
      </c>
      <c r="J427" s="26"/>
      <c r="K427" s="28"/>
      <c r="L427" s="26"/>
      <c r="M427" s="26"/>
      <c r="N427" s="28"/>
      <c r="O427" s="28"/>
    </row>
    <row r="428" customFormat="false" ht="15" hidden="false" customHeight="false" outlineLevel="0" collapsed="false">
      <c r="A428" s="26"/>
      <c r="B428" s="29"/>
      <c r="C428" s="26"/>
      <c r="D428" s="27" t="str">
        <f aca="false">IF($C428="","",IFERROR(INDEX(Invoices!$C$6:$C$505,MATCH($C428,Invoices!$A$6:$A$505,0)),"Invoice not found"))</f>
        <v/>
      </c>
      <c r="E428" s="35" t="str">
        <f aca="false">IF($C428="","",IFERROR(INDEX(Invoices!$L$6:$L$505,MATCH($C428,Invoices!$A$6:$A$505,0)),""))</f>
        <v/>
      </c>
      <c r="F428" s="32"/>
      <c r="G428" s="32"/>
      <c r="H428" s="32"/>
      <c r="I428" s="34" t="str">
        <f aca="false">IF($A428="","",N($F428)+N($G428)+N($H428))</f>
        <v/>
      </c>
      <c r="J428" s="26"/>
      <c r="K428" s="28"/>
      <c r="L428" s="26"/>
      <c r="M428" s="26"/>
      <c r="N428" s="28"/>
      <c r="O428" s="28"/>
    </row>
    <row r="429" customFormat="false" ht="15" hidden="false" customHeight="false" outlineLevel="0" collapsed="false">
      <c r="A429" s="26"/>
      <c r="B429" s="29"/>
      <c r="C429" s="26"/>
      <c r="D429" s="27" t="str">
        <f aca="false">IF($C429="","",IFERROR(INDEX(Invoices!$C$6:$C$505,MATCH($C429,Invoices!$A$6:$A$505,0)),"Invoice not found"))</f>
        <v/>
      </c>
      <c r="E429" s="35" t="str">
        <f aca="false">IF($C429="","",IFERROR(INDEX(Invoices!$L$6:$L$505,MATCH($C429,Invoices!$A$6:$A$505,0)),""))</f>
        <v/>
      </c>
      <c r="F429" s="32"/>
      <c r="G429" s="32"/>
      <c r="H429" s="32"/>
      <c r="I429" s="34" t="str">
        <f aca="false">IF($A429="","",N($F429)+N($G429)+N($H429))</f>
        <v/>
      </c>
      <c r="J429" s="26"/>
      <c r="K429" s="28"/>
      <c r="L429" s="26"/>
      <c r="M429" s="26"/>
      <c r="N429" s="28"/>
      <c r="O429" s="28"/>
    </row>
    <row r="430" customFormat="false" ht="15" hidden="false" customHeight="false" outlineLevel="0" collapsed="false">
      <c r="A430" s="26"/>
      <c r="B430" s="29"/>
      <c r="C430" s="26"/>
      <c r="D430" s="27" t="str">
        <f aca="false">IF($C430="","",IFERROR(INDEX(Invoices!$C$6:$C$505,MATCH($C430,Invoices!$A$6:$A$505,0)),"Invoice not found"))</f>
        <v/>
      </c>
      <c r="E430" s="35" t="str">
        <f aca="false">IF($C430="","",IFERROR(INDEX(Invoices!$L$6:$L$505,MATCH($C430,Invoices!$A$6:$A$505,0)),""))</f>
        <v/>
      </c>
      <c r="F430" s="32"/>
      <c r="G430" s="32"/>
      <c r="H430" s="32"/>
      <c r="I430" s="34" t="str">
        <f aca="false">IF($A430="","",N($F430)+N($G430)+N($H430))</f>
        <v/>
      </c>
      <c r="J430" s="26"/>
      <c r="K430" s="28"/>
      <c r="L430" s="26"/>
      <c r="M430" s="26"/>
      <c r="N430" s="28"/>
      <c r="O430" s="28"/>
    </row>
    <row r="431" customFormat="false" ht="15" hidden="false" customHeight="false" outlineLevel="0" collapsed="false">
      <c r="A431" s="26"/>
      <c r="B431" s="29"/>
      <c r="C431" s="26"/>
      <c r="D431" s="27" t="str">
        <f aca="false">IF($C431="","",IFERROR(INDEX(Invoices!$C$6:$C$505,MATCH($C431,Invoices!$A$6:$A$505,0)),"Invoice not found"))</f>
        <v/>
      </c>
      <c r="E431" s="35" t="str">
        <f aca="false">IF($C431="","",IFERROR(INDEX(Invoices!$L$6:$L$505,MATCH($C431,Invoices!$A$6:$A$505,0)),""))</f>
        <v/>
      </c>
      <c r="F431" s="32"/>
      <c r="G431" s="32"/>
      <c r="H431" s="32"/>
      <c r="I431" s="34" t="str">
        <f aca="false">IF($A431="","",N($F431)+N($G431)+N($H431))</f>
        <v/>
      </c>
      <c r="J431" s="26"/>
      <c r="K431" s="28"/>
      <c r="L431" s="26"/>
      <c r="M431" s="26"/>
      <c r="N431" s="28"/>
      <c r="O431" s="28"/>
    </row>
    <row r="432" customFormat="false" ht="15" hidden="false" customHeight="false" outlineLevel="0" collapsed="false">
      <c r="A432" s="26"/>
      <c r="B432" s="29"/>
      <c r="C432" s="26"/>
      <c r="D432" s="27" t="str">
        <f aca="false">IF($C432="","",IFERROR(INDEX(Invoices!$C$6:$C$505,MATCH($C432,Invoices!$A$6:$A$505,0)),"Invoice not found"))</f>
        <v/>
      </c>
      <c r="E432" s="35" t="str">
        <f aca="false">IF($C432="","",IFERROR(INDEX(Invoices!$L$6:$L$505,MATCH($C432,Invoices!$A$6:$A$505,0)),""))</f>
        <v/>
      </c>
      <c r="F432" s="32"/>
      <c r="G432" s="32"/>
      <c r="H432" s="32"/>
      <c r="I432" s="34" t="str">
        <f aca="false">IF($A432="","",N($F432)+N($G432)+N($H432))</f>
        <v/>
      </c>
      <c r="J432" s="26"/>
      <c r="K432" s="28"/>
      <c r="L432" s="26"/>
      <c r="M432" s="26"/>
      <c r="N432" s="28"/>
      <c r="O432" s="28"/>
    </row>
    <row r="433" customFormat="false" ht="15" hidden="false" customHeight="false" outlineLevel="0" collapsed="false">
      <c r="A433" s="26"/>
      <c r="B433" s="29"/>
      <c r="C433" s="26"/>
      <c r="D433" s="27" t="str">
        <f aca="false">IF($C433="","",IFERROR(INDEX(Invoices!$C$6:$C$505,MATCH($C433,Invoices!$A$6:$A$505,0)),"Invoice not found"))</f>
        <v/>
      </c>
      <c r="E433" s="35" t="str">
        <f aca="false">IF($C433="","",IFERROR(INDEX(Invoices!$L$6:$L$505,MATCH($C433,Invoices!$A$6:$A$505,0)),""))</f>
        <v/>
      </c>
      <c r="F433" s="32"/>
      <c r="G433" s="32"/>
      <c r="H433" s="32"/>
      <c r="I433" s="34" t="str">
        <f aca="false">IF($A433="","",N($F433)+N($G433)+N($H433))</f>
        <v/>
      </c>
      <c r="J433" s="26"/>
      <c r="K433" s="28"/>
      <c r="L433" s="26"/>
      <c r="M433" s="26"/>
      <c r="N433" s="28"/>
      <c r="O433" s="28"/>
    </row>
    <row r="434" customFormat="false" ht="15" hidden="false" customHeight="false" outlineLevel="0" collapsed="false">
      <c r="A434" s="26"/>
      <c r="B434" s="29"/>
      <c r="C434" s="26"/>
      <c r="D434" s="27" t="str">
        <f aca="false">IF($C434="","",IFERROR(INDEX(Invoices!$C$6:$C$505,MATCH($C434,Invoices!$A$6:$A$505,0)),"Invoice not found"))</f>
        <v/>
      </c>
      <c r="E434" s="35" t="str">
        <f aca="false">IF($C434="","",IFERROR(INDEX(Invoices!$L$6:$L$505,MATCH($C434,Invoices!$A$6:$A$505,0)),""))</f>
        <v/>
      </c>
      <c r="F434" s="32"/>
      <c r="G434" s="32"/>
      <c r="H434" s="32"/>
      <c r="I434" s="34" t="str">
        <f aca="false">IF($A434="","",N($F434)+N($G434)+N($H434))</f>
        <v/>
      </c>
      <c r="J434" s="26"/>
      <c r="K434" s="28"/>
      <c r="L434" s="26"/>
      <c r="M434" s="26"/>
      <c r="N434" s="28"/>
      <c r="O434" s="28"/>
    </row>
    <row r="435" customFormat="false" ht="15" hidden="false" customHeight="false" outlineLevel="0" collapsed="false">
      <c r="A435" s="26"/>
      <c r="B435" s="29"/>
      <c r="C435" s="26"/>
      <c r="D435" s="27" t="str">
        <f aca="false">IF($C435="","",IFERROR(INDEX(Invoices!$C$6:$C$505,MATCH($C435,Invoices!$A$6:$A$505,0)),"Invoice not found"))</f>
        <v/>
      </c>
      <c r="E435" s="35" t="str">
        <f aca="false">IF($C435="","",IFERROR(INDEX(Invoices!$L$6:$L$505,MATCH($C435,Invoices!$A$6:$A$505,0)),""))</f>
        <v/>
      </c>
      <c r="F435" s="32"/>
      <c r="G435" s="32"/>
      <c r="H435" s="32"/>
      <c r="I435" s="34" t="str">
        <f aca="false">IF($A435="","",N($F435)+N($G435)+N($H435))</f>
        <v/>
      </c>
      <c r="J435" s="26"/>
      <c r="K435" s="28"/>
      <c r="L435" s="26"/>
      <c r="M435" s="26"/>
      <c r="N435" s="28"/>
      <c r="O435" s="28"/>
    </row>
    <row r="436" customFormat="false" ht="15" hidden="false" customHeight="false" outlineLevel="0" collapsed="false">
      <c r="A436" s="26"/>
      <c r="B436" s="29"/>
      <c r="C436" s="26"/>
      <c r="D436" s="27" t="str">
        <f aca="false">IF($C436="","",IFERROR(INDEX(Invoices!$C$6:$C$505,MATCH($C436,Invoices!$A$6:$A$505,0)),"Invoice not found"))</f>
        <v/>
      </c>
      <c r="E436" s="35" t="str">
        <f aca="false">IF($C436="","",IFERROR(INDEX(Invoices!$L$6:$L$505,MATCH($C436,Invoices!$A$6:$A$505,0)),""))</f>
        <v/>
      </c>
      <c r="F436" s="32"/>
      <c r="G436" s="32"/>
      <c r="H436" s="32"/>
      <c r="I436" s="34" t="str">
        <f aca="false">IF($A436="","",N($F436)+N($G436)+N($H436))</f>
        <v/>
      </c>
      <c r="J436" s="26"/>
      <c r="K436" s="28"/>
      <c r="L436" s="26"/>
      <c r="M436" s="26"/>
      <c r="N436" s="28"/>
      <c r="O436" s="28"/>
    </row>
    <row r="437" customFormat="false" ht="15" hidden="false" customHeight="false" outlineLevel="0" collapsed="false">
      <c r="A437" s="26"/>
      <c r="B437" s="29"/>
      <c r="C437" s="26"/>
      <c r="D437" s="27" t="str">
        <f aca="false">IF($C437="","",IFERROR(INDEX(Invoices!$C$6:$C$505,MATCH($C437,Invoices!$A$6:$A$505,0)),"Invoice not found"))</f>
        <v/>
      </c>
      <c r="E437" s="35" t="str">
        <f aca="false">IF($C437="","",IFERROR(INDEX(Invoices!$L$6:$L$505,MATCH($C437,Invoices!$A$6:$A$505,0)),""))</f>
        <v/>
      </c>
      <c r="F437" s="32"/>
      <c r="G437" s="32"/>
      <c r="H437" s="32"/>
      <c r="I437" s="34" t="str">
        <f aca="false">IF($A437="","",N($F437)+N($G437)+N($H437))</f>
        <v/>
      </c>
      <c r="J437" s="26"/>
      <c r="K437" s="28"/>
      <c r="L437" s="26"/>
      <c r="M437" s="26"/>
      <c r="N437" s="28"/>
      <c r="O437" s="28"/>
    </row>
    <row r="438" customFormat="false" ht="15" hidden="false" customHeight="false" outlineLevel="0" collapsed="false">
      <c r="A438" s="26"/>
      <c r="B438" s="29"/>
      <c r="C438" s="26"/>
      <c r="D438" s="27" t="str">
        <f aca="false">IF($C438="","",IFERROR(INDEX(Invoices!$C$6:$C$505,MATCH($C438,Invoices!$A$6:$A$505,0)),"Invoice not found"))</f>
        <v/>
      </c>
      <c r="E438" s="35" t="str">
        <f aca="false">IF($C438="","",IFERROR(INDEX(Invoices!$L$6:$L$505,MATCH($C438,Invoices!$A$6:$A$505,0)),""))</f>
        <v/>
      </c>
      <c r="F438" s="32"/>
      <c r="G438" s="32"/>
      <c r="H438" s="32"/>
      <c r="I438" s="34" t="str">
        <f aca="false">IF($A438="","",N($F438)+N($G438)+N($H438))</f>
        <v/>
      </c>
      <c r="J438" s="26"/>
      <c r="K438" s="28"/>
      <c r="L438" s="26"/>
      <c r="M438" s="26"/>
      <c r="N438" s="28"/>
      <c r="O438" s="28"/>
    </row>
    <row r="439" customFormat="false" ht="15" hidden="false" customHeight="false" outlineLevel="0" collapsed="false">
      <c r="A439" s="26"/>
      <c r="B439" s="29"/>
      <c r="C439" s="26"/>
      <c r="D439" s="27" t="str">
        <f aca="false">IF($C439="","",IFERROR(INDEX(Invoices!$C$6:$C$505,MATCH($C439,Invoices!$A$6:$A$505,0)),"Invoice not found"))</f>
        <v/>
      </c>
      <c r="E439" s="35" t="str">
        <f aca="false">IF($C439="","",IFERROR(INDEX(Invoices!$L$6:$L$505,MATCH($C439,Invoices!$A$6:$A$505,0)),""))</f>
        <v/>
      </c>
      <c r="F439" s="32"/>
      <c r="G439" s="32"/>
      <c r="H439" s="32"/>
      <c r="I439" s="34" t="str">
        <f aca="false">IF($A439="","",N($F439)+N($G439)+N($H439))</f>
        <v/>
      </c>
      <c r="J439" s="26"/>
      <c r="K439" s="28"/>
      <c r="L439" s="26"/>
      <c r="M439" s="26"/>
      <c r="N439" s="28"/>
      <c r="O439" s="28"/>
    </row>
    <row r="440" customFormat="false" ht="15" hidden="false" customHeight="false" outlineLevel="0" collapsed="false">
      <c r="A440" s="26"/>
      <c r="B440" s="29"/>
      <c r="C440" s="26"/>
      <c r="D440" s="27" t="str">
        <f aca="false">IF($C440="","",IFERROR(INDEX(Invoices!$C$6:$C$505,MATCH($C440,Invoices!$A$6:$A$505,0)),"Invoice not found"))</f>
        <v/>
      </c>
      <c r="E440" s="35" t="str">
        <f aca="false">IF($C440="","",IFERROR(INDEX(Invoices!$L$6:$L$505,MATCH($C440,Invoices!$A$6:$A$505,0)),""))</f>
        <v/>
      </c>
      <c r="F440" s="32"/>
      <c r="G440" s="32"/>
      <c r="H440" s="32"/>
      <c r="I440" s="34" t="str">
        <f aca="false">IF($A440="","",N($F440)+N($G440)+N($H440))</f>
        <v/>
      </c>
      <c r="J440" s="26"/>
      <c r="K440" s="28"/>
      <c r="L440" s="26"/>
      <c r="M440" s="26"/>
      <c r="N440" s="28"/>
      <c r="O440" s="28"/>
    </row>
    <row r="441" customFormat="false" ht="15" hidden="false" customHeight="false" outlineLevel="0" collapsed="false">
      <c r="A441" s="26"/>
      <c r="B441" s="29"/>
      <c r="C441" s="26"/>
      <c r="D441" s="27" t="str">
        <f aca="false">IF($C441="","",IFERROR(INDEX(Invoices!$C$6:$C$505,MATCH($C441,Invoices!$A$6:$A$505,0)),"Invoice not found"))</f>
        <v/>
      </c>
      <c r="E441" s="35" t="str">
        <f aca="false">IF($C441="","",IFERROR(INDEX(Invoices!$L$6:$L$505,MATCH($C441,Invoices!$A$6:$A$505,0)),""))</f>
        <v/>
      </c>
      <c r="F441" s="32"/>
      <c r="G441" s="32"/>
      <c r="H441" s="32"/>
      <c r="I441" s="34" t="str">
        <f aca="false">IF($A441="","",N($F441)+N($G441)+N($H441))</f>
        <v/>
      </c>
      <c r="J441" s="26"/>
      <c r="K441" s="28"/>
      <c r="L441" s="26"/>
      <c r="M441" s="26"/>
      <c r="N441" s="28"/>
      <c r="O441" s="28"/>
    </row>
    <row r="442" customFormat="false" ht="15" hidden="false" customHeight="false" outlineLevel="0" collapsed="false">
      <c r="A442" s="26"/>
      <c r="B442" s="29"/>
      <c r="C442" s="26"/>
      <c r="D442" s="27" t="str">
        <f aca="false">IF($C442="","",IFERROR(INDEX(Invoices!$C$6:$C$505,MATCH($C442,Invoices!$A$6:$A$505,0)),"Invoice not found"))</f>
        <v/>
      </c>
      <c r="E442" s="35" t="str">
        <f aca="false">IF($C442="","",IFERROR(INDEX(Invoices!$L$6:$L$505,MATCH($C442,Invoices!$A$6:$A$505,0)),""))</f>
        <v/>
      </c>
      <c r="F442" s="32"/>
      <c r="G442" s="32"/>
      <c r="H442" s="32"/>
      <c r="I442" s="34" t="str">
        <f aca="false">IF($A442="","",N($F442)+N($G442)+N($H442))</f>
        <v/>
      </c>
      <c r="J442" s="26"/>
      <c r="K442" s="28"/>
      <c r="L442" s="26"/>
      <c r="M442" s="26"/>
      <c r="N442" s="28"/>
      <c r="O442" s="28"/>
    </row>
    <row r="443" customFormat="false" ht="15" hidden="false" customHeight="false" outlineLevel="0" collapsed="false">
      <c r="A443" s="26"/>
      <c r="B443" s="29"/>
      <c r="C443" s="26"/>
      <c r="D443" s="27" t="str">
        <f aca="false">IF($C443="","",IFERROR(INDEX(Invoices!$C$6:$C$505,MATCH($C443,Invoices!$A$6:$A$505,0)),"Invoice not found"))</f>
        <v/>
      </c>
      <c r="E443" s="35" t="str">
        <f aca="false">IF($C443="","",IFERROR(INDEX(Invoices!$L$6:$L$505,MATCH($C443,Invoices!$A$6:$A$505,0)),""))</f>
        <v/>
      </c>
      <c r="F443" s="32"/>
      <c r="G443" s="32"/>
      <c r="H443" s="32"/>
      <c r="I443" s="34" t="str">
        <f aca="false">IF($A443="","",N($F443)+N($G443)+N($H443))</f>
        <v/>
      </c>
      <c r="J443" s="26"/>
      <c r="K443" s="28"/>
      <c r="L443" s="26"/>
      <c r="M443" s="26"/>
      <c r="N443" s="28"/>
      <c r="O443" s="28"/>
    </row>
    <row r="444" customFormat="false" ht="15" hidden="false" customHeight="false" outlineLevel="0" collapsed="false">
      <c r="A444" s="26"/>
      <c r="B444" s="29"/>
      <c r="C444" s="26"/>
      <c r="D444" s="27" t="str">
        <f aca="false">IF($C444="","",IFERROR(INDEX(Invoices!$C$6:$C$505,MATCH($C444,Invoices!$A$6:$A$505,0)),"Invoice not found"))</f>
        <v/>
      </c>
      <c r="E444" s="35" t="str">
        <f aca="false">IF($C444="","",IFERROR(INDEX(Invoices!$L$6:$L$505,MATCH($C444,Invoices!$A$6:$A$505,0)),""))</f>
        <v/>
      </c>
      <c r="F444" s="32"/>
      <c r="G444" s="32"/>
      <c r="H444" s="32"/>
      <c r="I444" s="34" t="str">
        <f aca="false">IF($A444="","",N($F444)+N($G444)+N($H444))</f>
        <v/>
      </c>
      <c r="J444" s="26"/>
      <c r="K444" s="28"/>
      <c r="L444" s="26"/>
      <c r="M444" s="26"/>
      <c r="N444" s="28"/>
      <c r="O444" s="28"/>
    </row>
    <row r="445" customFormat="false" ht="15" hidden="false" customHeight="false" outlineLevel="0" collapsed="false">
      <c r="A445" s="26"/>
      <c r="B445" s="29"/>
      <c r="C445" s="26"/>
      <c r="D445" s="27" t="str">
        <f aca="false">IF($C445="","",IFERROR(INDEX(Invoices!$C$6:$C$505,MATCH($C445,Invoices!$A$6:$A$505,0)),"Invoice not found"))</f>
        <v/>
      </c>
      <c r="E445" s="35" t="str">
        <f aca="false">IF($C445="","",IFERROR(INDEX(Invoices!$L$6:$L$505,MATCH($C445,Invoices!$A$6:$A$505,0)),""))</f>
        <v/>
      </c>
      <c r="F445" s="32"/>
      <c r="G445" s="32"/>
      <c r="H445" s="32"/>
      <c r="I445" s="34" t="str">
        <f aca="false">IF($A445="","",N($F445)+N($G445)+N($H445))</f>
        <v/>
      </c>
      <c r="J445" s="26"/>
      <c r="K445" s="28"/>
      <c r="L445" s="26"/>
      <c r="M445" s="26"/>
      <c r="N445" s="28"/>
      <c r="O445" s="28"/>
    </row>
    <row r="446" customFormat="false" ht="15" hidden="false" customHeight="false" outlineLevel="0" collapsed="false">
      <c r="A446" s="26"/>
      <c r="B446" s="29"/>
      <c r="C446" s="26"/>
      <c r="D446" s="27" t="str">
        <f aca="false">IF($C446="","",IFERROR(INDEX(Invoices!$C$6:$C$505,MATCH($C446,Invoices!$A$6:$A$505,0)),"Invoice not found"))</f>
        <v/>
      </c>
      <c r="E446" s="35" t="str">
        <f aca="false">IF($C446="","",IFERROR(INDEX(Invoices!$L$6:$L$505,MATCH($C446,Invoices!$A$6:$A$505,0)),""))</f>
        <v/>
      </c>
      <c r="F446" s="32"/>
      <c r="G446" s="32"/>
      <c r="H446" s="32"/>
      <c r="I446" s="34" t="str">
        <f aca="false">IF($A446="","",N($F446)+N($G446)+N($H446))</f>
        <v/>
      </c>
      <c r="J446" s="26"/>
      <c r="K446" s="28"/>
      <c r="L446" s="26"/>
      <c r="M446" s="26"/>
      <c r="N446" s="28"/>
      <c r="O446" s="28"/>
    </row>
    <row r="447" customFormat="false" ht="15" hidden="false" customHeight="false" outlineLevel="0" collapsed="false">
      <c r="A447" s="26"/>
      <c r="B447" s="29"/>
      <c r="C447" s="26"/>
      <c r="D447" s="27" t="str">
        <f aca="false">IF($C447="","",IFERROR(INDEX(Invoices!$C$6:$C$505,MATCH($C447,Invoices!$A$6:$A$505,0)),"Invoice not found"))</f>
        <v/>
      </c>
      <c r="E447" s="35" t="str">
        <f aca="false">IF($C447="","",IFERROR(INDEX(Invoices!$L$6:$L$505,MATCH($C447,Invoices!$A$6:$A$505,0)),""))</f>
        <v/>
      </c>
      <c r="F447" s="32"/>
      <c r="G447" s="32"/>
      <c r="H447" s="32"/>
      <c r="I447" s="34" t="str">
        <f aca="false">IF($A447="","",N($F447)+N($G447)+N($H447))</f>
        <v/>
      </c>
      <c r="J447" s="26"/>
      <c r="K447" s="28"/>
      <c r="L447" s="26"/>
      <c r="M447" s="26"/>
      <c r="N447" s="28"/>
      <c r="O447" s="28"/>
    </row>
    <row r="448" customFormat="false" ht="15" hidden="false" customHeight="false" outlineLevel="0" collapsed="false">
      <c r="A448" s="26"/>
      <c r="B448" s="29"/>
      <c r="C448" s="26"/>
      <c r="D448" s="27" t="str">
        <f aca="false">IF($C448="","",IFERROR(INDEX(Invoices!$C$6:$C$505,MATCH($C448,Invoices!$A$6:$A$505,0)),"Invoice not found"))</f>
        <v/>
      </c>
      <c r="E448" s="35" t="str">
        <f aca="false">IF($C448="","",IFERROR(INDEX(Invoices!$L$6:$L$505,MATCH($C448,Invoices!$A$6:$A$505,0)),""))</f>
        <v/>
      </c>
      <c r="F448" s="32"/>
      <c r="G448" s="32"/>
      <c r="H448" s="32"/>
      <c r="I448" s="34" t="str">
        <f aca="false">IF($A448="","",N($F448)+N($G448)+N($H448))</f>
        <v/>
      </c>
      <c r="J448" s="26"/>
      <c r="K448" s="28"/>
      <c r="L448" s="26"/>
      <c r="M448" s="26"/>
      <c r="N448" s="28"/>
      <c r="O448" s="28"/>
    </row>
    <row r="449" customFormat="false" ht="15" hidden="false" customHeight="false" outlineLevel="0" collapsed="false">
      <c r="A449" s="26"/>
      <c r="B449" s="29"/>
      <c r="C449" s="26"/>
      <c r="D449" s="27" t="str">
        <f aca="false">IF($C449="","",IFERROR(INDEX(Invoices!$C$6:$C$505,MATCH($C449,Invoices!$A$6:$A$505,0)),"Invoice not found"))</f>
        <v/>
      </c>
      <c r="E449" s="35" t="str">
        <f aca="false">IF($C449="","",IFERROR(INDEX(Invoices!$L$6:$L$505,MATCH($C449,Invoices!$A$6:$A$505,0)),""))</f>
        <v/>
      </c>
      <c r="F449" s="32"/>
      <c r="G449" s="32"/>
      <c r="H449" s="32"/>
      <c r="I449" s="34" t="str">
        <f aca="false">IF($A449="","",N($F449)+N($G449)+N($H449))</f>
        <v/>
      </c>
      <c r="J449" s="26"/>
      <c r="K449" s="28"/>
      <c r="L449" s="26"/>
      <c r="M449" s="26"/>
      <c r="N449" s="28"/>
      <c r="O449" s="28"/>
    </row>
    <row r="450" customFormat="false" ht="15" hidden="false" customHeight="false" outlineLevel="0" collapsed="false">
      <c r="A450" s="26"/>
      <c r="B450" s="29"/>
      <c r="C450" s="26"/>
      <c r="D450" s="27" t="str">
        <f aca="false">IF($C450="","",IFERROR(INDEX(Invoices!$C$6:$C$505,MATCH($C450,Invoices!$A$6:$A$505,0)),"Invoice not found"))</f>
        <v/>
      </c>
      <c r="E450" s="35" t="str">
        <f aca="false">IF($C450="","",IFERROR(INDEX(Invoices!$L$6:$L$505,MATCH($C450,Invoices!$A$6:$A$505,0)),""))</f>
        <v/>
      </c>
      <c r="F450" s="32"/>
      <c r="G450" s="32"/>
      <c r="H450" s="32"/>
      <c r="I450" s="34" t="str">
        <f aca="false">IF($A450="","",N($F450)+N($G450)+N($H450))</f>
        <v/>
      </c>
      <c r="J450" s="26"/>
      <c r="K450" s="28"/>
      <c r="L450" s="26"/>
      <c r="M450" s="26"/>
      <c r="N450" s="28"/>
      <c r="O450" s="28"/>
    </row>
    <row r="451" customFormat="false" ht="15" hidden="false" customHeight="false" outlineLevel="0" collapsed="false">
      <c r="A451" s="26"/>
      <c r="B451" s="29"/>
      <c r="C451" s="26"/>
      <c r="D451" s="27" t="str">
        <f aca="false">IF($C451="","",IFERROR(INDEX(Invoices!$C$6:$C$505,MATCH($C451,Invoices!$A$6:$A$505,0)),"Invoice not found"))</f>
        <v/>
      </c>
      <c r="E451" s="35" t="str">
        <f aca="false">IF($C451="","",IFERROR(INDEX(Invoices!$L$6:$L$505,MATCH($C451,Invoices!$A$6:$A$505,0)),""))</f>
        <v/>
      </c>
      <c r="F451" s="32"/>
      <c r="G451" s="32"/>
      <c r="H451" s="32"/>
      <c r="I451" s="34" t="str">
        <f aca="false">IF($A451="","",N($F451)+N($G451)+N($H451))</f>
        <v/>
      </c>
      <c r="J451" s="26"/>
      <c r="K451" s="28"/>
      <c r="L451" s="26"/>
      <c r="M451" s="26"/>
      <c r="N451" s="28"/>
      <c r="O451" s="28"/>
    </row>
    <row r="452" customFormat="false" ht="15" hidden="false" customHeight="false" outlineLevel="0" collapsed="false">
      <c r="A452" s="26"/>
      <c r="B452" s="29"/>
      <c r="C452" s="26"/>
      <c r="D452" s="27" t="str">
        <f aca="false">IF($C452="","",IFERROR(INDEX(Invoices!$C$6:$C$505,MATCH($C452,Invoices!$A$6:$A$505,0)),"Invoice not found"))</f>
        <v/>
      </c>
      <c r="E452" s="35" t="str">
        <f aca="false">IF($C452="","",IFERROR(INDEX(Invoices!$L$6:$L$505,MATCH($C452,Invoices!$A$6:$A$505,0)),""))</f>
        <v/>
      </c>
      <c r="F452" s="32"/>
      <c r="G452" s="32"/>
      <c r="H452" s="32"/>
      <c r="I452" s="34" t="str">
        <f aca="false">IF($A452="","",N($F452)+N($G452)+N($H452))</f>
        <v/>
      </c>
      <c r="J452" s="26"/>
      <c r="K452" s="28"/>
      <c r="L452" s="26"/>
      <c r="M452" s="26"/>
      <c r="N452" s="28"/>
      <c r="O452" s="28"/>
    </row>
    <row r="453" customFormat="false" ht="15" hidden="false" customHeight="false" outlineLevel="0" collapsed="false">
      <c r="A453" s="26"/>
      <c r="B453" s="29"/>
      <c r="C453" s="26"/>
      <c r="D453" s="27" t="str">
        <f aca="false">IF($C453="","",IFERROR(INDEX(Invoices!$C$6:$C$505,MATCH($C453,Invoices!$A$6:$A$505,0)),"Invoice not found"))</f>
        <v/>
      </c>
      <c r="E453" s="35" t="str">
        <f aca="false">IF($C453="","",IFERROR(INDEX(Invoices!$L$6:$L$505,MATCH($C453,Invoices!$A$6:$A$505,0)),""))</f>
        <v/>
      </c>
      <c r="F453" s="32"/>
      <c r="G453" s="32"/>
      <c r="H453" s="32"/>
      <c r="I453" s="34" t="str">
        <f aca="false">IF($A453="","",N($F453)+N($G453)+N($H453))</f>
        <v/>
      </c>
      <c r="J453" s="26"/>
      <c r="K453" s="28"/>
      <c r="L453" s="26"/>
      <c r="M453" s="26"/>
      <c r="N453" s="28"/>
      <c r="O453" s="28"/>
    </row>
    <row r="454" customFormat="false" ht="15" hidden="false" customHeight="false" outlineLevel="0" collapsed="false">
      <c r="A454" s="26"/>
      <c r="B454" s="29"/>
      <c r="C454" s="26"/>
      <c r="D454" s="27" t="str">
        <f aca="false">IF($C454="","",IFERROR(INDEX(Invoices!$C$6:$C$505,MATCH($C454,Invoices!$A$6:$A$505,0)),"Invoice not found"))</f>
        <v/>
      </c>
      <c r="E454" s="35" t="str">
        <f aca="false">IF($C454="","",IFERROR(INDEX(Invoices!$L$6:$L$505,MATCH($C454,Invoices!$A$6:$A$505,0)),""))</f>
        <v/>
      </c>
      <c r="F454" s="32"/>
      <c r="G454" s="32"/>
      <c r="H454" s="32"/>
      <c r="I454" s="34" t="str">
        <f aca="false">IF($A454="","",N($F454)+N($G454)+N($H454))</f>
        <v/>
      </c>
      <c r="J454" s="26"/>
      <c r="K454" s="28"/>
      <c r="L454" s="26"/>
      <c r="M454" s="26"/>
      <c r="N454" s="28"/>
      <c r="O454" s="28"/>
    </row>
    <row r="455" customFormat="false" ht="15" hidden="false" customHeight="false" outlineLevel="0" collapsed="false">
      <c r="A455" s="26"/>
      <c r="B455" s="29"/>
      <c r="C455" s="26"/>
      <c r="D455" s="27" t="str">
        <f aca="false">IF($C455="","",IFERROR(INDEX(Invoices!$C$6:$C$505,MATCH($C455,Invoices!$A$6:$A$505,0)),"Invoice not found"))</f>
        <v/>
      </c>
      <c r="E455" s="35" t="str">
        <f aca="false">IF($C455="","",IFERROR(INDEX(Invoices!$L$6:$L$505,MATCH($C455,Invoices!$A$6:$A$505,0)),""))</f>
        <v/>
      </c>
      <c r="F455" s="32"/>
      <c r="G455" s="32"/>
      <c r="H455" s="32"/>
      <c r="I455" s="34" t="str">
        <f aca="false">IF($A455="","",N($F455)+N($G455)+N($H455))</f>
        <v/>
      </c>
      <c r="J455" s="26"/>
      <c r="K455" s="28"/>
      <c r="L455" s="26"/>
      <c r="M455" s="26"/>
      <c r="N455" s="28"/>
      <c r="O455" s="28"/>
    </row>
    <row r="456" customFormat="false" ht="15" hidden="false" customHeight="false" outlineLevel="0" collapsed="false">
      <c r="A456" s="26"/>
      <c r="B456" s="29"/>
      <c r="C456" s="26"/>
      <c r="D456" s="27" t="str">
        <f aca="false">IF($C456="","",IFERROR(INDEX(Invoices!$C$6:$C$505,MATCH($C456,Invoices!$A$6:$A$505,0)),"Invoice not found"))</f>
        <v/>
      </c>
      <c r="E456" s="35" t="str">
        <f aca="false">IF($C456="","",IFERROR(INDEX(Invoices!$L$6:$L$505,MATCH($C456,Invoices!$A$6:$A$505,0)),""))</f>
        <v/>
      </c>
      <c r="F456" s="32"/>
      <c r="G456" s="32"/>
      <c r="H456" s="32"/>
      <c r="I456" s="34" t="str">
        <f aca="false">IF($A456="","",N($F456)+N($G456)+N($H456))</f>
        <v/>
      </c>
      <c r="J456" s="26"/>
      <c r="K456" s="28"/>
      <c r="L456" s="26"/>
      <c r="M456" s="26"/>
      <c r="N456" s="28"/>
      <c r="O456" s="28"/>
    </row>
    <row r="457" customFormat="false" ht="15" hidden="false" customHeight="false" outlineLevel="0" collapsed="false">
      <c r="A457" s="26"/>
      <c r="B457" s="29"/>
      <c r="C457" s="26"/>
      <c r="D457" s="27" t="str">
        <f aca="false">IF($C457="","",IFERROR(INDEX(Invoices!$C$6:$C$505,MATCH($C457,Invoices!$A$6:$A$505,0)),"Invoice not found"))</f>
        <v/>
      </c>
      <c r="E457" s="35" t="str">
        <f aca="false">IF($C457="","",IFERROR(INDEX(Invoices!$L$6:$L$505,MATCH($C457,Invoices!$A$6:$A$505,0)),""))</f>
        <v/>
      </c>
      <c r="F457" s="32"/>
      <c r="G457" s="32"/>
      <c r="H457" s="32"/>
      <c r="I457" s="34" t="str">
        <f aca="false">IF($A457="","",N($F457)+N($G457)+N($H457))</f>
        <v/>
      </c>
      <c r="J457" s="26"/>
      <c r="K457" s="28"/>
      <c r="L457" s="26"/>
      <c r="M457" s="26"/>
      <c r="N457" s="28"/>
      <c r="O457" s="28"/>
    </row>
    <row r="458" customFormat="false" ht="15" hidden="false" customHeight="false" outlineLevel="0" collapsed="false">
      <c r="A458" s="26"/>
      <c r="B458" s="29"/>
      <c r="C458" s="26"/>
      <c r="D458" s="27" t="str">
        <f aca="false">IF($C458="","",IFERROR(INDEX(Invoices!$C$6:$C$505,MATCH($C458,Invoices!$A$6:$A$505,0)),"Invoice not found"))</f>
        <v/>
      </c>
      <c r="E458" s="35" t="str">
        <f aca="false">IF($C458="","",IFERROR(INDEX(Invoices!$L$6:$L$505,MATCH($C458,Invoices!$A$6:$A$505,0)),""))</f>
        <v/>
      </c>
      <c r="F458" s="32"/>
      <c r="G458" s="32"/>
      <c r="H458" s="32"/>
      <c r="I458" s="34" t="str">
        <f aca="false">IF($A458="","",N($F458)+N($G458)+N($H458))</f>
        <v/>
      </c>
      <c r="J458" s="26"/>
      <c r="K458" s="28"/>
      <c r="L458" s="26"/>
      <c r="M458" s="26"/>
      <c r="N458" s="28"/>
      <c r="O458" s="28"/>
    </row>
    <row r="459" customFormat="false" ht="15" hidden="false" customHeight="false" outlineLevel="0" collapsed="false">
      <c r="A459" s="26"/>
      <c r="B459" s="29"/>
      <c r="C459" s="26"/>
      <c r="D459" s="27" t="str">
        <f aca="false">IF($C459="","",IFERROR(INDEX(Invoices!$C$6:$C$505,MATCH($C459,Invoices!$A$6:$A$505,0)),"Invoice not found"))</f>
        <v/>
      </c>
      <c r="E459" s="35" t="str">
        <f aca="false">IF($C459="","",IFERROR(INDEX(Invoices!$L$6:$L$505,MATCH($C459,Invoices!$A$6:$A$505,0)),""))</f>
        <v/>
      </c>
      <c r="F459" s="32"/>
      <c r="G459" s="32"/>
      <c r="H459" s="32"/>
      <c r="I459" s="34" t="str">
        <f aca="false">IF($A459="","",N($F459)+N($G459)+N($H459))</f>
        <v/>
      </c>
      <c r="J459" s="26"/>
      <c r="K459" s="28"/>
      <c r="L459" s="26"/>
      <c r="M459" s="26"/>
      <c r="N459" s="28"/>
      <c r="O459" s="28"/>
    </row>
    <row r="460" customFormat="false" ht="15" hidden="false" customHeight="false" outlineLevel="0" collapsed="false">
      <c r="A460" s="26"/>
      <c r="B460" s="29"/>
      <c r="C460" s="26"/>
      <c r="D460" s="27" t="str">
        <f aca="false">IF($C460="","",IFERROR(INDEX(Invoices!$C$6:$C$505,MATCH($C460,Invoices!$A$6:$A$505,0)),"Invoice not found"))</f>
        <v/>
      </c>
      <c r="E460" s="35" t="str">
        <f aca="false">IF($C460="","",IFERROR(INDEX(Invoices!$L$6:$L$505,MATCH($C460,Invoices!$A$6:$A$505,0)),""))</f>
        <v/>
      </c>
      <c r="F460" s="32"/>
      <c r="G460" s="32"/>
      <c r="H460" s="32"/>
      <c r="I460" s="34" t="str">
        <f aca="false">IF($A460="","",N($F460)+N($G460)+N($H460))</f>
        <v/>
      </c>
      <c r="J460" s="26"/>
      <c r="K460" s="28"/>
      <c r="L460" s="26"/>
      <c r="M460" s="26"/>
      <c r="N460" s="28"/>
      <c r="O460" s="28"/>
    </row>
    <row r="461" customFormat="false" ht="15" hidden="false" customHeight="false" outlineLevel="0" collapsed="false">
      <c r="A461" s="26"/>
      <c r="B461" s="29"/>
      <c r="C461" s="26"/>
      <c r="D461" s="27" t="str">
        <f aca="false">IF($C461="","",IFERROR(INDEX(Invoices!$C$6:$C$505,MATCH($C461,Invoices!$A$6:$A$505,0)),"Invoice not found"))</f>
        <v/>
      </c>
      <c r="E461" s="35" t="str">
        <f aca="false">IF($C461="","",IFERROR(INDEX(Invoices!$L$6:$L$505,MATCH($C461,Invoices!$A$6:$A$505,0)),""))</f>
        <v/>
      </c>
      <c r="F461" s="32"/>
      <c r="G461" s="32"/>
      <c r="H461" s="32"/>
      <c r="I461" s="34" t="str">
        <f aca="false">IF($A461="","",N($F461)+N($G461)+N($H461))</f>
        <v/>
      </c>
      <c r="J461" s="26"/>
      <c r="K461" s="28"/>
      <c r="L461" s="26"/>
      <c r="M461" s="26"/>
      <c r="N461" s="28"/>
      <c r="O461" s="28"/>
    </row>
    <row r="462" customFormat="false" ht="15" hidden="false" customHeight="false" outlineLevel="0" collapsed="false">
      <c r="A462" s="26"/>
      <c r="B462" s="29"/>
      <c r="C462" s="26"/>
      <c r="D462" s="27" t="str">
        <f aca="false">IF($C462="","",IFERROR(INDEX(Invoices!$C$6:$C$505,MATCH($C462,Invoices!$A$6:$A$505,0)),"Invoice not found"))</f>
        <v/>
      </c>
      <c r="E462" s="35" t="str">
        <f aca="false">IF($C462="","",IFERROR(INDEX(Invoices!$L$6:$L$505,MATCH($C462,Invoices!$A$6:$A$505,0)),""))</f>
        <v/>
      </c>
      <c r="F462" s="32"/>
      <c r="G462" s="32"/>
      <c r="H462" s="32"/>
      <c r="I462" s="34" t="str">
        <f aca="false">IF($A462="","",N($F462)+N($G462)+N($H462))</f>
        <v/>
      </c>
      <c r="J462" s="26"/>
      <c r="K462" s="28"/>
      <c r="L462" s="26"/>
      <c r="M462" s="26"/>
      <c r="N462" s="28"/>
      <c r="O462" s="28"/>
    </row>
    <row r="463" customFormat="false" ht="15" hidden="false" customHeight="false" outlineLevel="0" collapsed="false">
      <c r="A463" s="26"/>
      <c r="B463" s="29"/>
      <c r="C463" s="26"/>
      <c r="D463" s="27" t="str">
        <f aca="false">IF($C463="","",IFERROR(INDEX(Invoices!$C$6:$C$505,MATCH($C463,Invoices!$A$6:$A$505,0)),"Invoice not found"))</f>
        <v/>
      </c>
      <c r="E463" s="35" t="str">
        <f aca="false">IF($C463="","",IFERROR(INDEX(Invoices!$L$6:$L$505,MATCH($C463,Invoices!$A$6:$A$505,0)),""))</f>
        <v/>
      </c>
      <c r="F463" s="32"/>
      <c r="G463" s="32"/>
      <c r="H463" s="32"/>
      <c r="I463" s="34" t="str">
        <f aca="false">IF($A463="","",N($F463)+N($G463)+N($H463))</f>
        <v/>
      </c>
      <c r="J463" s="26"/>
      <c r="K463" s="28"/>
      <c r="L463" s="26"/>
      <c r="M463" s="26"/>
      <c r="N463" s="28"/>
      <c r="O463" s="28"/>
    </row>
    <row r="464" customFormat="false" ht="15" hidden="false" customHeight="false" outlineLevel="0" collapsed="false">
      <c r="A464" s="26"/>
      <c r="B464" s="29"/>
      <c r="C464" s="26"/>
      <c r="D464" s="27" t="str">
        <f aca="false">IF($C464="","",IFERROR(INDEX(Invoices!$C$6:$C$505,MATCH($C464,Invoices!$A$6:$A$505,0)),"Invoice not found"))</f>
        <v/>
      </c>
      <c r="E464" s="35" t="str">
        <f aca="false">IF($C464="","",IFERROR(INDEX(Invoices!$L$6:$L$505,MATCH($C464,Invoices!$A$6:$A$505,0)),""))</f>
        <v/>
      </c>
      <c r="F464" s="32"/>
      <c r="G464" s="32"/>
      <c r="H464" s="32"/>
      <c r="I464" s="34" t="str">
        <f aca="false">IF($A464="","",N($F464)+N($G464)+N($H464))</f>
        <v/>
      </c>
      <c r="J464" s="26"/>
      <c r="K464" s="28"/>
      <c r="L464" s="26"/>
      <c r="M464" s="26"/>
      <c r="N464" s="28"/>
      <c r="O464" s="28"/>
    </row>
    <row r="465" customFormat="false" ht="15" hidden="false" customHeight="false" outlineLevel="0" collapsed="false">
      <c r="A465" s="26"/>
      <c r="B465" s="29"/>
      <c r="C465" s="26"/>
      <c r="D465" s="27" t="str">
        <f aca="false">IF($C465="","",IFERROR(INDEX(Invoices!$C$6:$C$505,MATCH($C465,Invoices!$A$6:$A$505,0)),"Invoice not found"))</f>
        <v/>
      </c>
      <c r="E465" s="35" t="str">
        <f aca="false">IF($C465="","",IFERROR(INDEX(Invoices!$L$6:$L$505,MATCH($C465,Invoices!$A$6:$A$505,0)),""))</f>
        <v/>
      </c>
      <c r="F465" s="32"/>
      <c r="G465" s="32"/>
      <c r="H465" s="32"/>
      <c r="I465" s="34" t="str">
        <f aca="false">IF($A465="","",N($F465)+N($G465)+N($H465))</f>
        <v/>
      </c>
      <c r="J465" s="26"/>
      <c r="K465" s="28"/>
      <c r="L465" s="26"/>
      <c r="M465" s="26"/>
      <c r="N465" s="28"/>
      <c r="O465" s="28"/>
    </row>
    <row r="466" customFormat="false" ht="15" hidden="false" customHeight="false" outlineLevel="0" collapsed="false">
      <c r="A466" s="26"/>
      <c r="B466" s="29"/>
      <c r="C466" s="26"/>
      <c r="D466" s="27" t="str">
        <f aca="false">IF($C466="","",IFERROR(INDEX(Invoices!$C$6:$C$505,MATCH($C466,Invoices!$A$6:$A$505,0)),"Invoice not found"))</f>
        <v/>
      </c>
      <c r="E466" s="35" t="str">
        <f aca="false">IF($C466="","",IFERROR(INDEX(Invoices!$L$6:$L$505,MATCH($C466,Invoices!$A$6:$A$505,0)),""))</f>
        <v/>
      </c>
      <c r="F466" s="32"/>
      <c r="G466" s="32"/>
      <c r="H466" s="32"/>
      <c r="I466" s="34" t="str">
        <f aca="false">IF($A466="","",N($F466)+N($G466)+N($H466))</f>
        <v/>
      </c>
      <c r="J466" s="26"/>
      <c r="K466" s="28"/>
      <c r="L466" s="26"/>
      <c r="M466" s="26"/>
      <c r="N466" s="28"/>
      <c r="O466" s="28"/>
    </row>
    <row r="467" customFormat="false" ht="15" hidden="false" customHeight="false" outlineLevel="0" collapsed="false">
      <c r="A467" s="26"/>
      <c r="B467" s="29"/>
      <c r="C467" s="26"/>
      <c r="D467" s="27" t="str">
        <f aca="false">IF($C467="","",IFERROR(INDEX(Invoices!$C$6:$C$505,MATCH($C467,Invoices!$A$6:$A$505,0)),"Invoice not found"))</f>
        <v/>
      </c>
      <c r="E467" s="35" t="str">
        <f aca="false">IF($C467="","",IFERROR(INDEX(Invoices!$L$6:$L$505,MATCH($C467,Invoices!$A$6:$A$505,0)),""))</f>
        <v/>
      </c>
      <c r="F467" s="32"/>
      <c r="G467" s="32"/>
      <c r="H467" s="32"/>
      <c r="I467" s="34" t="str">
        <f aca="false">IF($A467="","",N($F467)+N($G467)+N($H467))</f>
        <v/>
      </c>
      <c r="J467" s="26"/>
      <c r="K467" s="28"/>
      <c r="L467" s="26"/>
      <c r="M467" s="26"/>
      <c r="N467" s="28"/>
      <c r="O467" s="28"/>
    </row>
    <row r="468" customFormat="false" ht="15" hidden="false" customHeight="false" outlineLevel="0" collapsed="false">
      <c r="A468" s="26"/>
      <c r="B468" s="29"/>
      <c r="C468" s="26"/>
      <c r="D468" s="27" t="str">
        <f aca="false">IF($C468="","",IFERROR(INDEX(Invoices!$C$6:$C$505,MATCH($C468,Invoices!$A$6:$A$505,0)),"Invoice not found"))</f>
        <v/>
      </c>
      <c r="E468" s="35" t="str">
        <f aca="false">IF($C468="","",IFERROR(INDEX(Invoices!$L$6:$L$505,MATCH($C468,Invoices!$A$6:$A$505,0)),""))</f>
        <v/>
      </c>
      <c r="F468" s="32"/>
      <c r="G468" s="32"/>
      <c r="H468" s="32"/>
      <c r="I468" s="34" t="str">
        <f aca="false">IF($A468="","",N($F468)+N($G468)+N($H468))</f>
        <v/>
      </c>
      <c r="J468" s="26"/>
      <c r="K468" s="28"/>
      <c r="L468" s="26"/>
      <c r="M468" s="26"/>
      <c r="N468" s="28"/>
      <c r="O468" s="28"/>
    </row>
    <row r="469" customFormat="false" ht="15" hidden="false" customHeight="false" outlineLevel="0" collapsed="false">
      <c r="A469" s="26"/>
      <c r="B469" s="29"/>
      <c r="C469" s="26"/>
      <c r="D469" s="27" t="str">
        <f aca="false">IF($C469="","",IFERROR(INDEX(Invoices!$C$6:$C$505,MATCH($C469,Invoices!$A$6:$A$505,0)),"Invoice not found"))</f>
        <v/>
      </c>
      <c r="E469" s="35" t="str">
        <f aca="false">IF($C469="","",IFERROR(INDEX(Invoices!$L$6:$L$505,MATCH($C469,Invoices!$A$6:$A$505,0)),""))</f>
        <v/>
      </c>
      <c r="F469" s="32"/>
      <c r="G469" s="32"/>
      <c r="H469" s="32"/>
      <c r="I469" s="34" t="str">
        <f aca="false">IF($A469="","",N($F469)+N($G469)+N($H469))</f>
        <v/>
      </c>
      <c r="J469" s="26"/>
      <c r="K469" s="28"/>
      <c r="L469" s="26"/>
      <c r="M469" s="26"/>
      <c r="N469" s="28"/>
      <c r="O469" s="28"/>
    </row>
    <row r="470" customFormat="false" ht="15" hidden="false" customHeight="false" outlineLevel="0" collapsed="false">
      <c r="A470" s="26"/>
      <c r="B470" s="29"/>
      <c r="C470" s="26"/>
      <c r="D470" s="27" t="str">
        <f aca="false">IF($C470="","",IFERROR(INDEX(Invoices!$C$6:$C$505,MATCH($C470,Invoices!$A$6:$A$505,0)),"Invoice not found"))</f>
        <v/>
      </c>
      <c r="E470" s="35" t="str">
        <f aca="false">IF($C470="","",IFERROR(INDEX(Invoices!$L$6:$L$505,MATCH($C470,Invoices!$A$6:$A$505,0)),""))</f>
        <v/>
      </c>
      <c r="F470" s="32"/>
      <c r="G470" s="32"/>
      <c r="H470" s="32"/>
      <c r="I470" s="34" t="str">
        <f aca="false">IF($A470="","",N($F470)+N($G470)+N($H470))</f>
        <v/>
      </c>
      <c r="J470" s="26"/>
      <c r="K470" s="28"/>
      <c r="L470" s="26"/>
      <c r="M470" s="26"/>
      <c r="N470" s="28"/>
      <c r="O470" s="28"/>
    </row>
    <row r="471" customFormat="false" ht="15" hidden="false" customHeight="false" outlineLevel="0" collapsed="false">
      <c r="A471" s="26"/>
      <c r="B471" s="29"/>
      <c r="C471" s="26"/>
      <c r="D471" s="27" t="str">
        <f aca="false">IF($C471="","",IFERROR(INDEX(Invoices!$C$6:$C$505,MATCH($C471,Invoices!$A$6:$A$505,0)),"Invoice not found"))</f>
        <v/>
      </c>
      <c r="E471" s="35" t="str">
        <f aca="false">IF($C471="","",IFERROR(INDEX(Invoices!$L$6:$L$505,MATCH($C471,Invoices!$A$6:$A$505,0)),""))</f>
        <v/>
      </c>
      <c r="F471" s="32"/>
      <c r="G471" s="32"/>
      <c r="H471" s="32"/>
      <c r="I471" s="34" t="str">
        <f aca="false">IF($A471="","",N($F471)+N($G471)+N($H471))</f>
        <v/>
      </c>
      <c r="J471" s="26"/>
      <c r="K471" s="28"/>
      <c r="L471" s="26"/>
      <c r="M471" s="26"/>
      <c r="N471" s="28"/>
      <c r="O471" s="28"/>
    </row>
    <row r="472" customFormat="false" ht="15" hidden="false" customHeight="false" outlineLevel="0" collapsed="false">
      <c r="A472" s="26"/>
      <c r="B472" s="29"/>
      <c r="C472" s="26"/>
      <c r="D472" s="27" t="str">
        <f aca="false">IF($C472="","",IFERROR(INDEX(Invoices!$C$6:$C$505,MATCH($C472,Invoices!$A$6:$A$505,0)),"Invoice not found"))</f>
        <v/>
      </c>
      <c r="E472" s="35" t="str">
        <f aca="false">IF($C472="","",IFERROR(INDEX(Invoices!$L$6:$L$505,MATCH($C472,Invoices!$A$6:$A$505,0)),""))</f>
        <v/>
      </c>
      <c r="F472" s="32"/>
      <c r="G472" s="32"/>
      <c r="H472" s="32"/>
      <c r="I472" s="34" t="str">
        <f aca="false">IF($A472="","",N($F472)+N($G472)+N($H472))</f>
        <v/>
      </c>
      <c r="J472" s="26"/>
      <c r="K472" s="28"/>
      <c r="L472" s="26"/>
      <c r="M472" s="26"/>
      <c r="N472" s="28"/>
      <c r="O472" s="28"/>
    </row>
    <row r="473" customFormat="false" ht="15" hidden="false" customHeight="false" outlineLevel="0" collapsed="false">
      <c r="A473" s="26"/>
      <c r="B473" s="29"/>
      <c r="C473" s="26"/>
      <c r="D473" s="27" t="str">
        <f aca="false">IF($C473="","",IFERROR(INDEX(Invoices!$C$6:$C$505,MATCH($C473,Invoices!$A$6:$A$505,0)),"Invoice not found"))</f>
        <v/>
      </c>
      <c r="E473" s="35" t="str">
        <f aca="false">IF($C473="","",IFERROR(INDEX(Invoices!$L$6:$L$505,MATCH($C473,Invoices!$A$6:$A$505,0)),""))</f>
        <v/>
      </c>
      <c r="F473" s="32"/>
      <c r="G473" s="32"/>
      <c r="H473" s="32"/>
      <c r="I473" s="34" t="str">
        <f aca="false">IF($A473="","",N($F473)+N($G473)+N($H473))</f>
        <v/>
      </c>
      <c r="J473" s="26"/>
      <c r="K473" s="28"/>
      <c r="L473" s="26"/>
      <c r="M473" s="26"/>
      <c r="N473" s="28"/>
      <c r="O473" s="28"/>
    </row>
    <row r="474" customFormat="false" ht="15" hidden="false" customHeight="false" outlineLevel="0" collapsed="false">
      <c r="A474" s="26"/>
      <c r="B474" s="29"/>
      <c r="C474" s="26"/>
      <c r="D474" s="27" t="str">
        <f aca="false">IF($C474="","",IFERROR(INDEX(Invoices!$C$6:$C$505,MATCH($C474,Invoices!$A$6:$A$505,0)),"Invoice not found"))</f>
        <v/>
      </c>
      <c r="E474" s="35" t="str">
        <f aca="false">IF($C474="","",IFERROR(INDEX(Invoices!$L$6:$L$505,MATCH($C474,Invoices!$A$6:$A$505,0)),""))</f>
        <v/>
      </c>
      <c r="F474" s="32"/>
      <c r="G474" s="32"/>
      <c r="H474" s="32"/>
      <c r="I474" s="34" t="str">
        <f aca="false">IF($A474="","",N($F474)+N($G474)+N($H474))</f>
        <v/>
      </c>
      <c r="J474" s="26"/>
      <c r="K474" s="28"/>
      <c r="L474" s="26"/>
      <c r="M474" s="26"/>
      <c r="N474" s="28"/>
      <c r="O474" s="28"/>
    </row>
    <row r="475" customFormat="false" ht="15" hidden="false" customHeight="false" outlineLevel="0" collapsed="false">
      <c r="A475" s="26"/>
      <c r="B475" s="29"/>
      <c r="C475" s="26"/>
      <c r="D475" s="27" t="str">
        <f aca="false">IF($C475="","",IFERROR(INDEX(Invoices!$C$6:$C$505,MATCH($C475,Invoices!$A$6:$A$505,0)),"Invoice not found"))</f>
        <v/>
      </c>
      <c r="E475" s="35" t="str">
        <f aca="false">IF($C475="","",IFERROR(INDEX(Invoices!$L$6:$L$505,MATCH($C475,Invoices!$A$6:$A$505,0)),""))</f>
        <v/>
      </c>
      <c r="F475" s="32"/>
      <c r="G475" s="32"/>
      <c r="H475" s="32"/>
      <c r="I475" s="34" t="str">
        <f aca="false">IF($A475="","",N($F475)+N($G475)+N($H475))</f>
        <v/>
      </c>
      <c r="J475" s="26"/>
      <c r="K475" s="28"/>
      <c r="L475" s="26"/>
      <c r="M475" s="26"/>
      <c r="N475" s="28"/>
      <c r="O475" s="28"/>
    </row>
    <row r="476" customFormat="false" ht="15" hidden="false" customHeight="false" outlineLevel="0" collapsed="false">
      <c r="A476" s="26"/>
      <c r="B476" s="29"/>
      <c r="C476" s="26"/>
      <c r="D476" s="27" t="str">
        <f aca="false">IF($C476="","",IFERROR(INDEX(Invoices!$C$6:$C$505,MATCH($C476,Invoices!$A$6:$A$505,0)),"Invoice not found"))</f>
        <v/>
      </c>
      <c r="E476" s="35" t="str">
        <f aca="false">IF($C476="","",IFERROR(INDEX(Invoices!$L$6:$L$505,MATCH($C476,Invoices!$A$6:$A$505,0)),""))</f>
        <v/>
      </c>
      <c r="F476" s="32"/>
      <c r="G476" s="32"/>
      <c r="H476" s="32"/>
      <c r="I476" s="34" t="str">
        <f aca="false">IF($A476="","",N($F476)+N($G476)+N($H476))</f>
        <v/>
      </c>
      <c r="J476" s="26"/>
      <c r="K476" s="28"/>
      <c r="L476" s="26"/>
      <c r="M476" s="26"/>
      <c r="N476" s="28"/>
      <c r="O476" s="28"/>
    </row>
    <row r="477" customFormat="false" ht="15" hidden="false" customHeight="false" outlineLevel="0" collapsed="false">
      <c r="A477" s="26"/>
      <c r="B477" s="29"/>
      <c r="C477" s="26"/>
      <c r="D477" s="27" t="str">
        <f aca="false">IF($C477="","",IFERROR(INDEX(Invoices!$C$6:$C$505,MATCH($C477,Invoices!$A$6:$A$505,0)),"Invoice not found"))</f>
        <v/>
      </c>
      <c r="E477" s="35" t="str">
        <f aca="false">IF($C477="","",IFERROR(INDEX(Invoices!$L$6:$L$505,MATCH($C477,Invoices!$A$6:$A$505,0)),""))</f>
        <v/>
      </c>
      <c r="F477" s="32"/>
      <c r="G477" s="32"/>
      <c r="H477" s="32"/>
      <c r="I477" s="34" t="str">
        <f aca="false">IF($A477="","",N($F477)+N($G477)+N($H477))</f>
        <v/>
      </c>
      <c r="J477" s="26"/>
      <c r="K477" s="28"/>
      <c r="L477" s="26"/>
      <c r="M477" s="26"/>
      <c r="N477" s="28"/>
      <c r="O477" s="28"/>
    </row>
    <row r="478" customFormat="false" ht="15" hidden="false" customHeight="false" outlineLevel="0" collapsed="false">
      <c r="A478" s="26"/>
      <c r="B478" s="29"/>
      <c r="C478" s="26"/>
      <c r="D478" s="27" t="str">
        <f aca="false">IF($C478="","",IFERROR(INDEX(Invoices!$C$6:$C$505,MATCH($C478,Invoices!$A$6:$A$505,0)),"Invoice not found"))</f>
        <v/>
      </c>
      <c r="E478" s="35" t="str">
        <f aca="false">IF($C478="","",IFERROR(INDEX(Invoices!$L$6:$L$505,MATCH($C478,Invoices!$A$6:$A$505,0)),""))</f>
        <v/>
      </c>
      <c r="F478" s="32"/>
      <c r="G478" s="32"/>
      <c r="H478" s="32"/>
      <c r="I478" s="34" t="str">
        <f aca="false">IF($A478="","",N($F478)+N($G478)+N($H478))</f>
        <v/>
      </c>
      <c r="J478" s="26"/>
      <c r="K478" s="28"/>
      <c r="L478" s="26"/>
      <c r="M478" s="26"/>
      <c r="N478" s="28"/>
      <c r="O478" s="28"/>
    </row>
    <row r="479" customFormat="false" ht="15" hidden="false" customHeight="false" outlineLevel="0" collapsed="false">
      <c r="A479" s="26"/>
      <c r="B479" s="29"/>
      <c r="C479" s="26"/>
      <c r="D479" s="27" t="str">
        <f aca="false">IF($C479="","",IFERROR(INDEX(Invoices!$C$6:$C$505,MATCH($C479,Invoices!$A$6:$A$505,0)),"Invoice not found"))</f>
        <v/>
      </c>
      <c r="E479" s="35" t="str">
        <f aca="false">IF($C479="","",IFERROR(INDEX(Invoices!$L$6:$L$505,MATCH($C479,Invoices!$A$6:$A$505,0)),""))</f>
        <v/>
      </c>
      <c r="F479" s="32"/>
      <c r="G479" s="32"/>
      <c r="H479" s="32"/>
      <c r="I479" s="34" t="str">
        <f aca="false">IF($A479="","",N($F479)+N($G479)+N($H479))</f>
        <v/>
      </c>
      <c r="J479" s="26"/>
      <c r="K479" s="28"/>
      <c r="L479" s="26"/>
      <c r="M479" s="26"/>
      <c r="N479" s="28"/>
      <c r="O479" s="28"/>
    </row>
    <row r="480" customFormat="false" ht="15" hidden="false" customHeight="false" outlineLevel="0" collapsed="false">
      <c r="A480" s="26"/>
      <c r="B480" s="29"/>
      <c r="C480" s="26"/>
      <c r="D480" s="27" t="str">
        <f aca="false">IF($C480="","",IFERROR(INDEX(Invoices!$C$6:$C$505,MATCH($C480,Invoices!$A$6:$A$505,0)),"Invoice not found"))</f>
        <v/>
      </c>
      <c r="E480" s="35" t="str">
        <f aca="false">IF($C480="","",IFERROR(INDEX(Invoices!$L$6:$L$505,MATCH($C480,Invoices!$A$6:$A$505,0)),""))</f>
        <v/>
      </c>
      <c r="F480" s="32"/>
      <c r="G480" s="32"/>
      <c r="H480" s="32"/>
      <c r="I480" s="34" t="str">
        <f aca="false">IF($A480="","",N($F480)+N($G480)+N($H480))</f>
        <v/>
      </c>
      <c r="J480" s="26"/>
      <c r="K480" s="28"/>
      <c r="L480" s="26"/>
      <c r="M480" s="26"/>
      <c r="N480" s="28"/>
      <c r="O480" s="28"/>
    </row>
    <row r="481" customFormat="false" ht="15" hidden="false" customHeight="false" outlineLevel="0" collapsed="false">
      <c r="A481" s="26"/>
      <c r="B481" s="29"/>
      <c r="C481" s="26"/>
      <c r="D481" s="27" t="str">
        <f aca="false">IF($C481="","",IFERROR(INDEX(Invoices!$C$6:$C$505,MATCH($C481,Invoices!$A$6:$A$505,0)),"Invoice not found"))</f>
        <v/>
      </c>
      <c r="E481" s="35" t="str">
        <f aca="false">IF($C481="","",IFERROR(INDEX(Invoices!$L$6:$L$505,MATCH($C481,Invoices!$A$6:$A$505,0)),""))</f>
        <v/>
      </c>
      <c r="F481" s="32"/>
      <c r="G481" s="32"/>
      <c r="H481" s="32"/>
      <c r="I481" s="34" t="str">
        <f aca="false">IF($A481="","",N($F481)+N($G481)+N($H481))</f>
        <v/>
      </c>
      <c r="J481" s="26"/>
      <c r="K481" s="28"/>
      <c r="L481" s="26"/>
      <c r="M481" s="26"/>
      <c r="N481" s="28"/>
      <c r="O481" s="28"/>
    </row>
    <row r="482" customFormat="false" ht="15" hidden="false" customHeight="false" outlineLevel="0" collapsed="false">
      <c r="A482" s="26"/>
      <c r="B482" s="29"/>
      <c r="C482" s="26"/>
      <c r="D482" s="27" t="str">
        <f aca="false">IF($C482="","",IFERROR(INDEX(Invoices!$C$6:$C$505,MATCH($C482,Invoices!$A$6:$A$505,0)),"Invoice not found"))</f>
        <v/>
      </c>
      <c r="E482" s="35" t="str">
        <f aca="false">IF($C482="","",IFERROR(INDEX(Invoices!$L$6:$L$505,MATCH($C482,Invoices!$A$6:$A$505,0)),""))</f>
        <v/>
      </c>
      <c r="F482" s="32"/>
      <c r="G482" s="32"/>
      <c r="H482" s="32"/>
      <c r="I482" s="34" t="str">
        <f aca="false">IF($A482="","",N($F482)+N($G482)+N($H482))</f>
        <v/>
      </c>
      <c r="J482" s="26"/>
      <c r="K482" s="28"/>
      <c r="L482" s="26"/>
      <c r="M482" s="26"/>
      <c r="N482" s="28"/>
      <c r="O482" s="28"/>
    </row>
    <row r="483" customFormat="false" ht="15" hidden="false" customHeight="false" outlineLevel="0" collapsed="false">
      <c r="A483" s="26"/>
      <c r="B483" s="29"/>
      <c r="C483" s="26"/>
      <c r="D483" s="27" t="str">
        <f aca="false">IF($C483="","",IFERROR(INDEX(Invoices!$C$6:$C$505,MATCH($C483,Invoices!$A$6:$A$505,0)),"Invoice not found"))</f>
        <v/>
      </c>
      <c r="E483" s="35" t="str">
        <f aca="false">IF($C483="","",IFERROR(INDEX(Invoices!$L$6:$L$505,MATCH($C483,Invoices!$A$6:$A$505,0)),""))</f>
        <v/>
      </c>
      <c r="F483" s="32"/>
      <c r="G483" s="32"/>
      <c r="H483" s="32"/>
      <c r="I483" s="34" t="str">
        <f aca="false">IF($A483="","",N($F483)+N($G483)+N($H483))</f>
        <v/>
      </c>
      <c r="J483" s="26"/>
      <c r="K483" s="28"/>
      <c r="L483" s="26"/>
      <c r="M483" s="26"/>
      <c r="N483" s="28"/>
      <c r="O483" s="28"/>
    </row>
    <row r="484" customFormat="false" ht="15" hidden="false" customHeight="false" outlineLevel="0" collapsed="false">
      <c r="A484" s="26"/>
      <c r="B484" s="29"/>
      <c r="C484" s="26"/>
      <c r="D484" s="27" t="str">
        <f aca="false">IF($C484="","",IFERROR(INDEX(Invoices!$C$6:$C$505,MATCH($C484,Invoices!$A$6:$A$505,0)),"Invoice not found"))</f>
        <v/>
      </c>
      <c r="E484" s="35" t="str">
        <f aca="false">IF($C484="","",IFERROR(INDEX(Invoices!$L$6:$L$505,MATCH($C484,Invoices!$A$6:$A$505,0)),""))</f>
        <v/>
      </c>
      <c r="F484" s="32"/>
      <c r="G484" s="32"/>
      <c r="H484" s="32"/>
      <c r="I484" s="34" t="str">
        <f aca="false">IF($A484="","",N($F484)+N($G484)+N($H484))</f>
        <v/>
      </c>
      <c r="J484" s="26"/>
      <c r="K484" s="28"/>
      <c r="L484" s="26"/>
      <c r="M484" s="26"/>
      <c r="N484" s="28"/>
      <c r="O484" s="28"/>
    </row>
    <row r="485" customFormat="false" ht="15" hidden="false" customHeight="false" outlineLevel="0" collapsed="false">
      <c r="A485" s="26"/>
      <c r="B485" s="29"/>
      <c r="C485" s="26"/>
      <c r="D485" s="27" t="str">
        <f aca="false">IF($C485="","",IFERROR(INDEX(Invoices!$C$6:$C$505,MATCH($C485,Invoices!$A$6:$A$505,0)),"Invoice not found"))</f>
        <v/>
      </c>
      <c r="E485" s="35" t="str">
        <f aca="false">IF($C485="","",IFERROR(INDEX(Invoices!$L$6:$L$505,MATCH($C485,Invoices!$A$6:$A$505,0)),""))</f>
        <v/>
      </c>
      <c r="F485" s="32"/>
      <c r="G485" s="32"/>
      <c r="H485" s="32"/>
      <c r="I485" s="34" t="str">
        <f aca="false">IF($A485="","",N($F485)+N($G485)+N($H485))</f>
        <v/>
      </c>
      <c r="J485" s="26"/>
      <c r="K485" s="28"/>
      <c r="L485" s="26"/>
      <c r="M485" s="26"/>
      <c r="N485" s="28"/>
      <c r="O485" s="28"/>
    </row>
    <row r="486" customFormat="false" ht="15" hidden="false" customHeight="false" outlineLevel="0" collapsed="false">
      <c r="A486" s="26"/>
      <c r="B486" s="29"/>
      <c r="C486" s="26"/>
      <c r="D486" s="27" t="str">
        <f aca="false">IF($C486="","",IFERROR(INDEX(Invoices!$C$6:$C$505,MATCH($C486,Invoices!$A$6:$A$505,0)),"Invoice not found"))</f>
        <v/>
      </c>
      <c r="E486" s="35" t="str">
        <f aca="false">IF($C486="","",IFERROR(INDEX(Invoices!$L$6:$L$505,MATCH($C486,Invoices!$A$6:$A$505,0)),""))</f>
        <v/>
      </c>
      <c r="F486" s="32"/>
      <c r="G486" s="32"/>
      <c r="H486" s="32"/>
      <c r="I486" s="34" t="str">
        <f aca="false">IF($A486="","",N($F486)+N($G486)+N($H486))</f>
        <v/>
      </c>
      <c r="J486" s="26"/>
      <c r="K486" s="28"/>
      <c r="L486" s="26"/>
      <c r="M486" s="26"/>
      <c r="N486" s="28"/>
      <c r="O486" s="28"/>
    </row>
    <row r="487" customFormat="false" ht="15" hidden="false" customHeight="false" outlineLevel="0" collapsed="false">
      <c r="A487" s="26"/>
      <c r="B487" s="29"/>
      <c r="C487" s="26"/>
      <c r="D487" s="27" t="str">
        <f aca="false">IF($C487="","",IFERROR(INDEX(Invoices!$C$6:$C$505,MATCH($C487,Invoices!$A$6:$A$505,0)),"Invoice not found"))</f>
        <v/>
      </c>
      <c r="E487" s="35" t="str">
        <f aca="false">IF($C487="","",IFERROR(INDEX(Invoices!$L$6:$L$505,MATCH($C487,Invoices!$A$6:$A$505,0)),""))</f>
        <v/>
      </c>
      <c r="F487" s="32"/>
      <c r="G487" s="32"/>
      <c r="H487" s="32"/>
      <c r="I487" s="34" t="str">
        <f aca="false">IF($A487="","",N($F487)+N($G487)+N($H487))</f>
        <v/>
      </c>
      <c r="J487" s="26"/>
      <c r="K487" s="28"/>
      <c r="L487" s="26"/>
      <c r="M487" s="26"/>
      <c r="N487" s="28"/>
      <c r="O487" s="28"/>
    </row>
    <row r="488" customFormat="false" ht="15" hidden="false" customHeight="false" outlineLevel="0" collapsed="false">
      <c r="A488" s="26"/>
      <c r="B488" s="29"/>
      <c r="C488" s="26"/>
      <c r="D488" s="27" t="str">
        <f aca="false">IF($C488="","",IFERROR(INDEX(Invoices!$C$6:$C$505,MATCH($C488,Invoices!$A$6:$A$505,0)),"Invoice not found"))</f>
        <v/>
      </c>
      <c r="E488" s="35" t="str">
        <f aca="false">IF($C488="","",IFERROR(INDEX(Invoices!$L$6:$L$505,MATCH($C488,Invoices!$A$6:$A$505,0)),""))</f>
        <v/>
      </c>
      <c r="F488" s="32"/>
      <c r="G488" s="32"/>
      <c r="H488" s="32"/>
      <c r="I488" s="34" t="str">
        <f aca="false">IF($A488="","",N($F488)+N($G488)+N($H488))</f>
        <v/>
      </c>
      <c r="J488" s="26"/>
      <c r="K488" s="28"/>
      <c r="L488" s="26"/>
      <c r="M488" s="26"/>
      <c r="N488" s="28"/>
      <c r="O488" s="28"/>
    </row>
    <row r="489" customFormat="false" ht="15" hidden="false" customHeight="false" outlineLevel="0" collapsed="false">
      <c r="A489" s="26"/>
      <c r="B489" s="29"/>
      <c r="C489" s="26"/>
      <c r="D489" s="27" t="str">
        <f aca="false">IF($C489="","",IFERROR(INDEX(Invoices!$C$6:$C$505,MATCH($C489,Invoices!$A$6:$A$505,0)),"Invoice not found"))</f>
        <v/>
      </c>
      <c r="E489" s="35" t="str">
        <f aca="false">IF($C489="","",IFERROR(INDEX(Invoices!$L$6:$L$505,MATCH($C489,Invoices!$A$6:$A$505,0)),""))</f>
        <v/>
      </c>
      <c r="F489" s="32"/>
      <c r="G489" s="32"/>
      <c r="H489" s="32"/>
      <c r="I489" s="34" t="str">
        <f aca="false">IF($A489="","",N($F489)+N($G489)+N($H489))</f>
        <v/>
      </c>
      <c r="J489" s="26"/>
      <c r="K489" s="28"/>
      <c r="L489" s="26"/>
      <c r="M489" s="26"/>
      <c r="N489" s="28"/>
      <c r="O489" s="28"/>
    </row>
    <row r="490" customFormat="false" ht="15" hidden="false" customHeight="false" outlineLevel="0" collapsed="false">
      <c r="A490" s="26"/>
      <c r="B490" s="29"/>
      <c r="C490" s="26"/>
      <c r="D490" s="27" t="str">
        <f aca="false">IF($C490="","",IFERROR(INDEX(Invoices!$C$6:$C$505,MATCH($C490,Invoices!$A$6:$A$505,0)),"Invoice not found"))</f>
        <v/>
      </c>
      <c r="E490" s="35" t="str">
        <f aca="false">IF($C490="","",IFERROR(INDEX(Invoices!$L$6:$L$505,MATCH($C490,Invoices!$A$6:$A$505,0)),""))</f>
        <v/>
      </c>
      <c r="F490" s="32"/>
      <c r="G490" s="32"/>
      <c r="H490" s="32"/>
      <c r="I490" s="34" t="str">
        <f aca="false">IF($A490="","",N($F490)+N($G490)+N($H490))</f>
        <v/>
      </c>
      <c r="J490" s="26"/>
      <c r="K490" s="28"/>
      <c r="L490" s="26"/>
      <c r="M490" s="26"/>
      <c r="N490" s="28"/>
      <c r="O490" s="28"/>
    </row>
    <row r="491" customFormat="false" ht="15" hidden="false" customHeight="false" outlineLevel="0" collapsed="false">
      <c r="A491" s="26"/>
      <c r="B491" s="29"/>
      <c r="C491" s="26"/>
      <c r="D491" s="27" t="str">
        <f aca="false">IF($C491="","",IFERROR(INDEX(Invoices!$C$6:$C$505,MATCH($C491,Invoices!$A$6:$A$505,0)),"Invoice not found"))</f>
        <v/>
      </c>
      <c r="E491" s="35" t="str">
        <f aca="false">IF($C491="","",IFERROR(INDEX(Invoices!$L$6:$L$505,MATCH($C491,Invoices!$A$6:$A$505,0)),""))</f>
        <v/>
      </c>
      <c r="F491" s="32"/>
      <c r="G491" s="32"/>
      <c r="H491" s="32"/>
      <c r="I491" s="34" t="str">
        <f aca="false">IF($A491="","",N($F491)+N($G491)+N($H491))</f>
        <v/>
      </c>
      <c r="J491" s="26"/>
      <c r="K491" s="28"/>
      <c r="L491" s="26"/>
      <c r="M491" s="26"/>
      <c r="N491" s="28"/>
      <c r="O491" s="28"/>
    </row>
    <row r="492" customFormat="false" ht="15" hidden="false" customHeight="false" outlineLevel="0" collapsed="false">
      <c r="A492" s="26"/>
      <c r="B492" s="29"/>
      <c r="C492" s="26"/>
      <c r="D492" s="27" t="str">
        <f aca="false">IF($C492="","",IFERROR(INDEX(Invoices!$C$6:$C$505,MATCH($C492,Invoices!$A$6:$A$505,0)),"Invoice not found"))</f>
        <v/>
      </c>
      <c r="E492" s="35" t="str">
        <f aca="false">IF($C492="","",IFERROR(INDEX(Invoices!$L$6:$L$505,MATCH($C492,Invoices!$A$6:$A$505,0)),""))</f>
        <v/>
      </c>
      <c r="F492" s="32"/>
      <c r="G492" s="32"/>
      <c r="H492" s="32"/>
      <c r="I492" s="34" t="str">
        <f aca="false">IF($A492="","",N($F492)+N($G492)+N($H492))</f>
        <v/>
      </c>
      <c r="J492" s="26"/>
      <c r="K492" s="28"/>
      <c r="L492" s="26"/>
      <c r="M492" s="26"/>
      <c r="N492" s="28"/>
      <c r="O492" s="28"/>
    </row>
    <row r="493" customFormat="false" ht="15" hidden="false" customHeight="false" outlineLevel="0" collapsed="false">
      <c r="A493" s="26"/>
      <c r="B493" s="29"/>
      <c r="C493" s="26"/>
      <c r="D493" s="27" t="str">
        <f aca="false">IF($C493="","",IFERROR(INDEX(Invoices!$C$6:$C$505,MATCH($C493,Invoices!$A$6:$A$505,0)),"Invoice not found"))</f>
        <v/>
      </c>
      <c r="E493" s="35" t="str">
        <f aca="false">IF($C493="","",IFERROR(INDEX(Invoices!$L$6:$L$505,MATCH($C493,Invoices!$A$6:$A$505,0)),""))</f>
        <v/>
      </c>
      <c r="F493" s="32"/>
      <c r="G493" s="32"/>
      <c r="H493" s="32"/>
      <c r="I493" s="34" t="str">
        <f aca="false">IF($A493="","",N($F493)+N($G493)+N($H493))</f>
        <v/>
      </c>
      <c r="J493" s="26"/>
      <c r="K493" s="28"/>
      <c r="L493" s="26"/>
      <c r="M493" s="26"/>
      <c r="N493" s="28"/>
      <c r="O493" s="28"/>
    </row>
    <row r="494" customFormat="false" ht="15" hidden="false" customHeight="false" outlineLevel="0" collapsed="false">
      <c r="A494" s="26"/>
      <c r="B494" s="29"/>
      <c r="C494" s="26"/>
      <c r="D494" s="27" t="str">
        <f aca="false">IF($C494="","",IFERROR(INDEX(Invoices!$C$6:$C$505,MATCH($C494,Invoices!$A$6:$A$505,0)),"Invoice not found"))</f>
        <v/>
      </c>
      <c r="E494" s="35" t="str">
        <f aca="false">IF($C494="","",IFERROR(INDEX(Invoices!$L$6:$L$505,MATCH($C494,Invoices!$A$6:$A$505,0)),""))</f>
        <v/>
      </c>
      <c r="F494" s="32"/>
      <c r="G494" s="32"/>
      <c r="H494" s="32"/>
      <c r="I494" s="34" t="str">
        <f aca="false">IF($A494="","",N($F494)+N($G494)+N($H494))</f>
        <v/>
      </c>
      <c r="J494" s="26"/>
      <c r="K494" s="28"/>
      <c r="L494" s="26"/>
      <c r="M494" s="26"/>
      <c r="N494" s="28"/>
      <c r="O494" s="28"/>
    </row>
    <row r="495" customFormat="false" ht="15" hidden="false" customHeight="false" outlineLevel="0" collapsed="false">
      <c r="A495" s="26"/>
      <c r="B495" s="29"/>
      <c r="C495" s="26"/>
      <c r="D495" s="27" t="str">
        <f aca="false">IF($C495="","",IFERROR(INDEX(Invoices!$C$6:$C$505,MATCH($C495,Invoices!$A$6:$A$505,0)),"Invoice not found"))</f>
        <v/>
      </c>
      <c r="E495" s="35" t="str">
        <f aca="false">IF($C495="","",IFERROR(INDEX(Invoices!$L$6:$L$505,MATCH($C495,Invoices!$A$6:$A$505,0)),""))</f>
        <v/>
      </c>
      <c r="F495" s="32"/>
      <c r="G495" s="32"/>
      <c r="H495" s="32"/>
      <c r="I495" s="34" t="str">
        <f aca="false">IF($A495="","",N($F495)+N($G495)+N($H495))</f>
        <v/>
      </c>
      <c r="J495" s="26"/>
      <c r="K495" s="28"/>
      <c r="L495" s="26"/>
      <c r="M495" s="26"/>
      <c r="N495" s="28"/>
      <c r="O495" s="28"/>
    </row>
    <row r="496" customFormat="false" ht="15" hidden="false" customHeight="false" outlineLevel="0" collapsed="false">
      <c r="A496" s="26"/>
      <c r="B496" s="29"/>
      <c r="C496" s="26"/>
      <c r="D496" s="27" t="str">
        <f aca="false">IF($C496="","",IFERROR(INDEX(Invoices!$C$6:$C$505,MATCH($C496,Invoices!$A$6:$A$505,0)),"Invoice not found"))</f>
        <v/>
      </c>
      <c r="E496" s="35" t="str">
        <f aca="false">IF($C496="","",IFERROR(INDEX(Invoices!$L$6:$L$505,MATCH($C496,Invoices!$A$6:$A$505,0)),""))</f>
        <v/>
      </c>
      <c r="F496" s="32"/>
      <c r="G496" s="32"/>
      <c r="H496" s="32"/>
      <c r="I496" s="34" t="str">
        <f aca="false">IF($A496="","",N($F496)+N($G496)+N($H496))</f>
        <v/>
      </c>
      <c r="J496" s="26"/>
      <c r="K496" s="28"/>
      <c r="L496" s="26"/>
      <c r="M496" s="26"/>
      <c r="N496" s="28"/>
      <c r="O496" s="28"/>
    </row>
    <row r="497" customFormat="false" ht="15" hidden="false" customHeight="false" outlineLevel="0" collapsed="false">
      <c r="A497" s="26"/>
      <c r="B497" s="29"/>
      <c r="C497" s="26"/>
      <c r="D497" s="27" t="str">
        <f aca="false">IF($C497="","",IFERROR(INDEX(Invoices!$C$6:$C$505,MATCH($C497,Invoices!$A$6:$A$505,0)),"Invoice not found"))</f>
        <v/>
      </c>
      <c r="E497" s="35" t="str">
        <f aca="false">IF($C497="","",IFERROR(INDEX(Invoices!$L$6:$L$505,MATCH($C497,Invoices!$A$6:$A$505,0)),""))</f>
        <v/>
      </c>
      <c r="F497" s="32"/>
      <c r="G497" s="32"/>
      <c r="H497" s="32"/>
      <c r="I497" s="34" t="str">
        <f aca="false">IF($A497="","",N($F497)+N($G497)+N($H497))</f>
        <v/>
      </c>
      <c r="J497" s="26"/>
      <c r="K497" s="28"/>
      <c r="L497" s="26"/>
      <c r="M497" s="26"/>
      <c r="N497" s="28"/>
      <c r="O497" s="28"/>
    </row>
    <row r="498" customFormat="false" ht="15" hidden="false" customHeight="false" outlineLevel="0" collapsed="false">
      <c r="A498" s="26"/>
      <c r="B498" s="29"/>
      <c r="C498" s="26"/>
      <c r="D498" s="27" t="str">
        <f aca="false">IF($C498="","",IFERROR(INDEX(Invoices!$C$6:$C$505,MATCH($C498,Invoices!$A$6:$A$505,0)),"Invoice not found"))</f>
        <v/>
      </c>
      <c r="E498" s="35" t="str">
        <f aca="false">IF($C498="","",IFERROR(INDEX(Invoices!$L$6:$L$505,MATCH($C498,Invoices!$A$6:$A$505,0)),""))</f>
        <v/>
      </c>
      <c r="F498" s="32"/>
      <c r="G498" s="32"/>
      <c r="H498" s="32"/>
      <c r="I498" s="34" t="str">
        <f aca="false">IF($A498="","",N($F498)+N($G498)+N($H498))</f>
        <v/>
      </c>
      <c r="J498" s="26"/>
      <c r="K498" s="28"/>
      <c r="L498" s="26"/>
      <c r="M498" s="26"/>
      <c r="N498" s="28"/>
      <c r="O498" s="28"/>
    </row>
    <row r="499" customFormat="false" ht="15" hidden="false" customHeight="false" outlineLevel="0" collapsed="false">
      <c r="A499" s="26"/>
      <c r="B499" s="29"/>
      <c r="C499" s="26"/>
      <c r="D499" s="27" t="str">
        <f aca="false">IF($C499="","",IFERROR(INDEX(Invoices!$C$6:$C$505,MATCH($C499,Invoices!$A$6:$A$505,0)),"Invoice not found"))</f>
        <v/>
      </c>
      <c r="E499" s="35" t="str">
        <f aca="false">IF($C499="","",IFERROR(INDEX(Invoices!$L$6:$L$505,MATCH($C499,Invoices!$A$6:$A$505,0)),""))</f>
        <v/>
      </c>
      <c r="F499" s="32"/>
      <c r="G499" s="32"/>
      <c r="H499" s="32"/>
      <c r="I499" s="34" t="str">
        <f aca="false">IF($A499="","",N($F499)+N($G499)+N($H499))</f>
        <v/>
      </c>
      <c r="J499" s="26"/>
      <c r="K499" s="28"/>
      <c r="L499" s="26"/>
      <c r="M499" s="26"/>
      <c r="N499" s="28"/>
      <c r="O499" s="28"/>
    </row>
    <row r="500" customFormat="false" ht="15" hidden="false" customHeight="false" outlineLevel="0" collapsed="false">
      <c r="A500" s="26"/>
      <c r="B500" s="29"/>
      <c r="C500" s="26"/>
      <c r="D500" s="27" t="str">
        <f aca="false">IF($C500="","",IFERROR(INDEX(Invoices!$C$6:$C$505,MATCH($C500,Invoices!$A$6:$A$505,0)),"Invoice not found"))</f>
        <v/>
      </c>
      <c r="E500" s="35" t="str">
        <f aca="false">IF($C500="","",IFERROR(INDEX(Invoices!$L$6:$L$505,MATCH($C500,Invoices!$A$6:$A$505,0)),""))</f>
        <v/>
      </c>
      <c r="F500" s="32"/>
      <c r="G500" s="32"/>
      <c r="H500" s="32"/>
      <c r="I500" s="34" t="str">
        <f aca="false">IF($A500="","",N($F500)+N($G500)+N($H500))</f>
        <v/>
      </c>
      <c r="J500" s="26"/>
      <c r="K500" s="28"/>
      <c r="L500" s="26"/>
      <c r="M500" s="26"/>
      <c r="N500" s="28"/>
      <c r="O500" s="28"/>
    </row>
    <row r="501" customFormat="false" ht="15" hidden="false" customHeight="false" outlineLevel="0" collapsed="false">
      <c r="A501" s="26"/>
      <c r="B501" s="29"/>
      <c r="C501" s="26"/>
      <c r="D501" s="27" t="str">
        <f aca="false">IF($C501="","",IFERROR(INDEX(Invoices!$C$6:$C$505,MATCH($C501,Invoices!$A$6:$A$505,0)),"Invoice not found"))</f>
        <v/>
      </c>
      <c r="E501" s="35" t="str">
        <f aca="false">IF($C501="","",IFERROR(INDEX(Invoices!$L$6:$L$505,MATCH($C501,Invoices!$A$6:$A$505,0)),""))</f>
        <v/>
      </c>
      <c r="F501" s="32"/>
      <c r="G501" s="32"/>
      <c r="H501" s="32"/>
      <c r="I501" s="34" t="str">
        <f aca="false">IF($A501="","",N($F501)+N($G501)+N($H501))</f>
        <v/>
      </c>
      <c r="J501" s="26"/>
      <c r="K501" s="28"/>
      <c r="L501" s="26"/>
      <c r="M501" s="26"/>
      <c r="N501" s="28"/>
      <c r="O501" s="28"/>
    </row>
    <row r="502" customFormat="false" ht="15" hidden="false" customHeight="false" outlineLevel="0" collapsed="false">
      <c r="A502" s="26"/>
      <c r="B502" s="29"/>
      <c r="C502" s="26"/>
      <c r="D502" s="27" t="str">
        <f aca="false">IF($C502="","",IFERROR(INDEX(Invoices!$C$6:$C$505,MATCH($C502,Invoices!$A$6:$A$505,0)),"Invoice not found"))</f>
        <v/>
      </c>
      <c r="E502" s="35" t="str">
        <f aca="false">IF($C502="","",IFERROR(INDEX(Invoices!$L$6:$L$505,MATCH($C502,Invoices!$A$6:$A$505,0)),""))</f>
        <v/>
      </c>
      <c r="F502" s="32"/>
      <c r="G502" s="32"/>
      <c r="H502" s="32"/>
      <c r="I502" s="34" t="str">
        <f aca="false">IF($A502="","",N($F502)+N($G502)+N($H502))</f>
        <v/>
      </c>
      <c r="J502" s="26"/>
      <c r="K502" s="28"/>
      <c r="L502" s="26"/>
      <c r="M502" s="26"/>
      <c r="N502" s="28"/>
      <c r="O502" s="28"/>
    </row>
    <row r="503" customFormat="false" ht="15" hidden="false" customHeight="false" outlineLevel="0" collapsed="false">
      <c r="A503" s="26"/>
      <c r="B503" s="29"/>
      <c r="C503" s="26"/>
      <c r="D503" s="27" t="str">
        <f aca="false">IF($C503="","",IFERROR(INDEX(Invoices!$C$6:$C$505,MATCH($C503,Invoices!$A$6:$A$505,0)),"Invoice not found"))</f>
        <v/>
      </c>
      <c r="E503" s="35" t="str">
        <f aca="false">IF($C503="","",IFERROR(INDEX(Invoices!$L$6:$L$505,MATCH($C503,Invoices!$A$6:$A$505,0)),""))</f>
        <v/>
      </c>
      <c r="F503" s="32"/>
      <c r="G503" s="32"/>
      <c r="H503" s="32"/>
      <c r="I503" s="34" t="str">
        <f aca="false">IF($A503="","",N($F503)+N($G503)+N($H503))</f>
        <v/>
      </c>
      <c r="J503" s="26"/>
      <c r="K503" s="28"/>
      <c r="L503" s="26"/>
      <c r="M503" s="26"/>
      <c r="N503" s="28"/>
      <c r="O503" s="28"/>
    </row>
    <row r="504" customFormat="false" ht="15" hidden="false" customHeight="false" outlineLevel="0" collapsed="false">
      <c r="A504" s="26"/>
      <c r="B504" s="29"/>
      <c r="C504" s="26"/>
      <c r="D504" s="27" t="str">
        <f aca="false">IF($C504="","",IFERROR(INDEX(Invoices!$C$6:$C$505,MATCH($C504,Invoices!$A$6:$A$505,0)),"Invoice not found"))</f>
        <v/>
      </c>
      <c r="E504" s="35" t="str">
        <f aca="false">IF($C504="","",IFERROR(INDEX(Invoices!$L$6:$L$505,MATCH($C504,Invoices!$A$6:$A$505,0)),""))</f>
        <v/>
      </c>
      <c r="F504" s="32"/>
      <c r="G504" s="32"/>
      <c r="H504" s="32"/>
      <c r="I504" s="34" t="str">
        <f aca="false">IF($A504="","",N($F504)+N($G504)+N($H504))</f>
        <v/>
      </c>
      <c r="J504" s="26"/>
      <c r="K504" s="28"/>
      <c r="L504" s="26"/>
      <c r="M504" s="26"/>
      <c r="N504" s="28"/>
      <c r="O504" s="28"/>
    </row>
    <row r="505" customFormat="false" ht="15" hidden="false" customHeight="false" outlineLevel="0" collapsed="false">
      <c r="A505" s="26"/>
      <c r="B505" s="29"/>
      <c r="C505" s="26"/>
      <c r="D505" s="27" t="str">
        <f aca="false">IF($C505="","",IFERROR(INDEX(Invoices!$C$6:$C$505,MATCH($C505,Invoices!$A$6:$A$505,0)),"Invoice not found"))</f>
        <v/>
      </c>
      <c r="E505" s="35" t="str">
        <f aca="false">IF($C505="","",IFERROR(INDEX(Invoices!$L$6:$L$505,MATCH($C505,Invoices!$A$6:$A$505,0)),""))</f>
        <v/>
      </c>
      <c r="F505" s="32"/>
      <c r="G505" s="32"/>
      <c r="H505" s="32"/>
      <c r="I505" s="34" t="str">
        <f aca="false">IF($A505="","",N($F505)+N($G505)+N($H505))</f>
        <v/>
      </c>
      <c r="J505" s="26"/>
      <c r="K505" s="28"/>
      <c r="L505" s="26"/>
      <c r="M505" s="26"/>
      <c r="N505" s="28"/>
      <c r="O505" s="28"/>
    </row>
  </sheetData>
  <conditionalFormatting sqref="A6:A505">
    <cfRule type="expression" priority="2" aboveAverage="0" equalAverage="0" bottom="0" percent="0" rank="0" text="" dxfId="0">
      <formula>AND($A6&lt;&gt;"",COUNTIF($A$6:$A$505,$A6)&gt;1)</formula>
    </cfRule>
  </conditionalFormatting>
  <conditionalFormatting sqref="D6:D505">
    <cfRule type="expression" priority="3" aboveAverage="0" equalAverage="0" bottom="0" percent="0" rank="0" text="" dxfId="2">
      <formula>$D6="Invoice not found"</formula>
    </cfRule>
  </conditionalFormatting>
  <dataValidations count="5">
    <dataValidation allowBlank="true" error="Enter a number of 0 or more" errorStyle="stop" operator="greaterThanOrEqual" showDropDown="false" showErrorMessage="true" showInputMessage="false" sqref="F6:H505" type="decimal">
      <formula1>0</formula1>
      <formula2>0</formula2>
    </dataValidation>
    <dataValidation allowBlank="true" error="Use RCT-YYYY-### (12 characters), e.g. RCT-2026-001." errorStyle="stop" errorTitle="Check the ID" operator="between" showDropDown="false" showErrorMessage="true" showInputMessage="false" sqref="A6:A505" type="custom">
      <formula1>AND(LEFT(A6,4)="RCT-",LEN(A6)=12)</formula1>
      <formula2>0</formula2>
    </dataValidation>
    <dataValidation allowBlank="true" errorStyle="stop" operator="between" showDropDown="false" showErrorMessage="true" showInputMessage="false" sqref="C6:C505" type="list">
      <formula1>Invoices!$A$6:$A$505</formula1>
      <formula2>0</formula2>
    </dataValidation>
    <dataValidation allowBlank="true" errorStyle="stop" operator="between" showDropDown="false" showErrorMessage="true" showInputMessage="false" sqref="J6:J505" type="list">
      <formula1>Lists!$D$2:$D$6</formula1>
      <formula2>0</formula2>
    </dataValidation>
    <dataValidation allowBlank="true" errorStyle="stop" operator="between" showDropDown="false" showErrorMessage="true" showInputMessage="false" sqref="L6:L505" type="list">
      <formula1>Lists!$G$2:$G$4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7"/>
    <col collapsed="false" customWidth="true" hidden="false" outlineLevel="0" max="3" min="3" style="0" width="26"/>
    <col collapsed="false" customWidth="true" hidden="false" outlineLevel="0" max="4" min="4" style="0" width="12"/>
    <col collapsed="false" customWidth="true" hidden="false" outlineLevel="0" max="5" min="5" style="0" width="10"/>
    <col collapsed="false" customWidth="true" hidden="false" outlineLevel="0" max="6" min="6" style="0" width="16"/>
    <col collapsed="false" customWidth="true" hidden="false" outlineLevel="0" max="7" min="7" style="0" width="22"/>
    <col collapsed="false" customWidth="true" hidden="false" outlineLevel="0" max="8" min="8" style="0" width="11"/>
    <col collapsed="false" customWidth="true" hidden="false" outlineLevel="0" max="9" min="9" style="0" width="16"/>
    <col collapsed="false" customWidth="true" hidden="false" outlineLevel="0" max="10" min="10" style="0" width="34"/>
    <col collapsed="false" customWidth="true" hidden="false" outlineLevel="0" max="11" min="11" style="0" width="40"/>
  </cols>
  <sheetData>
    <row r="1" customFormat="false" ht="17.35" hidden="false" customHeight="false" outlineLevel="0" collapsed="false">
      <c r="A1" s="1" t="s">
        <v>180</v>
      </c>
    </row>
    <row r="2" customFormat="false" ht="15" hidden="false" customHeight="false" outlineLevel="0" collapsed="false">
      <c r="A2" s="6" t="s">
        <v>181</v>
      </c>
    </row>
    <row r="3" customFormat="false" ht="15" hidden="false" customHeight="false" outlineLevel="0" collapsed="false">
      <c r="A3" s="6" t="s">
        <v>123</v>
      </c>
    </row>
    <row r="5" customFormat="false" ht="31.5" hidden="false" customHeight="true" outlineLevel="0" collapsed="false">
      <c r="A5" s="25" t="s">
        <v>182</v>
      </c>
      <c r="B5" s="25" t="s">
        <v>183</v>
      </c>
      <c r="C5" s="25" t="s">
        <v>126</v>
      </c>
      <c r="D5" s="25" t="s">
        <v>184</v>
      </c>
      <c r="E5" s="25" t="s">
        <v>135</v>
      </c>
      <c r="F5" s="25" t="s">
        <v>185</v>
      </c>
      <c r="G5" s="25" t="s">
        <v>186</v>
      </c>
      <c r="H5" s="25" t="s">
        <v>187</v>
      </c>
      <c r="I5" s="25" t="s">
        <v>146</v>
      </c>
      <c r="J5" s="25" t="s">
        <v>148</v>
      </c>
      <c r="K5" s="25" t="s">
        <v>149</v>
      </c>
    </row>
    <row r="6" customFormat="false" ht="35.05" hidden="false" customHeight="false" outlineLevel="0" collapsed="false">
      <c r="A6" s="26" t="s">
        <v>188</v>
      </c>
      <c r="B6" s="26" t="s">
        <v>150</v>
      </c>
      <c r="C6" s="27" t="str">
        <f aca="false">IF($B6="","",IFERROR(INDEX(Invoices!$C$6:$C$505,MATCH($B6,Invoices!$A$6:$A$505,0)),"Invoice not found"))</f>
        <v>Northwind Bank</v>
      </c>
      <c r="D6" s="29" t="n">
        <v>46295</v>
      </c>
      <c r="E6" s="35" t="str">
        <f aca="false">IF($B6="","",IFERROR(INDEX(Invoices!$L$6:$L$505,MATCH($B6,Invoices!$A$6:$A$505,0)),""))</f>
        <v>USD</v>
      </c>
      <c r="F6" s="32" t="n">
        <v>1000</v>
      </c>
      <c r="G6" s="26" t="s">
        <v>189</v>
      </c>
      <c r="H6" s="26" t="s">
        <v>111</v>
      </c>
      <c r="I6" s="26"/>
      <c r="J6" s="28" t="s">
        <v>190</v>
      </c>
      <c r="K6" s="28" t="s">
        <v>191</v>
      </c>
    </row>
    <row r="7" customFormat="false" ht="15" hidden="false" customHeight="false" outlineLevel="0" collapsed="false">
      <c r="A7" s="26"/>
      <c r="B7" s="26"/>
      <c r="C7" s="27" t="str">
        <f aca="false">IF($B7="","",IFERROR(INDEX(Invoices!$C$6:$C$505,MATCH($B7,Invoices!$A$6:$A$505,0)),"Invoice not found"))</f>
        <v/>
      </c>
      <c r="D7" s="29"/>
      <c r="E7" s="35" t="str">
        <f aca="false">IF($B7="","",IFERROR(INDEX(Invoices!$L$6:$L$505,MATCH($B7,Invoices!$A$6:$A$505,0)),""))</f>
        <v/>
      </c>
      <c r="F7" s="32"/>
      <c r="G7" s="26"/>
      <c r="H7" s="26"/>
      <c r="I7" s="26"/>
      <c r="J7" s="28"/>
      <c r="K7" s="28"/>
    </row>
    <row r="8" customFormat="false" ht="15" hidden="false" customHeight="false" outlineLevel="0" collapsed="false">
      <c r="A8" s="26"/>
      <c r="B8" s="26"/>
      <c r="C8" s="27" t="str">
        <f aca="false">IF($B8="","",IFERROR(INDEX(Invoices!$C$6:$C$505,MATCH($B8,Invoices!$A$6:$A$505,0)),"Invoice not found"))</f>
        <v/>
      </c>
      <c r="D8" s="29"/>
      <c r="E8" s="35" t="str">
        <f aca="false">IF($B8="","",IFERROR(INDEX(Invoices!$L$6:$L$505,MATCH($B8,Invoices!$A$6:$A$505,0)),""))</f>
        <v/>
      </c>
      <c r="F8" s="32"/>
      <c r="G8" s="26"/>
      <c r="H8" s="26"/>
      <c r="I8" s="26"/>
      <c r="J8" s="28"/>
      <c r="K8" s="28"/>
    </row>
    <row r="9" customFormat="false" ht="15" hidden="false" customHeight="false" outlineLevel="0" collapsed="false">
      <c r="A9" s="26"/>
      <c r="B9" s="26"/>
      <c r="C9" s="27" t="str">
        <f aca="false">IF($B9="","",IFERROR(INDEX(Invoices!$C$6:$C$505,MATCH($B9,Invoices!$A$6:$A$505,0)),"Invoice not found"))</f>
        <v/>
      </c>
      <c r="D9" s="29"/>
      <c r="E9" s="35" t="str">
        <f aca="false">IF($B9="","",IFERROR(INDEX(Invoices!$L$6:$L$505,MATCH($B9,Invoices!$A$6:$A$505,0)),""))</f>
        <v/>
      </c>
      <c r="F9" s="32"/>
      <c r="G9" s="26"/>
      <c r="H9" s="26"/>
      <c r="I9" s="26"/>
      <c r="J9" s="28"/>
      <c r="K9" s="28"/>
    </row>
    <row r="10" customFormat="false" ht="15" hidden="false" customHeight="false" outlineLevel="0" collapsed="false">
      <c r="A10" s="26"/>
      <c r="B10" s="26"/>
      <c r="C10" s="27" t="str">
        <f aca="false">IF($B10="","",IFERROR(INDEX(Invoices!$C$6:$C$505,MATCH($B10,Invoices!$A$6:$A$505,0)),"Invoice not found"))</f>
        <v/>
      </c>
      <c r="D10" s="29"/>
      <c r="E10" s="35" t="str">
        <f aca="false">IF($B10="","",IFERROR(INDEX(Invoices!$L$6:$L$505,MATCH($B10,Invoices!$A$6:$A$505,0)),""))</f>
        <v/>
      </c>
      <c r="F10" s="32"/>
      <c r="G10" s="26"/>
      <c r="H10" s="26"/>
      <c r="I10" s="26"/>
      <c r="J10" s="28"/>
      <c r="K10" s="28"/>
    </row>
    <row r="11" customFormat="false" ht="15" hidden="false" customHeight="false" outlineLevel="0" collapsed="false">
      <c r="A11" s="26"/>
      <c r="B11" s="26"/>
      <c r="C11" s="27" t="str">
        <f aca="false">IF($B11="","",IFERROR(INDEX(Invoices!$C$6:$C$505,MATCH($B11,Invoices!$A$6:$A$505,0)),"Invoice not found"))</f>
        <v/>
      </c>
      <c r="D11" s="29"/>
      <c r="E11" s="35" t="str">
        <f aca="false">IF($B11="","",IFERROR(INDEX(Invoices!$L$6:$L$505,MATCH($B11,Invoices!$A$6:$A$505,0)),""))</f>
        <v/>
      </c>
      <c r="F11" s="32"/>
      <c r="G11" s="26"/>
      <c r="H11" s="26"/>
      <c r="I11" s="26"/>
      <c r="J11" s="28"/>
      <c r="K11" s="28"/>
    </row>
    <row r="12" customFormat="false" ht="15" hidden="false" customHeight="false" outlineLevel="0" collapsed="false">
      <c r="A12" s="26"/>
      <c r="B12" s="26"/>
      <c r="C12" s="27" t="str">
        <f aca="false">IF($B12="","",IFERROR(INDEX(Invoices!$C$6:$C$505,MATCH($B12,Invoices!$A$6:$A$505,0)),"Invoice not found"))</f>
        <v/>
      </c>
      <c r="D12" s="29"/>
      <c r="E12" s="35" t="str">
        <f aca="false">IF($B12="","",IFERROR(INDEX(Invoices!$L$6:$L$505,MATCH($B12,Invoices!$A$6:$A$505,0)),""))</f>
        <v/>
      </c>
      <c r="F12" s="32"/>
      <c r="G12" s="26"/>
      <c r="H12" s="26"/>
      <c r="I12" s="26"/>
      <c r="J12" s="28"/>
      <c r="K12" s="28"/>
    </row>
    <row r="13" customFormat="false" ht="15" hidden="false" customHeight="false" outlineLevel="0" collapsed="false">
      <c r="A13" s="26"/>
      <c r="B13" s="26"/>
      <c r="C13" s="27" t="str">
        <f aca="false">IF($B13="","",IFERROR(INDEX(Invoices!$C$6:$C$505,MATCH($B13,Invoices!$A$6:$A$505,0)),"Invoice not found"))</f>
        <v/>
      </c>
      <c r="D13" s="29"/>
      <c r="E13" s="35" t="str">
        <f aca="false">IF($B13="","",IFERROR(INDEX(Invoices!$L$6:$L$505,MATCH($B13,Invoices!$A$6:$A$505,0)),""))</f>
        <v/>
      </c>
      <c r="F13" s="32"/>
      <c r="G13" s="26"/>
      <c r="H13" s="26"/>
      <c r="I13" s="26"/>
      <c r="J13" s="28"/>
      <c r="K13" s="28"/>
    </row>
    <row r="14" customFormat="false" ht="15" hidden="false" customHeight="false" outlineLevel="0" collapsed="false">
      <c r="A14" s="26"/>
      <c r="B14" s="26"/>
      <c r="C14" s="27" t="str">
        <f aca="false">IF($B14="","",IFERROR(INDEX(Invoices!$C$6:$C$505,MATCH($B14,Invoices!$A$6:$A$505,0)),"Invoice not found"))</f>
        <v/>
      </c>
      <c r="D14" s="29"/>
      <c r="E14" s="35" t="str">
        <f aca="false">IF($B14="","",IFERROR(INDEX(Invoices!$L$6:$L$505,MATCH($B14,Invoices!$A$6:$A$505,0)),""))</f>
        <v/>
      </c>
      <c r="F14" s="32"/>
      <c r="G14" s="26"/>
      <c r="H14" s="26"/>
      <c r="I14" s="26"/>
      <c r="J14" s="28"/>
      <c r="K14" s="28"/>
    </row>
    <row r="15" customFormat="false" ht="15" hidden="false" customHeight="false" outlineLevel="0" collapsed="false">
      <c r="A15" s="26"/>
      <c r="B15" s="26"/>
      <c r="C15" s="27" t="str">
        <f aca="false">IF($B15="","",IFERROR(INDEX(Invoices!$C$6:$C$505,MATCH($B15,Invoices!$A$6:$A$505,0)),"Invoice not found"))</f>
        <v/>
      </c>
      <c r="D15" s="29"/>
      <c r="E15" s="35" t="str">
        <f aca="false">IF($B15="","",IFERROR(INDEX(Invoices!$L$6:$L$505,MATCH($B15,Invoices!$A$6:$A$505,0)),""))</f>
        <v/>
      </c>
      <c r="F15" s="32"/>
      <c r="G15" s="26"/>
      <c r="H15" s="26"/>
      <c r="I15" s="26"/>
      <c r="J15" s="28"/>
      <c r="K15" s="28"/>
    </row>
    <row r="16" customFormat="false" ht="15" hidden="false" customHeight="false" outlineLevel="0" collapsed="false">
      <c r="A16" s="26"/>
      <c r="B16" s="26"/>
      <c r="C16" s="27" t="str">
        <f aca="false">IF($B16="","",IFERROR(INDEX(Invoices!$C$6:$C$505,MATCH($B16,Invoices!$A$6:$A$505,0)),"Invoice not found"))</f>
        <v/>
      </c>
      <c r="D16" s="29"/>
      <c r="E16" s="35" t="str">
        <f aca="false">IF($B16="","",IFERROR(INDEX(Invoices!$L$6:$L$505,MATCH($B16,Invoices!$A$6:$A$505,0)),""))</f>
        <v/>
      </c>
      <c r="F16" s="32"/>
      <c r="G16" s="26"/>
      <c r="H16" s="26"/>
      <c r="I16" s="26"/>
      <c r="J16" s="28"/>
      <c r="K16" s="28"/>
    </row>
    <row r="17" customFormat="false" ht="15" hidden="false" customHeight="false" outlineLevel="0" collapsed="false">
      <c r="A17" s="26"/>
      <c r="B17" s="26"/>
      <c r="C17" s="27" t="str">
        <f aca="false">IF($B17="","",IFERROR(INDEX(Invoices!$C$6:$C$505,MATCH($B17,Invoices!$A$6:$A$505,0)),"Invoice not found"))</f>
        <v/>
      </c>
      <c r="D17" s="29"/>
      <c r="E17" s="35" t="str">
        <f aca="false">IF($B17="","",IFERROR(INDEX(Invoices!$L$6:$L$505,MATCH($B17,Invoices!$A$6:$A$505,0)),""))</f>
        <v/>
      </c>
      <c r="F17" s="32"/>
      <c r="G17" s="26"/>
      <c r="H17" s="26"/>
      <c r="I17" s="26"/>
      <c r="J17" s="28"/>
      <c r="K17" s="28"/>
    </row>
    <row r="18" customFormat="false" ht="15" hidden="false" customHeight="false" outlineLevel="0" collapsed="false">
      <c r="A18" s="26"/>
      <c r="B18" s="26"/>
      <c r="C18" s="27" t="str">
        <f aca="false">IF($B18="","",IFERROR(INDEX(Invoices!$C$6:$C$505,MATCH($B18,Invoices!$A$6:$A$505,0)),"Invoice not found"))</f>
        <v/>
      </c>
      <c r="D18" s="29"/>
      <c r="E18" s="35" t="str">
        <f aca="false">IF($B18="","",IFERROR(INDEX(Invoices!$L$6:$L$505,MATCH($B18,Invoices!$A$6:$A$505,0)),""))</f>
        <v/>
      </c>
      <c r="F18" s="32"/>
      <c r="G18" s="26"/>
      <c r="H18" s="26"/>
      <c r="I18" s="26"/>
      <c r="J18" s="28"/>
      <c r="K18" s="28"/>
    </row>
    <row r="19" customFormat="false" ht="15" hidden="false" customHeight="false" outlineLevel="0" collapsed="false">
      <c r="A19" s="26"/>
      <c r="B19" s="26"/>
      <c r="C19" s="27" t="str">
        <f aca="false">IF($B19="","",IFERROR(INDEX(Invoices!$C$6:$C$505,MATCH($B19,Invoices!$A$6:$A$505,0)),"Invoice not found"))</f>
        <v/>
      </c>
      <c r="D19" s="29"/>
      <c r="E19" s="35" t="str">
        <f aca="false">IF($B19="","",IFERROR(INDEX(Invoices!$L$6:$L$505,MATCH($B19,Invoices!$A$6:$A$505,0)),""))</f>
        <v/>
      </c>
      <c r="F19" s="32"/>
      <c r="G19" s="26"/>
      <c r="H19" s="26"/>
      <c r="I19" s="26"/>
      <c r="J19" s="28"/>
      <c r="K19" s="28"/>
    </row>
    <row r="20" customFormat="false" ht="15" hidden="false" customHeight="false" outlineLevel="0" collapsed="false">
      <c r="A20" s="26"/>
      <c r="B20" s="26"/>
      <c r="C20" s="27" t="str">
        <f aca="false">IF($B20="","",IFERROR(INDEX(Invoices!$C$6:$C$505,MATCH($B20,Invoices!$A$6:$A$505,0)),"Invoice not found"))</f>
        <v/>
      </c>
      <c r="D20" s="29"/>
      <c r="E20" s="35" t="str">
        <f aca="false">IF($B20="","",IFERROR(INDEX(Invoices!$L$6:$L$505,MATCH($B20,Invoices!$A$6:$A$505,0)),""))</f>
        <v/>
      </c>
      <c r="F20" s="32"/>
      <c r="G20" s="26"/>
      <c r="H20" s="26"/>
      <c r="I20" s="26"/>
      <c r="J20" s="28"/>
      <c r="K20" s="28"/>
    </row>
    <row r="21" customFormat="false" ht="15" hidden="false" customHeight="false" outlineLevel="0" collapsed="false">
      <c r="A21" s="26"/>
      <c r="B21" s="26"/>
      <c r="C21" s="27" t="str">
        <f aca="false">IF($B21="","",IFERROR(INDEX(Invoices!$C$6:$C$505,MATCH($B21,Invoices!$A$6:$A$505,0)),"Invoice not found"))</f>
        <v/>
      </c>
      <c r="D21" s="29"/>
      <c r="E21" s="35" t="str">
        <f aca="false">IF($B21="","",IFERROR(INDEX(Invoices!$L$6:$L$505,MATCH($B21,Invoices!$A$6:$A$505,0)),""))</f>
        <v/>
      </c>
      <c r="F21" s="32"/>
      <c r="G21" s="26"/>
      <c r="H21" s="26"/>
      <c r="I21" s="26"/>
      <c r="J21" s="28"/>
      <c r="K21" s="28"/>
    </row>
    <row r="22" customFormat="false" ht="15" hidden="false" customHeight="false" outlineLevel="0" collapsed="false">
      <c r="A22" s="26"/>
      <c r="B22" s="26"/>
      <c r="C22" s="27" t="str">
        <f aca="false">IF($B22="","",IFERROR(INDEX(Invoices!$C$6:$C$505,MATCH($B22,Invoices!$A$6:$A$505,0)),"Invoice not found"))</f>
        <v/>
      </c>
      <c r="D22" s="29"/>
      <c r="E22" s="35" t="str">
        <f aca="false">IF($B22="","",IFERROR(INDEX(Invoices!$L$6:$L$505,MATCH($B22,Invoices!$A$6:$A$505,0)),""))</f>
        <v/>
      </c>
      <c r="F22" s="32"/>
      <c r="G22" s="26"/>
      <c r="H22" s="26"/>
      <c r="I22" s="26"/>
      <c r="J22" s="28"/>
      <c r="K22" s="28"/>
    </row>
    <row r="23" customFormat="false" ht="15" hidden="false" customHeight="false" outlineLevel="0" collapsed="false">
      <c r="A23" s="26"/>
      <c r="B23" s="26"/>
      <c r="C23" s="27" t="str">
        <f aca="false">IF($B23="","",IFERROR(INDEX(Invoices!$C$6:$C$505,MATCH($B23,Invoices!$A$6:$A$505,0)),"Invoice not found"))</f>
        <v/>
      </c>
      <c r="D23" s="29"/>
      <c r="E23" s="35" t="str">
        <f aca="false">IF($B23="","",IFERROR(INDEX(Invoices!$L$6:$L$505,MATCH($B23,Invoices!$A$6:$A$505,0)),""))</f>
        <v/>
      </c>
      <c r="F23" s="32"/>
      <c r="G23" s="26"/>
      <c r="H23" s="26"/>
      <c r="I23" s="26"/>
      <c r="J23" s="28"/>
      <c r="K23" s="28"/>
    </row>
    <row r="24" customFormat="false" ht="15" hidden="false" customHeight="false" outlineLevel="0" collapsed="false">
      <c r="A24" s="26"/>
      <c r="B24" s="26"/>
      <c r="C24" s="27" t="str">
        <f aca="false">IF($B24="","",IFERROR(INDEX(Invoices!$C$6:$C$505,MATCH($B24,Invoices!$A$6:$A$505,0)),"Invoice not found"))</f>
        <v/>
      </c>
      <c r="D24" s="29"/>
      <c r="E24" s="35" t="str">
        <f aca="false">IF($B24="","",IFERROR(INDEX(Invoices!$L$6:$L$505,MATCH($B24,Invoices!$A$6:$A$505,0)),""))</f>
        <v/>
      </c>
      <c r="F24" s="32"/>
      <c r="G24" s="26"/>
      <c r="H24" s="26"/>
      <c r="I24" s="26"/>
      <c r="J24" s="28"/>
      <c r="K24" s="28"/>
    </row>
    <row r="25" customFormat="false" ht="15" hidden="false" customHeight="false" outlineLevel="0" collapsed="false">
      <c r="A25" s="26"/>
      <c r="B25" s="26"/>
      <c r="C25" s="27" t="str">
        <f aca="false">IF($B25="","",IFERROR(INDEX(Invoices!$C$6:$C$505,MATCH($B25,Invoices!$A$6:$A$505,0)),"Invoice not found"))</f>
        <v/>
      </c>
      <c r="D25" s="29"/>
      <c r="E25" s="35" t="str">
        <f aca="false">IF($B25="","",IFERROR(INDEX(Invoices!$L$6:$L$505,MATCH($B25,Invoices!$A$6:$A$505,0)),""))</f>
        <v/>
      </c>
      <c r="F25" s="32"/>
      <c r="G25" s="26"/>
      <c r="H25" s="26"/>
      <c r="I25" s="26"/>
      <c r="J25" s="28"/>
      <c r="K25" s="28"/>
    </row>
    <row r="26" customFormat="false" ht="15" hidden="false" customHeight="false" outlineLevel="0" collapsed="false">
      <c r="A26" s="26"/>
      <c r="B26" s="26"/>
      <c r="C26" s="27" t="str">
        <f aca="false">IF($B26="","",IFERROR(INDEX(Invoices!$C$6:$C$505,MATCH($B26,Invoices!$A$6:$A$505,0)),"Invoice not found"))</f>
        <v/>
      </c>
      <c r="D26" s="29"/>
      <c r="E26" s="35" t="str">
        <f aca="false">IF($B26="","",IFERROR(INDEX(Invoices!$L$6:$L$505,MATCH($B26,Invoices!$A$6:$A$505,0)),""))</f>
        <v/>
      </c>
      <c r="F26" s="32"/>
      <c r="G26" s="26"/>
      <c r="H26" s="26"/>
      <c r="I26" s="26"/>
      <c r="J26" s="28"/>
      <c r="K26" s="28"/>
    </row>
    <row r="27" customFormat="false" ht="15" hidden="false" customHeight="false" outlineLevel="0" collapsed="false">
      <c r="A27" s="26"/>
      <c r="B27" s="26"/>
      <c r="C27" s="27" t="str">
        <f aca="false">IF($B27="","",IFERROR(INDEX(Invoices!$C$6:$C$505,MATCH($B27,Invoices!$A$6:$A$505,0)),"Invoice not found"))</f>
        <v/>
      </c>
      <c r="D27" s="29"/>
      <c r="E27" s="35" t="str">
        <f aca="false">IF($B27="","",IFERROR(INDEX(Invoices!$L$6:$L$505,MATCH($B27,Invoices!$A$6:$A$505,0)),""))</f>
        <v/>
      </c>
      <c r="F27" s="32"/>
      <c r="G27" s="26"/>
      <c r="H27" s="26"/>
      <c r="I27" s="26"/>
      <c r="J27" s="28"/>
      <c r="K27" s="28"/>
    </row>
    <row r="28" customFormat="false" ht="15" hidden="false" customHeight="false" outlineLevel="0" collapsed="false">
      <c r="A28" s="26"/>
      <c r="B28" s="26"/>
      <c r="C28" s="27" t="str">
        <f aca="false">IF($B28="","",IFERROR(INDEX(Invoices!$C$6:$C$505,MATCH($B28,Invoices!$A$6:$A$505,0)),"Invoice not found"))</f>
        <v/>
      </c>
      <c r="D28" s="29"/>
      <c r="E28" s="35" t="str">
        <f aca="false">IF($B28="","",IFERROR(INDEX(Invoices!$L$6:$L$505,MATCH($B28,Invoices!$A$6:$A$505,0)),""))</f>
        <v/>
      </c>
      <c r="F28" s="32"/>
      <c r="G28" s="26"/>
      <c r="H28" s="26"/>
      <c r="I28" s="26"/>
      <c r="J28" s="28"/>
      <c r="K28" s="28"/>
    </row>
    <row r="29" customFormat="false" ht="15" hidden="false" customHeight="false" outlineLevel="0" collapsed="false">
      <c r="A29" s="26"/>
      <c r="B29" s="26"/>
      <c r="C29" s="27" t="str">
        <f aca="false">IF($B29="","",IFERROR(INDEX(Invoices!$C$6:$C$505,MATCH($B29,Invoices!$A$6:$A$505,0)),"Invoice not found"))</f>
        <v/>
      </c>
      <c r="D29" s="29"/>
      <c r="E29" s="35" t="str">
        <f aca="false">IF($B29="","",IFERROR(INDEX(Invoices!$L$6:$L$505,MATCH($B29,Invoices!$A$6:$A$505,0)),""))</f>
        <v/>
      </c>
      <c r="F29" s="32"/>
      <c r="G29" s="26"/>
      <c r="H29" s="26"/>
      <c r="I29" s="26"/>
      <c r="J29" s="28"/>
      <c r="K29" s="28"/>
    </row>
    <row r="30" customFormat="false" ht="15" hidden="false" customHeight="false" outlineLevel="0" collapsed="false">
      <c r="A30" s="26"/>
      <c r="B30" s="26"/>
      <c r="C30" s="27" t="str">
        <f aca="false">IF($B30="","",IFERROR(INDEX(Invoices!$C$6:$C$505,MATCH($B30,Invoices!$A$6:$A$505,0)),"Invoice not found"))</f>
        <v/>
      </c>
      <c r="D30" s="29"/>
      <c r="E30" s="35" t="str">
        <f aca="false">IF($B30="","",IFERROR(INDEX(Invoices!$L$6:$L$505,MATCH($B30,Invoices!$A$6:$A$505,0)),""))</f>
        <v/>
      </c>
      <c r="F30" s="32"/>
      <c r="G30" s="26"/>
      <c r="H30" s="26"/>
      <c r="I30" s="26"/>
      <c r="J30" s="28"/>
      <c r="K30" s="28"/>
    </row>
    <row r="31" customFormat="false" ht="15" hidden="false" customHeight="false" outlineLevel="0" collapsed="false">
      <c r="A31" s="26"/>
      <c r="B31" s="26"/>
      <c r="C31" s="27" t="str">
        <f aca="false">IF($B31="","",IFERROR(INDEX(Invoices!$C$6:$C$505,MATCH($B31,Invoices!$A$6:$A$505,0)),"Invoice not found"))</f>
        <v/>
      </c>
      <c r="D31" s="29"/>
      <c r="E31" s="35" t="str">
        <f aca="false">IF($B31="","",IFERROR(INDEX(Invoices!$L$6:$L$505,MATCH($B31,Invoices!$A$6:$A$505,0)),""))</f>
        <v/>
      </c>
      <c r="F31" s="32"/>
      <c r="G31" s="26"/>
      <c r="H31" s="26"/>
      <c r="I31" s="26"/>
      <c r="J31" s="28"/>
      <c r="K31" s="28"/>
    </row>
    <row r="32" customFormat="false" ht="15" hidden="false" customHeight="false" outlineLevel="0" collapsed="false">
      <c r="A32" s="26"/>
      <c r="B32" s="26"/>
      <c r="C32" s="27" t="str">
        <f aca="false">IF($B32="","",IFERROR(INDEX(Invoices!$C$6:$C$505,MATCH($B32,Invoices!$A$6:$A$505,0)),"Invoice not found"))</f>
        <v/>
      </c>
      <c r="D32" s="29"/>
      <c r="E32" s="35" t="str">
        <f aca="false">IF($B32="","",IFERROR(INDEX(Invoices!$L$6:$L$505,MATCH($B32,Invoices!$A$6:$A$505,0)),""))</f>
        <v/>
      </c>
      <c r="F32" s="32"/>
      <c r="G32" s="26"/>
      <c r="H32" s="26"/>
      <c r="I32" s="26"/>
      <c r="J32" s="28"/>
      <c r="K32" s="28"/>
    </row>
    <row r="33" customFormat="false" ht="15" hidden="false" customHeight="false" outlineLevel="0" collapsed="false">
      <c r="A33" s="26"/>
      <c r="B33" s="26"/>
      <c r="C33" s="27" t="str">
        <f aca="false">IF($B33="","",IFERROR(INDEX(Invoices!$C$6:$C$505,MATCH($B33,Invoices!$A$6:$A$505,0)),"Invoice not found"))</f>
        <v/>
      </c>
      <c r="D33" s="29"/>
      <c r="E33" s="35" t="str">
        <f aca="false">IF($B33="","",IFERROR(INDEX(Invoices!$L$6:$L$505,MATCH($B33,Invoices!$A$6:$A$505,0)),""))</f>
        <v/>
      </c>
      <c r="F33" s="32"/>
      <c r="G33" s="26"/>
      <c r="H33" s="26"/>
      <c r="I33" s="26"/>
      <c r="J33" s="28"/>
      <c r="K33" s="28"/>
    </row>
    <row r="34" customFormat="false" ht="15" hidden="false" customHeight="false" outlineLevel="0" collapsed="false">
      <c r="A34" s="26"/>
      <c r="B34" s="26"/>
      <c r="C34" s="27" t="str">
        <f aca="false">IF($B34="","",IFERROR(INDEX(Invoices!$C$6:$C$505,MATCH($B34,Invoices!$A$6:$A$505,0)),"Invoice not found"))</f>
        <v/>
      </c>
      <c r="D34" s="29"/>
      <c r="E34" s="35" t="str">
        <f aca="false">IF($B34="","",IFERROR(INDEX(Invoices!$L$6:$L$505,MATCH($B34,Invoices!$A$6:$A$505,0)),""))</f>
        <v/>
      </c>
      <c r="F34" s="32"/>
      <c r="G34" s="26"/>
      <c r="H34" s="26"/>
      <c r="I34" s="26"/>
      <c r="J34" s="28"/>
      <c r="K34" s="28"/>
    </row>
    <row r="35" customFormat="false" ht="15" hidden="false" customHeight="false" outlineLevel="0" collapsed="false">
      <c r="A35" s="26"/>
      <c r="B35" s="26"/>
      <c r="C35" s="27" t="str">
        <f aca="false">IF($B35="","",IFERROR(INDEX(Invoices!$C$6:$C$505,MATCH($B35,Invoices!$A$6:$A$505,0)),"Invoice not found"))</f>
        <v/>
      </c>
      <c r="D35" s="29"/>
      <c r="E35" s="35" t="str">
        <f aca="false">IF($B35="","",IFERROR(INDEX(Invoices!$L$6:$L$505,MATCH($B35,Invoices!$A$6:$A$505,0)),""))</f>
        <v/>
      </c>
      <c r="F35" s="32"/>
      <c r="G35" s="26"/>
      <c r="H35" s="26"/>
      <c r="I35" s="26"/>
      <c r="J35" s="28"/>
      <c r="K35" s="28"/>
    </row>
    <row r="36" customFormat="false" ht="15" hidden="false" customHeight="false" outlineLevel="0" collapsed="false">
      <c r="A36" s="26"/>
      <c r="B36" s="26"/>
      <c r="C36" s="27" t="str">
        <f aca="false">IF($B36="","",IFERROR(INDEX(Invoices!$C$6:$C$505,MATCH($B36,Invoices!$A$6:$A$505,0)),"Invoice not found"))</f>
        <v/>
      </c>
      <c r="D36" s="29"/>
      <c r="E36" s="35" t="str">
        <f aca="false">IF($B36="","",IFERROR(INDEX(Invoices!$L$6:$L$505,MATCH($B36,Invoices!$A$6:$A$505,0)),""))</f>
        <v/>
      </c>
      <c r="F36" s="32"/>
      <c r="G36" s="26"/>
      <c r="H36" s="26"/>
      <c r="I36" s="26"/>
      <c r="J36" s="28"/>
      <c r="K36" s="28"/>
    </row>
    <row r="37" customFormat="false" ht="15" hidden="false" customHeight="false" outlineLevel="0" collapsed="false">
      <c r="A37" s="26"/>
      <c r="B37" s="26"/>
      <c r="C37" s="27" t="str">
        <f aca="false">IF($B37="","",IFERROR(INDEX(Invoices!$C$6:$C$505,MATCH($B37,Invoices!$A$6:$A$505,0)),"Invoice not found"))</f>
        <v/>
      </c>
      <c r="D37" s="29"/>
      <c r="E37" s="35" t="str">
        <f aca="false">IF($B37="","",IFERROR(INDEX(Invoices!$L$6:$L$505,MATCH($B37,Invoices!$A$6:$A$505,0)),""))</f>
        <v/>
      </c>
      <c r="F37" s="32"/>
      <c r="G37" s="26"/>
      <c r="H37" s="26"/>
      <c r="I37" s="26"/>
      <c r="J37" s="28"/>
      <c r="K37" s="28"/>
    </row>
    <row r="38" customFormat="false" ht="15" hidden="false" customHeight="false" outlineLevel="0" collapsed="false">
      <c r="A38" s="26"/>
      <c r="B38" s="26"/>
      <c r="C38" s="27" t="str">
        <f aca="false">IF($B38="","",IFERROR(INDEX(Invoices!$C$6:$C$505,MATCH($B38,Invoices!$A$6:$A$505,0)),"Invoice not found"))</f>
        <v/>
      </c>
      <c r="D38" s="29"/>
      <c r="E38" s="35" t="str">
        <f aca="false">IF($B38="","",IFERROR(INDEX(Invoices!$L$6:$L$505,MATCH($B38,Invoices!$A$6:$A$505,0)),""))</f>
        <v/>
      </c>
      <c r="F38" s="32"/>
      <c r="G38" s="26"/>
      <c r="H38" s="26"/>
      <c r="I38" s="26"/>
      <c r="J38" s="28"/>
      <c r="K38" s="28"/>
    </row>
    <row r="39" customFormat="false" ht="15" hidden="false" customHeight="false" outlineLevel="0" collapsed="false">
      <c r="A39" s="26"/>
      <c r="B39" s="26"/>
      <c r="C39" s="27" t="str">
        <f aca="false">IF($B39="","",IFERROR(INDEX(Invoices!$C$6:$C$505,MATCH($B39,Invoices!$A$6:$A$505,0)),"Invoice not found"))</f>
        <v/>
      </c>
      <c r="D39" s="29"/>
      <c r="E39" s="35" t="str">
        <f aca="false">IF($B39="","",IFERROR(INDEX(Invoices!$L$6:$L$505,MATCH($B39,Invoices!$A$6:$A$505,0)),""))</f>
        <v/>
      </c>
      <c r="F39" s="32"/>
      <c r="G39" s="26"/>
      <c r="H39" s="26"/>
      <c r="I39" s="26"/>
      <c r="J39" s="28"/>
      <c r="K39" s="28"/>
    </row>
    <row r="40" customFormat="false" ht="15" hidden="false" customHeight="false" outlineLevel="0" collapsed="false">
      <c r="A40" s="26"/>
      <c r="B40" s="26"/>
      <c r="C40" s="27" t="str">
        <f aca="false">IF($B40="","",IFERROR(INDEX(Invoices!$C$6:$C$505,MATCH($B40,Invoices!$A$6:$A$505,0)),"Invoice not found"))</f>
        <v/>
      </c>
      <c r="D40" s="29"/>
      <c r="E40" s="35" t="str">
        <f aca="false">IF($B40="","",IFERROR(INDEX(Invoices!$L$6:$L$505,MATCH($B40,Invoices!$A$6:$A$505,0)),""))</f>
        <v/>
      </c>
      <c r="F40" s="32"/>
      <c r="G40" s="26"/>
      <c r="H40" s="26"/>
      <c r="I40" s="26"/>
      <c r="J40" s="28"/>
      <c r="K40" s="28"/>
    </row>
    <row r="41" customFormat="false" ht="15" hidden="false" customHeight="false" outlineLevel="0" collapsed="false">
      <c r="A41" s="26"/>
      <c r="B41" s="26"/>
      <c r="C41" s="27" t="str">
        <f aca="false">IF($B41="","",IFERROR(INDEX(Invoices!$C$6:$C$505,MATCH($B41,Invoices!$A$6:$A$505,0)),"Invoice not found"))</f>
        <v/>
      </c>
      <c r="D41" s="29"/>
      <c r="E41" s="35" t="str">
        <f aca="false">IF($B41="","",IFERROR(INDEX(Invoices!$L$6:$L$505,MATCH($B41,Invoices!$A$6:$A$505,0)),""))</f>
        <v/>
      </c>
      <c r="F41" s="32"/>
      <c r="G41" s="26"/>
      <c r="H41" s="26"/>
      <c r="I41" s="26"/>
      <c r="J41" s="28"/>
      <c r="K41" s="28"/>
    </row>
    <row r="42" customFormat="false" ht="15" hidden="false" customHeight="false" outlineLevel="0" collapsed="false">
      <c r="A42" s="26"/>
      <c r="B42" s="26"/>
      <c r="C42" s="27" t="str">
        <f aca="false">IF($B42="","",IFERROR(INDEX(Invoices!$C$6:$C$505,MATCH($B42,Invoices!$A$6:$A$505,0)),"Invoice not found"))</f>
        <v/>
      </c>
      <c r="D42" s="29"/>
      <c r="E42" s="35" t="str">
        <f aca="false">IF($B42="","",IFERROR(INDEX(Invoices!$L$6:$L$505,MATCH($B42,Invoices!$A$6:$A$505,0)),""))</f>
        <v/>
      </c>
      <c r="F42" s="32"/>
      <c r="G42" s="26"/>
      <c r="H42" s="26"/>
      <c r="I42" s="26"/>
      <c r="J42" s="28"/>
      <c r="K42" s="28"/>
    </row>
    <row r="43" customFormat="false" ht="15" hidden="false" customHeight="false" outlineLevel="0" collapsed="false">
      <c r="A43" s="26"/>
      <c r="B43" s="26"/>
      <c r="C43" s="27" t="str">
        <f aca="false">IF($B43="","",IFERROR(INDEX(Invoices!$C$6:$C$505,MATCH($B43,Invoices!$A$6:$A$505,0)),"Invoice not found"))</f>
        <v/>
      </c>
      <c r="D43" s="29"/>
      <c r="E43" s="35" t="str">
        <f aca="false">IF($B43="","",IFERROR(INDEX(Invoices!$L$6:$L$505,MATCH($B43,Invoices!$A$6:$A$505,0)),""))</f>
        <v/>
      </c>
      <c r="F43" s="32"/>
      <c r="G43" s="26"/>
      <c r="H43" s="26"/>
      <c r="I43" s="26"/>
      <c r="J43" s="28"/>
      <c r="K43" s="28"/>
    </row>
    <row r="44" customFormat="false" ht="15" hidden="false" customHeight="false" outlineLevel="0" collapsed="false">
      <c r="A44" s="26"/>
      <c r="B44" s="26"/>
      <c r="C44" s="27" t="str">
        <f aca="false">IF($B44="","",IFERROR(INDEX(Invoices!$C$6:$C$505,MATCH($B44,Invoices!$A$6:$A$505,0)),"Invoice not found"))</f>
        <v/>
      </c>
      <c r="D44" s="29"/>
      <c r="E44" s="35" t="str">
        <f aca="false">IF($B44="","",IFERROR(INDEX(Invoices!$L$6:$L$505,MATCH($B44,Invoices!$A$6:$A$505,0)),""))</f>
        <v/>
      </c>
      <c r="F44" s="32"/>
      <c r="G44" s="26"/>
      <c r="H44" s="26"/>
      <c r="I44" s="26"/>
      <c r="J44" s="28"/>
      <c r="K44" s="28"/>
    </row>
    <row r="45" customFormat="false" ht="15" hidden="false" customHeight="false" outlineLevel="0" collapsed="false">
      <c r="A45" s="26"/>
      <c r="B45" s="26"/>
      <c r="C45" s="27" t="str">
        <f aca="false">IF($B45="","",IFERROR(INDEX(Invoices!$C$6:$C$505,MATCH($B45,Invoices!$A$6:$A$505,0)),"Invoice not found"))</f>
        <v/>
      </c>
      <c r="D45" s="29"/>
      <c r="E45" s="35" t="str">
        <f aca="false">IF($B45="","",IFERROR(INDEX(Invoices!$L$6:$L$505,MATCH($B45,Invoices!$A$6:$A$505,0)),""))</f>
        <v/>
      </c>
      <c r="F45" s="32"/>
      <c r="G45" s="26"/>
      <c r="H45" s="26"/>
      <c r="I45" s="26"/>
      <c r="J45" s="28"/>
      <c r="K45" s="28"/>
    </row>
    <row r="46" customFormat="false" ht="15" hidden="false" customHeight="false" outlineLevel="0" collapsed="false">
      <c r="A46" s="26"/>
      <c r="B46" s="26"/>
      <c r="C46" s="27" t="str">
        <f aca="false">IF($B46="","",IFERROR(INDEX(Invoices!$C$6:$C$505,MATCH($B46,Invoices!$A$6:$A$505,0)),"Invoice not found"))</f>
        <v/>
      </c>
      <c r="D46" s="29"/>
      <c r="E46" s="35" t="str">
        <f aca="false">IF($B46="","",IFERROR(INDEX(Invoices!$L$6:$L$505,MATCH($B46,Invoices!$A$6:$A$505,0)),""))</f>
        <v/>
      </c>
      <c r="F46" s="32"/>
      <c r="G46" s="26"/>
      <c r="H46" s="26"/>
      <c r="I46" s="26"/>
      <c r="J46" s="28"/>
      <c r="K46" s="28"/>
    </row>
    <row r="47" customFormat="false" ht="15" hidden="false" customHeight="false" outlineLevel="0" collapsed="false">
      <c r="A47" s="26"/>
      <c r="B47" s="26"/>
      <c r="C47" s="27" t="str">
        <f aca="false">IF($B47="","",IFERROR(INDEX(Invoices!$C$6:$C$505,MATCH($B47,Invoices!$A$6:$A$505,0)),"Invoice not found"))</f>
        <v/>
      </c>
      <c r="D47" s="29"/>
      <c r="E47" s="35" t="str">
        <f aca="false">IF($B47="","",IFERROR(INDEX(Invoices!$L$6:$L$505,MATCH($B47,Invoices!$A$6:$A$505,0)),""))</f>
        <v/>
      </c>
      <c r="F47" s="32"/>
      <c r="G47" s="26"/>
      <c r="H47" s="26"/>
      <c r="I47" s="26"/>
      <c r="J47" s="28"/>
      <c r="K47" s="28"/>
    </row>
    <row r="48" customFormat="false" ht="15" hidden="false" customHeight="false" outlineLevel="0" collapsed="false">
      <c r="A48" s="26"/>
      <c r="B48" s="26"/>
      <c r="C48" s="27" t="str">
        <f aca="false">IF($B48="","",IFERROR(INDEX(Invoices!$C$6:$C$505,MATCH($B48,Invoices!$A$6:$A$505,0)),"Invoice not found"))</f>
        <v/>
      </c>
      <c r="D48" s="29"/>
      <c r="E48" s="35" t="str">
        <f aca="false">IF($B48="","",IFERROR(INDEX(Invoices!$L$6:$L$505,MATCH($B48,Invoices!$A$6:$A$505,0)),""))</f>
        <v/>
      </c>
      <c r="F48" s="32"/>
      <c r="G48" s="26"/>
      <c r="H48" s="26"/>
      <c r="I48" s="26"/>
      <c r="J48" s="28"/>
      <c r="K48" s="28"/>
    </row>
    <row r="49" customFormat="false" ht="15" hidden="false" customHeight="false" outlineLevel="0" collapsed="false">
      <c r="A49" s="26"/>
      <c r="B49" s="26"/>
      <c r="C49" s="27" t="str">
        <f aca="false">IF($B49="","",IFERROR(INDEX(Invoices!$C$6:$C$505,MATCH($B49,Invoices!$A$6:$A$505,0)),"Invoice not found"))</f>
        <v/>
      </c>
      <c r="D49" s="29"/>
      <c r="E49" s="35" t="str">
        <f aca="false">IF($B49="","",IFERROR(INDEX(Invoices!$L$6:$L$505,MATCH($B49,Invoices!$A$6:$A$505,0)),""))</f>
        <v/>
      </c>
      <c r="F49" s="32"/>
      <c r="G49" s="26"/>
      <c r="H49" s="26"/>
      <c r="I49" s="26"/>
      <c r="J49" s="28"/>
      <c r="K49" s="28"/>
    </row>
    <row r="50" customFormat="false" ht="15" hidden="false" customHeight="false" outlineLevel="0" collapsed="false">
      <c r="A50" s="26"/>
      <c r="B50" s="26"/>
      <c r="C50" s="27" t="str">
        <f aca="false">IF($B50="","",IFERROR(INDEX(Invoices!$C$6:$C$505,MATCH($B50,Invoices!$A$6:$A$505,0)),"Invoice not found"))</f>
        <v/>
      </c>
      <c r="D50" s="29"/>
      <c r="E50" s="35" t="str">
        <f aca="false">IF($B50="","",IFERROR(INDEX(Invoices!$L$6:$L$505,MATCH($B50,Invoices!$A$6:$A$505,0)),""))</f>
        <v/>
      </c>
      <c r="F50" s="32"/>
      <c r="G50" s="26"/>
      <c r="H50" s="26"/>
      <c r="I50" s="26"/>
      <c r="J50" s="28"/>
      <c r="K50" s="28"/>
    </row>
    <row r="51" customFormat="false" ht="15" hidden="false" customHeight="false" outlineLevel="0" collapsed="false">
      <c r="A51" s="26"/>
      <c r="B51" s="26"/>
      <c r="C51" s="27" t="str">
        <f aca="false">IF($B51="","",IFERROR(INDEX(Invoices!$C$6:$C$505,MATCH($B51,Invoices!$A$6:$A$505,0)),"Invoice not found"))</f>
        <v/>
      </c>
      <c r="D51" s="29"/>
      <c r="E51" s="35" t="str">
        <f aca="false">IF($B51="","",IFERROR(INDEX(Invoices!$L$6:$L$505,MATCH($B51,Invoices!$A$6:$A$505,0)),""))</f>
        <v/>
      </c>
      <c r="F51" s="32"/>
      <c r="G51" s="26"/>
      <c r="H51" s="26"/>
      <c r="I51" s="26"/>
      <c r="J51" s="28"/>
      <c r="K51" s="28"/>
    </row>
    <row r="52" customFormat="false" ht="15" hidden="false" customHeight="false" outlineLevel="0" collapsed="false">
      <c r="A52" s="26"/>
      <c r="B52" s="26"/>
      <c r="C52" s="27" t="str">
        <f aca="false">IF($B52="","",IFERROR(INDEX(Invoices!$C$6:$C$505,MATCH($B52,Invoices!$A$6:$A$505,0)),"Invoice not found"))</f>
        <v/>
      </c>
      <c r="D52" s="29"/>
      <c r="E52" s="35" t="str">
        <f aca="false">IF($B52="","",IFERROR(INDEX(Invoices!$L$6:$L$505,MATCH($B52,Invoices!$A$6:$A$505,0)),""))</f>
        <v/>
      </c>
      <c r="F52" s="32"/>
      <c r="G52" s="26"/>
      <c r="H52" s="26"/>
      <c r="I52" s="26"/>
      <c r="J52" s="28"/>
      <c r="K52" s="28"/>
    </row>
    <row r="53" customFormat="false" ht="15" hidden="false" customHeight="false" outlineLevel="0" collapsed="false">
      <c r="A53" s="26"/>
      <c r="B53" s="26"/>
      <c r="C53" s="27" t="str">
        <f aca="false">IF($B53="","",IFERROR(INDEX(Invoices!$C$6:$C$505,MATCH($B53,Invoices!$A$6:$A$505,0)),"Invoice not found"))</f>
        <v/>
      </c>
      <c r="D53" s="29"/>
      <c r="E53" s="35" t="str">
        <f aca="false">IF($B53="","",IFERROR(INDEX(Invoices!$L$6:$L$505,MATCH($B53,Invoices!$A$6:$A$505,0)),""))</f>
        <v/>
      </c>
      <c r="F53" s="32"/>
      <c r="G53" s="26"/>
      <c r="H53" s="26"/>
      <c r="I53" s="26"/>
      <c r="J53" s="28"/>
      <c r="K53" s="28"/>
    </row>
    <row r="54" customFormat="false" ht="15" hidden="false" customHeight="false" outlineLevel="0" collapsed="false">
      <c r="A54" s="26"/>
      <c r="B54" s="26"/>
      <c r="C54" s="27" t="str">
        <f aca="false">IF($B54="","",IFERROR(INDEX(Invoices!$C$6:$C$505,MATCH($B54,Invoices!$A$6:$A$505,0)),"Invoice not found"))</f>
        <v/>
      </c>
      <c r="D54" s="29"/>
      <c r="E54" s="35" t="str">
        <f aca="false">IF($B54="","",IFERROR(INDEX(Invoices!$L$6:$L$505,MATCH($B54,Invoices!$A$6:$A$505,0)),""))</f>
        <v/>
      </c>
      <c r="F54" s="32"/>
      <c r="G54" s="26"/>
      <c r="H54" s="26"/>
      <c r="I54" s="26"/>
      <c r="J54" s="28"/>
      <c r="K54" s="28"/>
    </row>
    <row r="55" customFormat="false" ht="15" hidden="false" customHeight="false" outlineLevel="0" collapsed="false">
      <c r="A55" s="26"/>
      <c r="B55" s="26"/>
      <c r="C55" s="27" t="str">
        <f aca="false">IF($B55="","",IFERROR(INDEX(Invoices!$C$6:$C$505,MATCH($B55,Invoices!$A$6:$A$505,0)),"Invoice not found"))</f>
        <v/>
      </c>
      <c r="D55" s="29"/>
      <c r="E55" s="35" t="str">
        <f aca="false">IF($B55="","",IFERROR(INDEX(Invoices!$L$6:$L$505,MATCH($B55,Invoices!$A$6:$A$505,0)),""))</f>
        <v/>
      </c>
      <c r="F55" s="32"/>
      <c r="G55" s="26"/>
      <c r="H55" s="26"/>
      <c r="I55" s="26"/>
      <c r="J55" s="28"/>
      <c r="K55" s="28"/>
    </row>
    <row r="56" customFormat="false" ht="15" hidden="false" customHeight="false" outlineLevel="0" collapsed="false">
      <c r="A56" s="26"/>
      <c r="B56" s="26"/>
      <c r="C56" s="27" t="str">
        <f aca="false">IF($B56="","",IFERROR(INDEX(Invoices!$C$6:$C$505,MATCH($B56,Invoices!$A$6:$A$505,0)),"Invoice not found"))</f>
        <v/>
      </c>
      <c r="D56" s="29"/>
      <c r="E56" s="35" t="str">
        <f aca="false">IF($B56="","",IFERROR(INDEX(Invoices!$L$6:$L$505,MATCH($B56,Invoices!$A$6:$A$505,0)),""))</f>
        <v/>
      </c>
      <c r="F56" s="32"/>
      <c r="G56" s="26"/>
      <c r="H56" s="26"/>
      <c r="I56" s="26"/>
      <c r="J56" s="28"/>
      <c r="K56" s="28"/>
    </row>
    <row r="57" customFormat="false" ht="15" hidden="false" customHeight="false" outlineLevel="0" collapsed="false">
      <c r="A57" s="26"/>
      <c r="B57" s="26"/>
      <c r="C57" s="27" t="str">
        <f aca="false">IF($B57="","",IFERROR(INDEX(Invoices!$C$6:$C$505,MATCH($B57,Invoices!$A$6:$A$505,0)),"Invoice not found"))</f>
        <v/>
      </c>
      <c r="D57" s="29"/>
      <c r="E57" s="35" t="str">
        <f aca="false">IF($B57="","",IFERROR(INDEX(Invoices!$L$6:$L$505,MATCH($B57,Invoices!$A$6:$A$505,0)),""))</f>
        <v/>
      </c>
      <c r="F57" s="32"/>
      <c r="G57" s="26"/>
      <c r="H57" s="26"/>
      <c r="I57" s="26"/>
      <c r="J57" s="28"/>
      <c r="K57" s="28"/>
    </row>
    <row r="58" customFormat="false" ht="15" hidden="false" customHeight="false" outlineLevel="0" collapsed="false">
      <c r="A58" s="26"/>
      <c r="B58" s="26"/>
      <c r="C58" s="27" t="str">
        <f aca="false">IF($B58="","",IFERROR(INDEX(Invoices!$C$6:$C$505,MATCH($B58,Invoices!$A$6:$A$505,0)),"Invoice not found"))</f>
        <v/>
      </c>
      <c r="D58" s="29"/>
      <c r="E58" s="35" t="str">
        <f aca="false">IF($B58="","",IFERROR(INDEX(Invoices!$L$6:$L$505,MATCH($B58,Invoices!$A$6:$A$505,0)),""))</f>
        <v/>
      </c>
      <c r="F58" s="32"/>
      <c r="G58" s="26"/>
      <c r="H58" s="26"/>
      <c r="I58" s="26"/>
      <c r="J58" s="28"/>
      <c r="K58" s="28"/>
    </row>
    <row r="59" customFormat="false" ht="15" hidden="false" customHeight="false" outlineLevel="0" collapsed="false">
      <c r="A59" s="26"/>
      <c r="B59" s="26"/>
      <c r="C59" s="27" t="str">
        <f aca="false">IF($B59="","",IFERROR(INDEX(Invoices!$C$6:$C$505,MATCH($B59,Invoices!$A$6:$A$505,0)),"Invoice not found"))</f>
        <v/>
      </c>
      <c r="D59" s="29"/>
      <c r="E59" s="35" t="str">
        <f aca="false">IF($B59="","",IFERROR(INDEX(Invoices!$L$6:$L$505,MATCH($B59,Invoices!$A$6:$A$505,0)),""))</f>
        <v/>
      </c>
      <c r="F59" s="32"/>
      <c r="G59" s="26"/>
      <c r="H59" s="26"/>
      <c r="I59" s="26"/>
      <c r="J59" s="28"/>
      <c r="K59" s="28"/>
    </row>
    <row r="60" customFormat="false" ht="15" hidden="false" customHeight="false" outlineLevel="0" collapsed="false">
      <c r="A60" s="26"/>
      <c r="B60" s="26"/>
      <c r="C60" s="27" t="str">
        <f aca="false">IF($B60="","",IFERROR(INDEX(Invoices!$C$6:$C$505,MATCH($B60,Invoices!$A$6:$A$505,0)),"Invoice not found"))</f>
        <v/>
      </c>
      <c r="D60" s="29"/>
      <c r="E60" s="35" t="str">
        <f aca="false">IF($B60="","",IFERROR(INDEX(Invoices!$L$6:$L$505,MATCH($B60,Invoices!$A$6:$A$505,0)),""))</f>
        <v/>
      </c>
      <c r="F60" s="32"/>
      <c r="G60" s="26"/>
      <c r="H60" s="26"/>
      <c r="I60" s="26"/>
      <c r="J60" s="28"/>
      <c r="K60" s="28"/>
    </row>
    <row r="61" customFormat="false" ht="15" hidden="false" customHeight="false" outlineLevel="0" collapsed="false">
      <c r="A61" s="26"/>
      <c r="B61" s="26"/>
      <c r="C61" s="27" t="str">
        <f aca="false">IF($B61="","",IFERROR(INDEX(Invoices!$C$6:$C$505,MATCH($B61,Invoices!$A$6:$A$505,0)),"Invoice not found"))</f>
        <v/>
      </c>
      <c r="D61" s="29"/>
      <c r="E61" s="35" t="str">
        <f aca="false">IF($B61="","",IFERROR(INDEX(Invoices!$L$6:$L$505,MATCH($B61,Invoices!$A$6:$A$505,0)),""))</f>
        <v/>
      </c>
      <c r="F61" s="32"/>
      <c r="G61" s="26"/>
      <c r="H61" s="26"/>
      <c r="I61" s="26"/>
      <c r="J61" s="28"/>
      <c r="K61" s="28"/>
    </row>
    <row r="62" customFormat="false" ht="15" hidden="false" customHeight="false" outlineLevel="0" collapsed="false">
      <c r="A62" s="26"/>
      <c r="B62" s="26"/>
      <c r="C62" s="27" t="str">
        <f aca="false">IF($B62="","",IFERROR(INDEX(Invoices!$C$6:$C$505,MATCH($B62,Invoices!$A$6:$A$505,0)),"Invoice not found"))</f>
        <v/>
      </c>
      <c r="D62" s="29"/>
      <c r="E62" s="35" t="str">
        <f aca="false">IF($B62="","",IFERROR(INDEX(Invoices!$L$6:$L$505,MATCH($B62,Invoices!$A$6:$A$505,0)),""))</f>
        <v/>
      </c>
      <c r="F62" s="32"/>
      <c r="G62" s="26"/>
      <c r="H62" s="26"/>
      <c r="I62" s="26"/>
      <c r="J62" s="28"/>
      <c r="K62" s="28"/>
    </row>
    <row r="63" customFormat="false" ht="15" hidden="false" customHeight="false" outlineLevel="0" collapsed="false">
      <c r="A63" s="26"/>
      <c r="B63" s="26"/>
      <c r="C63" s="27" t="str">
        <f aca="false">IF($B63="","",IFERROR(INDEX(Invoices!$C$6:$C$505,MATCH($B63,Invoices!$A$6:$A$505,0)),"Invoice not found"))</f>
        <v/>
      </c>
      <c r="D63" s="29"/>
      <c r="E63" s="35" t="str">
        <f aca="false">IF($B63="","",IFERROR(INDEX(Invoices!$L$6:$L$505,MATCH($B63,Invoices!$A$6:$A$505,0)),""))</f>
        <v/>
      </c>
      <c r="F63" s="32"/>
      <c r="G63" s="26"/>
      <c r="H63" s="26"/>
      <c r="I63" s="26"/>
      <c r="J63" s="28"/>
      <c r="K63" s="28"/>
    </row>
    <row r="64" customFormat="false" ht="15" hidden="false" customHeight="false" outlineLevel="0" collapsed="false">
      <c r="A64" s="26"/>
      <c r="B64" s="26"/>
      <c r="C64" s="27" t="str">
        <f aca="false">IF($B64="","",IFERROR(INDEX(Invoices!$C$6:$C$505,MATCH($B64,Invoices!$A$6:$A$505,0)),"Invoice not found"))</f>
        <v/>
      </c>
      <c r="D64" s="29"/>
      <c r="E64" s="35" t="str">
        <f aca="false">IF($B64="","",IFERROR(INDEX(Invoices!$L$6:$L$505,MATCH($B64,Invoices!$A$6:$A$505,0)),""))</f>
        <v/>
      </c>
      <c r="F64" s="32"/>
      <c r="G64" s="26"/>
      <c r="H64" s="26"/>
      <c r="I64" s="26"/>
      <c r="J64" s="28"/>
      <c r="K64" s="28"/>
    </row>
    <row r="65" customFormat="false" ht="15" hidden="false" customHeight="false" outlineLevel="0" collapsed="false">
      <c r="A65" s="26"/>
      <c r="B65" s="26"/>
      <c r="C65" s="27" t="str">
        <f aca="false">IF($B65="","",IFERROR(INDEX(Invoices!$C$6:$C$505,MATCH($B65,Invoices!$A$6:$A$505,0)),"Invoice not found"))</f>
        <v/>
      </c>
      <c r="D65" s="29"/>
      <c r="E65" s="35" t="str">
        <f aca="false">IF($B65="","",IFERROR(INDEX(Invoices!$L$6:$L$505,MATCH($B65,Invoices!$A$6:$A$505,0)),""))</f>
        <v/>
      </c>
      <c r="F65" s="32"/>
      <c r="G65" s="26"/>
      <c r="H65" s="26"/>
      <c r="I65" s="26"/>
      <c r="J65" s="28"/>
      <c r="K65" s="28"/>
    </row>
    <row r="66" customFormat="false" ht="15" hidden="false" customHeight="false" outlineLevel="0" collapsed="false">
      <c r="A66" s="26"/>
      <c r="B66" s="26"/>
      <c r="C66" s="27" t="str">
        <f aca="false">IF($B66="","",IFERROR(INDEX(Invoices!$C$6:$C$505,MATCH($B66,Invoices!$A$6:$A$505,0)),"Invoice not found"))</f>
        <v/>
      </c>
      <c r="D66" s="29"/>
      <c r="E66" s="35" t="str">
        <f aca="false">IF($B66="","",IFERROR(INDEX(Invoices!$L$6:$L$505,MATCH($B66,Invoices!$A$6:$A$505,0)),""))</f>
        <v/>
      </c>
      <c r="F66" s="32"/>
      <c r="G66" s="26"/>
      <c r="H66" s="26"/>
      <c r="I66" s="26"/>
      <c r="J66" s="28"/>
      <c r="K66" s="28"/>
    </row>
    <row r="67" customFormat="false" ht="15" hidden="false" customHeight="false" outlineLevel="0" collapsed="false">
      <c r="A67" s="26"/>
      <c r="B67" s="26"/>
      <c r="C67" s="27" t="str">
        <f aca="false">IF($B67="","",IFERROR(INDEX(Invoices!$C$6:$C$505,MATCH($B67,Invoices!$A$6:$A$505,0)),"Invoice not found"))</f>
        <v/>
      </c>
      <c r="D67" s="29"/>
      <c r="E67" s="35" t="str">
        <f aca="false">IF($B67="","",IFERROR(INDEX(Invoices!$L$6:$L$505,MATCH($B67,Invoices!$A$6:$A$505,0)),""))</f>
        <v/>
      </c>
      <c r="F67" s="32"/>
      <c r="G67" s="26"/>
      <c r="H67" s="26"/>
      <c r="I67" s="26"/>
      <c r="J67" s="28"/>
      <c r="K67" s="28"/>
    </row>
    <row r="68" customFormat="false" ht="15" hidden="false" customHeight="false" outlineLevel="0" collapsed="false">
      <c r="A68" s="26"/>
      <c r="B68" s="26"/>
      <c r="C68" s="27" t="str">
        <f aca="false">IF($B68="","",IFERROR(INDEX(Invoices!$C$6:$C$505,MATCH($B68,Invoices!$A$6:$A$505,0)),"Invoice not found"))</f>
        <v/>
      </c>
      <c r="D68" s="29"/>
      <c r="E68" s="35" t="str">
        <f aca="false">IF($B68="","",IFERROR(INDEX(Invoices!$L$6:$L$505,MATCH($B68,Invoices!$A$6:$A$505,0)),""))</f>
        <v/>
      </c>
      <c r="F68" s="32"/>
      <c r="G68" s="26"/>
      <c r="H68" s="26"/>
      <c r="I68" s="26"/>
      <c r="J68" s="28"/>
      <c r="K68" s="28"/>
    </row>
    <row r="69" customFormat="false" ht="15" hidden="false" customHeight="false" outlineLevel="0" collapsed="false">
      <c r="A69" s="26"/>
      <c r="B69" s="26"/>
      <c r="C69" s="27" t="str">
        <f aca="false">IF($B69="","",IFERROR(INDEX(Invoices!$C$6:$C$505,MATCH($B69,Invoices!$A$6:$A$505,0)),"Invoice not found"))</f>
        <v/>
      </c>
      <c r="D69" s="29"/>
      <c r="E69" s="35" t="str">
        <f aca="false">IF($B69="","",IFERROR(INDEX(Invoices!$L$6:$L$505,MATCH($B69,Invoices!$A$6:$A$505,0)),""))</f>
        <v/>
      </c>
      <c r="F69" s="32"/>
      <c r="G69" s="26"/>
      <c r="H69" s="26"/>
      <c r="I69" s="26"/>
      <c r="J69" s="28"/>
      <c r="K69" s="28"/>
    </row>
    <row r="70" customFormat="false" ht="15" hidden="false" customHeight="false" outlineLevel="0" collapsed="false">
      <c r="A70" s="26"/>
      <c r="B70" s="26"/>
      <c r="C70" s="27" t="str">
        <f aca="false">IF($B70="","",IFERROR(INDEX(Invoices!$C$6:$C$505,MATCH($B70,Invoices!$A$6:$A$505,0)),"Invoice not found"))</f>
        <v/>
      </c>
      <c r="D70" s="29"/>
      <c r="E70" s="35" t="str">
        <f aca="false">IF($B70="","",IFERROR(INDEX(Invoices!$L$6:$L$505,MATCH($B70,Invoices!$A$6:$A$505,0)),""))</f>
        <v/>
      </c>
      <c r="F70" s="32"/>
      <c r="G70" s="26"/>
      <c r="H70" s="26"/>
      <c r="I70" s="26"/>
      <c r="J70" s="28"/>
      <c r="K70" s="28"/>
    </row>
    <row r="71" customFormat="false" ht="15" hidden="false" customHeight="false" outlineLevel="0" collapsed="false">
      <c r="A71" s="26"/>
      <c r="B71" s="26"/>
      <c r="C71" s="27" t="str">
        <f aca="false">IF($B71="","",IFERROR(INDEX(Invoices!$C$6:$C$505,MATCH($B71,Invoices!$A$6:$A$505,0)),"Invoice not found"))</f>
        <v/>
      </c>
      <c r="D71" s="29"/>
      <c r="E71" s="35" t="str">
        <f aca="false">IF($B71="","",IFERROR(INDEX(Invoices!$L$6:$L$505,MATCH($B71,Invoices!$A$6:$A$505,0)),""))</f>
        <v/>
      </c>
      <c r="F71" s="32"/>
      <c r="G71" s="26"/>
      <c r="H71" s="26"/>
      <c r="I71" s="26"/>
      <c r="J71" s="28"/>
      <c r="K71" s="28"/>
    </row>
    <row r="72" customFormat="false" ht="15" hidden="false" customHeight="false" outlineLevel="0" collapsed="false">
      <c r="A72" s="26"/>
      <c r="B72" s="26"/>
      <c r="C72" s="27" t="str">
        <f aca="false">IF($B72="","",IFERROR(INDEX(Invoices!$C$6:$C$505,MATCH($B72,Invoices!$A$6:$A$505,0)),"Invoice not found"))</f>
        <v/>
      </c>
      <c r="D72" s="29"/>
      <c r="E72" s="35" t="str">
        <f aca="false">IF($B72="","",IFERROR(INDEX(Invoices!$L$6:$L$505,MATCH($B72,Invoices!$A$6:$A$505,0)),""))</f>
        <v/>
      </c>
      <c r="F72" s="32"/>
      <c r="G72" s="26"/>
      <c r="H72" s="26"/>
      <c r="I72" s="26"/>
      <c r="J72" s="28"/>
      <c r="K72" s="28"/>
    </row>
    <row r="73" customFormat="false" ht="15" hidden="false" customHeight="false" outlineLevel="0" collapsed="false">
      <c r="A73" s="26"/>
      <c r="B73" s="26"/>
      <c r="C73" s="27" t="str">
        <f aca="false">IF($B73="","",IFERROR(INDEX(Invoices!$C$6:$C$505,MATCH($B73,Invoices!$A$6:$A$505,0)),"Invoice not found"))</f>
        <v/>
      </c>
      <c r="D73" s="29"/>
      <c r="E73" s="35" t="str">
        <f aca="false">IF($B73="","",IFERROR(INDEX(Invoices!$L$6:$L$505,MATCH($B73,Invoices!$A$6:$A$505,0)),""))</f>
        <v/>
      </c>
      <c r="F73" s="32"/>
      <c r="G73" s="26"/>
      <c r="H73" s="26"/>
      <c r="I73" s="26"/>
      <c r="J73" s="28"/>
      <c r="K73" s="28"/>
    </row>
    <row r="74" customFormat="false" ht="15" hidden="false" customHeight="false" outlineLevel="0" collapsed="false">
      <c r="A74" s="26"/>
      <c r="B74" s="26"/>
      <c r="C74" s="27" t="str">
        <f aca="false">IF($B74="","",IFERROR(INDEX(Invoices!$C$6:$C$505,MATCH($B74,Invoices!$A$6:$A$505,0)),"Invoice not found"))</f>
        <v/>
      </c>
      <c r="D74" s="29"/>
      <c r="E74" s="35" t="str">
        <f aca="false">IF($B74="","",IFERROR(INDEX(Invoices!$L$6:$L$505,MATCH($B74,Invoices!$A$6:$A$505,0)),""))</f>
        <v/>
      </c>
      <c r="F74" s="32"/>
      <c r="G74" s="26"/>
      <c r="H74" s="26"/>
      <c r="I74" s="26"/>
      <c r="J74" s="28"/>
      <c r="K74" s="28"/>
    </row>
    <row r="75" customFormat="false" ht="15" hidden="false" customHeight="false" outlineLevel="0" collapsed="false">
      <c r="A75" s="26"/>
      <c r="B75" s="26"/>
      <c r="C75" s="27" t="str">
        <f aca="false">IF($B75="","",IFERROR(INDEX(Invoices!$C$6:$C$505,MATCH($B75,Invoices!$A$6:$A$505,0)),"Invoice not found"))</f>
        <v/>
      </c>
      <c r="D75" s="29"/>
      <c r="E75" s="35" t="str">
        <f aca="false">IF($B75="","",IFERROR(INDEX(Invoices!$L$6:$L$505,MATCH($B75,Invoices!$A$6:$A$505,0)),""))</f>
        <v/>
      </c>
      <c r="F75" s="32"/>
      <c r="G75" s="26"/>
      <c r="H75" s="26"/>
      <c r="I75" s="26"/>
      <c r="J75" s="28"/>
      <c r="K75" s="28"/>
    </row>
    <row r="76" customFormat="false" ht="15" hidden="false" customHeight="false" outlineLevel="0" collapsed="false">
      <c r="A76" s="26"/>
      <c r="B76" s="26"/>
      <c r="C76" s="27" t="str">
        <f aca="false">IF($B76="","",IFERROR(INDEX(Invoices!$C$6:$C$505,MATCH($B76,Invoices!$A$6:$A$505,0)),"Invoice not found"))</f>
        <v/>
      </c>
      <c r="D76" s="29"/>
      <c r="E76" s="35" t="str">
        <f aca="false">IF($B76="","",IFERROR(INDEX(Invoices!$L$6:$L$505,MATCH($B76,Invoices!$A$6:$A$505,0)),""))</f>
        <v/>
      </c>
      <c r="F76" s="32"/>
      <c r="G76" s="26"/>
      <c r="H76" s="26"/>
      <c r="I76" s="26"/>
      <c r="J76" s="28"/>
      <c r="K76" s="28"/>
    </row>
    <row r="77" customFormat="false" ht="15" hidden="false" customHeight="false" outlineLevel="0" collapsed="false">
      <c r="A77" s="26"/>
      <c r="B77" s="26"/>
      <c r="C77" s="27" t="str">
        <f aca="false">IF($B77="","",IFERROR(INDEX(Invoices!$C$6:$C$505,MATCH($B77,Invoices!$A$6:$A$505,0)),"Invoice not found"))</f>
        <v/>
      </c>
      <c r="D77" s="29"/>
      <c r="E77" s="35" t="str">
        <f aca="false">IF($B77="","",IFERROR(INDEX(Invoices!$L$6:$L$505,MATCH($B77,Invoices!$A$6:$A$505,0)),""))</f>
        <v/>
      </c>
      <c r="F77" s="32"/>
      <c r="G77" s="26"/>
      <c r="H77" s="26"/>
      <c r="I77" s="26"/>
      <c r="J77" s="28"/>
      <c r="K77" s="28"/>
    </row>
    <row r="78" customFormat="false" ht="15" hidden="false" customHeight="false" outlineLevel="0" collapsed="false">
      <c r="A78" s="26"/>
      <c r="B78" s="26"/>
      <c r="C78" s="27" t="str">
        <f aca="false">IF($B78="","",IFERROR(INDEX(Invoices!$C$6:$C$505,MATCH($B78,Invoices!$A$6:$A$505,0)),"Invoice not found"))</f>
        <v/>
      </c>
      <c r="D78" s="29"/>
      <c r="E78" s="35" t="str">
        <f aca="false">IF($B78="","",IFERROR(INDEX(Invoices!$L$6:$L$505,MATCH($B78,Invoices!$A$6:$A$505,0)),""))</f>
        <v/>
      </c>
      <c r="F78" s="32"/>
      <c r="G78" s="26"/>
      <c r="H78" s="26"/>
      <c r="I78" s="26"/>
      <c r="J78" s="28"/>
      <c r="K78" s="28"/>
    </row>
    <row r="79" customFormat="false" ht="15" hidden="false" customHeight="false" outlineLevel="0" collapsed="false">
      <c r="A79" s="26"/>
      <c r="B79" s="26"/>
      <c r="C79" s="27" t="str">
        <f aca="false">IF($B79="","",IFERROR(INDEX(Invoices!$C$6:$C$505,MATCH($B79,Invoices!$A$6:$A$505,0)),"Invoice not found"))</f>
        <v/>
      </c>
      <c r="D79" s="29"/>
      <c r="E79" s="35" t="str">
        <f aca="false">IF($B79="","",IFERROR(INDEX(Invoices!$L$6:$L$505,MATCH($B79,Invoices!$A$6:$A$505,0)),""))</f>
        <v/>
      </c>
      <c r="F79" s="32"/>
      <c r="G79" s="26"/>
      <c r="H79" s="26"/>
      <c r="I79" s="26"/>
      <c r="J79" s="28"/>
      <c r="K79" s="28"/>
    </row>
    <row r="80" customFormat="false" ht="15" hidden="false" customHeight="false" outlineLevel="0" collapsed="false">
      <c r="A80" s="26"/>
      <c r="B80" s="26"/>
      <c r="C80" s="27" t="str">
        <f aca="false">IF($B80="","",IFERROR(INDEX(Invoices!$C$6:$C$505,MATCH($B80,Invoices!$A$6:$A$505,0)),"Invoice not found"))</f>
        <v/>
      </c>
      <c r="D80" s="29"/>
      <c r="E80" s="35" t="str">
        <f aca="false">IF($B80="","",IFERROR(INDEX(Invoices!$L$6:$L$505,MATCH($B80,Invoices!$A$6:$A$505,0)),""))</f>
        <v/>
      </c>
      <c r="F80" s="32"/>
      <c r="G80" s="26"/>
      <c r="H80" s="26"/>
      <c r="I80" s="26"/>
      <c r="J80" s="28"/>
      <c r="K80" s="28"/>
    </row>
    <row r="81" customFormat="false" ht="15" hidden="false" customHeight="false" outlineLevel="0" collapsed="false">
      <c r="A81" s="26"/>
      <c r="B81" s="26"/>
      <c r="C81" s="27" t="str">
        <f aca="false">IF($B81="","",IFERROR(INDEX(Invoices!$C$6:$C$505,MATCH($B81,Invoices!$A$6:$A$505,0)),"Invoice not found"))</f>
        <v/>
      </c>
      <c r="D81" s="29"/>
      <c r="E81" s="35" t="str">
        <f aca="false">IF($B81="","",IFERROR(INDEX(Invoices!$L$6:$L$505,MATCH($B81,Invoices!$A$6:$A$505,0)),""))</f>
        <v/>
      </c>
      <c r="F81" s="32"/>
      <c r="G81" s="26"/>
      <c r="H81" s="26"/>
      <c r="I81" s="26"/>
      <c r="J81" s="28"/>
      <c r="K81" s="28"/>
    </row>
    <row r="82" customFormat="false" ht="15" hidden="false" customHeight="false" outlineLevel="0" collapsed="false">
      <c r="A82" s="26"/>
      <c r="B82" s="26"/>
      <c r="C82" s="27" t="str">
        <f aca="false">IF($B82="","",IFERROR(INDEX(Invoices!$C$6:$C$505,MATCH($B82,Invoices!$A$6:$A$505,0)),"Invoice not found"))</f>
        <v/>
      </c>
      <c r="D82" s="29"/>
      <c r="E82" s="35" t="str">
        <f aca="false">IF($B82="","",IFERROR(INDEX(Invoices!$L$6:$L$505,MATCH($B82,Invoices!$A$6:$A$505,0)),""))</f>
        <v/>
      </c>
      <c r="F82" s="32"/>
      <c r="G82" s="26"/>
      <c r="H82" s="26"/>
      <c r="I82" s="26"/>
      <c r="J82" s="28"/>
      <c r="K82" s="28"/>
    </row>
    <row r="83" customFormat="false" ht="15" hidden="false" customHeight="false" outlineLevel="0" collapsed="false">
      <c r="A83" s="26"/>
      <c r="B83" s="26"/>
      <c r="C83" s="27" t="str">
        <f aca="false">IF($B83="","",IFERROR(INDEX(Invoices!$C$6:$C$505,MATCH($B83,Invoices!$A$6:$A$505,0)),"Invoice not found"))</f>
        <v/>
      </c>
      <c r="D83" s="29"/>
      <c r="E83" s="35" t="str">
        <f aca="false">IF($B83="","",IFERROR(INDEX(Invoices!$L$6:$L$505,MATCH($B83,Invoices!$A$6:$A$505,0)),""))</f>
        <v/>
      </c>
      <c r="F83" s="32"/>
      <c r="G83" s="26"/>
      <c r="H83" s="26"/>
      <c r="I83" s="26"/>
      <c r="J83" s="28"/>
      <c r="K83" s="28"/>
    </row>
    <row r="84" customFormat="false" ht="15" hidden="false" customHeight="false" outlineLevel="0" collapsed="false">
      <c r="A84" s="26"/>
      <c r="B84" s="26"/>
      <c r="C84" s="27" t="str">
        <f aca="false">IF($B84="","",IFERROR(INDEX(Invoices!$C$6:$C$505,MATCH($B84,Invoices!$A$6:$A$505,0)),"Invoice not found"))</f>
        <v/>
      </c>
      <c r="D84" s="29"/>
      <c r="E84" s="35" t="str">
        <f aca="false">IF($B84="","",IFERROR(INDEX(Invoices!$L$6:$L$505,MATCH($B84,Invoices!$A$6:$A$505,0)),""))</f>
        <v/>
      </c>
      <c r="F84" s="32"/>
      <c r="G84" s="26"/>
      <c r="H84" s="26"/>
      <c r="I84" s="26"/>
      <c r="J84" s="28"/>
      <c r="K84" s="28"/>
    </row>
    <row r="85" customFormat="false" ht="15" hidden="false" customHeight="false" outlineLevel="0" collapsed="false">
      <c r="A85" s="26"/>
      <c r="B85" s="26"/>
      <c r="C85" s="27" t="str">
        <f aca="false">IF($B85="","",IFERROR(INDEX(Invoices!$C$6:$C$505,MATCH($B85,Invoices!$A$6:$A$505,0)),"Invoice not found"))</f>
        <v/>
      </c>
      <c r="D85" s="29"/>
      <c r="E85" s="35" t="str">
        <f aca="false">IF($B85="","",IFERROR(INDEX(Invoices!$L$6:$L$505,MATCH($B85,Invoices!$A$6:$A$505,0)),""))</f>
        <v/>
      </c>
      <c r="F85" s="32"/>
      <c r="G85" s="26"/>
      <c r="H85" s="26"/>
      <c r="I85" s="26"/>
      <c r="J85" s="28"/>
      <c r="K85" s="28"/>
    </row>
    <row r="86" customFormat="false" ht="15" hidden="false" customHeight="false" outlineLevel="0" collapsed="false">
      <c r="A86" s="26"/>
      <c r="B86" s="26"/>
      <c r="C86" s="27" t="str">
        <f aca="false">IF($B86="","",IFERROR(INDEX(Invoices!$C$6:$C$505,MATCH($B86,Invoices!$A$6:$A$505,0)),"Invoice not found"))</f>
        <v/>
      </c>
      <c r="D86" s="29"/>
      <c r="E86" s="35" t="str">
        <f aca="false">IF($B86="","",IFERROR(INDEX(Invoices!$L$6:$L$505,MATCH($B86,Invoices!$A$6:$A$505,0)),""))</f>
        <v/>
      </c>
      <c r="F86" s="32"/>
      <c r="G86" s="26"/>
      <c r="H86" s="26"/>
      <c r="I86" s="26"/>
      <c r="J86" s="28"/>
      <c r="K86" s="28"/>
    </row>
    <row r="87" customFormat="false" ht="15" hidden="false" customHeight="false" outlineLevel="0" collapsed="false">
      <c r="A87" s="26"/>
      <c r="B87" s="26"/>
      <c r="C87" s="27" t="str">
        <f aca="false">IF($B87="","",IFERROR(INDEX(Invoices!$C$6:$C$505,MATCH($B87,Invoices!$A$6:$A$505,0)),"Invoice not found"))</f>
        <v/>
      </c>
      <c r="D87" s="29"/>
      <c r="E87" s="35" t="str">
        <f aca="false">IF($B87="","",IFERROR(INDEX(Invoices!$L$6:$L$505,MATCH($B87,Invoices!$A$6:$A$505,0)),""))</f>
        <v/>
      </c>
      <c r="F87" s="32"/>
      <c r="G87" s="26"/>
      <c r="H87" s="26"/>
      <c r="I87" s="26"/>
      <c r="J87" s="28"/>
      <c r="K87" s="28"/>
    </row>
    <row r="88" customFormat="false" ht="15" hidden="false" customHeight="false" outlineLevel="0" collapsed="false">
      <c r="A88" s="26"/>
      <c r="B88" s="26"/>
      <c r="C88" s="27" t="str">
        <f aca="false">IF($B88="","",IFERROR(INDEX(Invoices!$C$6:$C$505,MATCH($B88,Invoices!$A$6:$A$505,0)),"Invoice not found"))</f>
        <v/>
      </c>
      <c r="D88" s="29"/>
      <c r="E88" s="35" t="str">
        <f aca="false">IF($B88="","",IFERROR(INDEX(Invoices!$L$6:$L$505,MATCH($B88,Invoices!$A$6:$A$505,0)),""))</f>
        <v/>
      </c>
      <c r="F88" s="32"/>
      <c r="G88" s="26"/>
      <c r="H88" s="26"/>
      <c r="I88" s="26"/>
      <c r="J88" s="28"/>
      <c r="K88" s="28"/>
    </row>
    <row r="89" customFormat="false" ht="15" hidden="false" customHeight="false" outlineLevel="0" collapsed="false">
      <c r="A89" s="26"/>
      <c r="B89" s="26"/>
      <c r="C89" s="27" t="str">
        <f aca="false">IF($B89="","",IFERROR(INDEX(Invoices!$C$6:$C$505,MATCH($B89,Invoices!$A$6:$A$505,0)),"Invoice not found"))</f>
        <v/>
      </c>
      <c r="D89" s="29"/>
      <c r="E89" s="35" t="str">
        <f aca="false">IF($B89="","",IFERROR(INDEX(Invoices!$L$6:$L$505,MATCH($B89,Invoices!$A$6:$A$505,0)),""))</f>
        <v/>
      </c>
      <c r="F89" s="32"/>
      <c r="G89" s="26"/>
      <c r="H89" s="26"/>
      <c r="I89" s="26"/>
      <c r="J89" s="28"/>
      <c r="K89" s="28"/>
    </row>
    <row r="90" customFormat="false" ht="15" hidden="false" customHeight="false" outlineLevel="0" collapsed="false">
      <c r="A90" s="26"/>
      <c r="B90" s="26"/>
      <c r="C90" s="27" t="str">
        <f aca="false">IF($B90="","",IFERROR(INDEX(Invoices!$C$6:$C$505,MATCH($B90,Invoices!$A$6:$A$505,0)),"Invoice not found"))</f>
        <v/>
      </c>
      <c r="D90" s="29"/>
      <c r="E90" s="35" t="str">
        <f aca="false">IF($B90="","",IFERROR(INDEX(Invoices!$L$6:$L$505,MATCH($B90,Invoices!$A$6:$A$505,0)),""))</f>
        <v/>
      </c>
      <c r="F90" s="32"/>
      <c r="G90" s="26"/>
      <c r="H90" s="26"/>
      <c r="I90" s="26"/>
      <c r="J90" s="28"/>
      <c r="K90" s="28"/>
    </row>
    <row r="91" customFormat="false" ht="15" hidden="false" customHeight="false" outlineLevel="0" collapsed="false">
      <c r="A91" s="26"/>
      <c r="B91" s="26"/>
      <c r="C91" s="27" t="str">
        <f aca="false">IF($B91="","",IFERROR(INDEX(Invoices!$C$6:$C$505,MATCH($B91,Invoices!$A$6:$A$505,0)),"Invoice not found"))</f>
        <v/>
      </c>
      <c r="D91" s="29"/>
      <c r="E91" s="35" t="str">
        <f aca="false">IF($B91="","",IFERROR(INDEX(Invoices!$L$6:$L$505,MATCH($B91,Invoices!$A$6:$A$505,0)),""))</f>
        <v/>
      </c>
      <c r="F91" s="32"/>
      <c r="G91" s="26"/>
      <c r="H91" s="26"/>
      <c r="I91" s="26"/>
      <c r="J91" s="28"/>
      <c r="K91" s="28"/>
    </row>
    <row r="92" customFormat="false" ht="15" hidden="false" customHeight="false" outlineLevel="0" collapsed="false">
      <c r="A92" s="26"/>
      <c r="B92" s="26"/>
      <c r="C92" s="27" t="str">
        <f aca="false">IF($B92="","",IFERROR(INDEX(Invoices!$C$6:$C$505,MATCH($B92,Invoices!$A$6:$A$505,0)),"Invoice not found"))</f>
        <v/>
      </c>
      <c r="D92" s="29"/>
      <c r="E92" s="35" t="str">
        <f aca="false">IF($B92="","",IFERROR(INDEX(Invoices!$L$6:$L$505,MATCH($B92,Invoices!$A$6:$A$505,0)),""))</f>
        <v/>
      </c>
      <c r="F92" s="32"/>
      <c r="G92" s="26"/>
      <c r="H92" s="26"/>
      <c r="I92" s="26"/>
      <c r="J92" s="28"/>
      <c r="K92" s="28"/>
    </row>
    <row r="93" customFormat="false" ht="15" hidden="false" customHeight="false" outlineLevel="0" collapsed="false">
      <c r="A93" s="26"/>
      <c r="B93" s="26"/>
      <c r="C93" s="27" t="str">
        <f aca="false">IF($B93="","",IFERROR(INDEX(Invoices!$C$6:$C$505,MATCH($B93,Invoices!$A$6:$A$505,0)),"Invoice not found"))</f>
        <v/>
      </c>
      <c r="D93" s="29"/>
      <c r="E93" s="35" t="str">
        <f aca="false">IF($B93="","",IFERROR(INDEX(Invoices!$L$6:$L$505,MATCH($B93,Invoices!$A$6:$A$505,0)),""))</f>
        <v/>
      </c>
      <c r="F93" s="32"/>
      <c r="G93" s="26"/>
      <c r="H93" s="26"/>
      <c r="I93" s="26"/>
      <c r="J93" s="28"/>
      <c r="K93" s="28"/>
    </row>
    <row r="94" customFormat="false" ht="15" hidden="false" customHeight="false" outlineLevel="0" collapsed="false">
      <c r="A94" s="26"/>
      <c r="B94" s="26"/>
      <c r="C94" s="27" t="str">
        <f aca="false">IF($B94="","",IFERROR(INDEX(Invoices!$C$6:$C$505,MATCH($B94,Invoices!$A$6:$A$505,0)),"Invoice not found"))</f>
        <v/>
      </c>
      <c r="D94" s="29"/>
      <c r="E94" s="35" t="str">
        <f aca="false">IF($B94="","",IFERROR(INDEX(Invoices!$L$6:$L$505,MATCH($B94,Invoices!$A$6:$A$505,0)),""))</f>
        <v/>
      </c>
      <c r="F94" s="32"/>
      <c r="G94" s="26"/>
      <c r="H94" s="26"/>
      <c r="I94" s="26"/>
      <c r="J94" s="28"/>
      <c r="K94" s="28"/>
    </row>
    <row r="95" customFormat="false" ht="15" hidden="false" customHeight="false" outlineLevel="0" collapsed="false">
      <c r="A95" s="26"/>
      <c r="B95" s="26"/>
      <c r="C95" s="27" t="str">
        <f aca="false">IF($B95="","",IFERROR(INDEX(Invoices!$C$6:$C$505,MATCH($B95,Invoices!$A$6:$A$505,0)),"Invoice not found"))</f>
        <v/>
      </c>
      <c r="D95" s="29"/>
      <c r="E95" s="35" t="str">
        <f aca="false">IF($B95="","",IFERROR(INDEX(Invoices!$L$6:$L$505,MATCH($B95,Invoices!$A$6:$A$505,0)),""))</f>
        <v/>
      </c>
      <c r="F95" s="32"/>
      <c r="G95" s="26"/>
      <c r="H95" s="26"/>
      <c r="I95" s="26"/>
      <c r="J95" s="28"/>
      <c r="K95" s="28"/>
    </row>
    <row r="96" customFormat="false" ht="15" hidden="false" customHeight="false" outlineLevel="0" collapsed="false">
      <c r="A96" s="26"/>
      <c r="B96" s="26"/>
      <c r="C96" s="27" t="str">
        <f aca="false">IF($B96="","",IFERROR(INDEX(Invoices!$C$6:$C$505,MATCH($B96,Invoices!$A$6:$A$505,0)),"Invoice not found"))</f>
        <v/>
      </c>
      <c r="D96" s="29"/>
      <c r="E96" s="35" t="str">
        <f aca="false">IF($B96="","",IFERROR(INDEX(Invoices!$L$6:$L$505,MATCH($B96,Invoices!$A$6:$A$505,0)),""))</f>
        <v/>
      </c>
      <c r="F96" s="32"/>
      <c r="G96" s="26"/>
      <c r="H96" s="26"/>
      <c r="I96" s="26"/>
      <c r="J96" s="28"/>
      <c r="K96" s="28"/>
    </row>
    <row r="97" customFormat="false" ht="15" hidden="false" customHeight="false" outlineLevel="0" collapsed="false">
      <c r="A97" s="26"/>
      <c r="B97" s="26"/>
      <c r="C97" s="27" t="str">
        <f aca="false">IF($B97="","",IFERROR(INDEX(Invoices!$C$6:$C$505,MATCH($B97,Invoices!$A$6:$A$505,0)),"Invoice not found"))</f>
        <v/>
      </c>
      <c r="D97" s="29"/>
      <c r="E97" s="35" t="str">
        <f aca="false">IF($B97="","",IFERROR(INDEX(Invoices!$L$6:$L$505,MATCH($B97,Invoices!$A$6:$A$505,0)),""))</f>
        <v/>
      </c>
      <c r="F97" s="32"/>
      <c r="G97" s="26"/>
      <c r="H97" s="26"/>
      <c r="I97" s="26"/>
      <c r="J97" s="28"/>
      <c r="K97" s="28"/>
    </row>
    <row r="98" customFormat="false" ht="15" hidden="false" customHeight="false" outlineLevel="0" collapsed="false">
      <c r="A98" s="26"/>
      <c r="B98" s="26"/>
      <c r="C98" s="27" t="str">
        <f aca="false">IF($B98="","",IFERROR(INDEX(Invoices!$C$6:$C$505,MATCH($B98,Invoices!$A$6:$A$505,0)),"Invoice not found"))</f>
        <v/>
      </c>
      <c r="D98" s="29"/>
      <c r="E98" s="35" t="str">
        <f aca="false">IF($B98="","",IFERROR(INDEX(Invoices!$L$6:$L$505,MATCH($B98,Invoices!$A$6:$A$505,0)),""))</f>
        <v/>
      </c>
      <c r="F98" s="32"/>
      <c r="G98" s="26"/>
      <c r="H98" s="26"/>
      <c r="I98" s="26"/>
      <c r="J98" s="28"/>
      <c r="K98" s="28"/>
    </row>
    <row r="99" customFormat="false" ht="15" hidden="false" customHeight="false" outlineLevel="0" collapsed="false">
      <c r="A99" s="26"/>
      <c r="B99" s="26"/>
      <c r="C99" s="27" t="str">
        <f aca="false">IF($B99="","",IFERROR(INDEX(Invoices!$C$6:$C$505,MATCH($B99,Invoices!$A$6:$A$505,0)),"Invoice not found"))</f>
        <v/>
      </c>
      <c r="D99" s="29"/>
      <c r="E99" s="35" t="str">
        <f aca="false">IF($B99="","",IFERROR(INDEX(Invoices!$L$6:$L$505,MATCH($B99,Invoices!$A$6:$A$505,0)),""))</f>
        <v/>
      </c>
      <c r="F99" s="32"/>
      <c r="G99" s="26"/>
      <c r="H99" s="26"/>
      <c r="I99" s="26"/>
      <c r="J99" s="28"/>
      <c r="K99" s="28"/>
    </row>
    <row r="100" customFormat="false" ht="15" hidden="false" customHeight="false" outlineLevel="0" collapsed="false">
      <c r="A100" s="26"/>
      <c r="B100" s="26"/>
      <c r="C100" s="27" t="str">
        <f aca="false">IF($B100="","",IFERROR(INDEX(Invoices!$C$6:$C$505,MATCH($B100,Invoices!$A$6:$A$505,0)),"Invoice not found"))</f>
        <v/>
      </c>
      <c r="D100" s="29"/>
      <c r="E100" s="35" t="str">
        <f aca="false">IF($B100="","",IFERROR(INDEX(Invoices!$L$6:$L$505,MATCH($B100,Invoices!$A$6:$A$505,0)),""))</f>
        <v/>
      </c>
      <c r="F100" s="32"/>
      <c r="G100" s="26"/>
      <c r="H100" s="26"/>
      <c r="I100" s="26"/>
      <c r="J100" s="28"/>
      <c r="K100" s="28"/>
    </row>
    <row r="101" customFormat="false" ht="15" hidden="false" customHeight="false" outlineLevel="0" collapsed="false">
      <c r="A101" s="26"/>
      <c r="B101" s="26"/>
      <c r="C101" s="27" t="str">
        <f aca="false">IF($B101="","",IFERROR(INDEX(Invoices!$C$6:$C$505,MATCH($B101,Invoices!$A$6:$A$505,0)),"Invoice not found"))</f>
        <v/>
      </c>
      <c r="D101" s="29"/>
      <c r="E101" s="35" t="str">
        <f aca="false">IF($B101="","",IFERROR(INDEX(Invoices!$L$6:$L$505,MATCH($B101,Invoices!$A$6:$A$505,0)),""))</f>
        <v/>
      </c>
      <c r="F101" s="32"/>
      <c r="G101" s="26"/>
      <c r="H101" s="26"/>
      <c r="I101" s="26"/>
      <c r="J101" s="28"/>
      <c r="K101" s="28"/>
    </row>
    <row r="102" customFormat="false" ht="15" hidden="false" customHeight="false" outlineLevel="0" collapsed="false">
      <c r="A102" s="26"/>
      <c r="B102" s="26"/>
      <c r="C102" s="27" t="str">
        <f aca="false">IF($B102="","",IFERROR(INDEX(Invoices!$C$6:$C$505,MATCH($B102,Invoices!$A$6:$A$505,0)),"Invoice not found"))</f>
        <v/>
      </c>
      <c r="D102" s="29"/>
      <c r="E102" s="35" t="str">
        <f aca="false">IF($B102="","",IFERROR(INDEX(Invoices!$L$6:$L$505,MATCH($B102,Invoices!$A$6:$A$505,0)),""))</f>
        <v/>
      </c>
      <c r="F102" s="32"/>
      <c r="G102" s="26"/>
      <c r="H102" s="26"/>
      <c r="I102" s="26"/>
      <c r="J102" s="28"/>
      <c r="K102" s="28"/>
    </row>
    <row r="103" customFormat="false" ht="15" hidden="false" customHeight="false" outlineLevel="0" collapsed="false">
      <c r="A103" s="26"/>
      <c r="B103" s="26"/>
      <c r="C103" s="27" t="str">
        <f aca="false">IF($B103="","",IFERROR(INDEX(Invoices!$C$6:$C$505,MATCH($B103,Invoices!$A$6:$A$505,0)),"Invoice not found"))</f>
        <v/>
      </c>
      <c r="D103" s="29"/>
      <c r="E103" s="35" t="str">
        <f aca="false">IF($B103="","",IFERROR(INDEX(Invoices!$L$6:$L$505,MATCH($B103,Invoices!$A$6:$A$505,0)),""))</f>
        <v/>
      </c>
      <c r="F103" s="32"/>
      <c r="G103" s="26"/>
      <c r="H103" s="26"/>
      <c r="I103" s="26"/>
      <c r="J103" s="28"/>
      <c r="K103" s="28"/>
    </row>
    <row r="104" customFormat="false" ht="15" hidden="false" customHeight="false" outlineLevel="0" collapsed="false">
      <c r="A104" s="26"/>
      <c r="B104" s="26"/>
      <c r="C104" s="27" t="str">
        <f aca="false">IF($B104="","",IFERROR(INDEX(Invoices!$C$6:$C$505,MATCH($B104,Invoices!$A$6:$A$505,0)),"Invoice not found"))</f>
        <v/>
      </c>
      <c r="D104" s="29"/>
      <c r="E104" s="35" t="str">
        <f aca="false">IF($B104="","",IFERROR(INDEX(Invoices!$L$6:$L$505,MATCH($B104,Invoices!$A$6:$A$505,0)),""))</f>
        <v/>
      </c>
      <c r="F104" s="32"/>
      <c r="G104" s="26"/>
      <c r="H104" s="26"/>
      <c r="I104" s="26"/>
      <c r="J104" s="28"/>
      <c r="K104" s="28"/>
    </row>
    <row r="105" customFormat="false" ht="15" hidden="false" customHeight="false" outlineLevel="0" collapsed="false">
      <c r="A105" s="26"/>
      <c r="B105" s="26"/>
      <c r="C105" s="27" t="str">
        <f aca="false">IF($B105="","",IFERROR(INDEX(Invoices!$C$6:$C$505,MATCH($B105,Invoices!$A$6:$A$505,0)),"Invoice not found"))</f>
        <v/>
      </c>
      <c r="D105" s="29"/>
      <c r="E105" s="35" t="str">
        <f aca="false">IF($B105="","",IFERROR(INDEX(Invoices!$L$6:$L$505,MATCH($B105,Invoices!$A$6:$A$505,0)),""))</f>
        <v/>
      </c>
      <c r="F105" s="32"/>
      <c r="G105" s="26"/>
      <c r="H105" s="26"/>
      <c r="I105" s="26"/>
      <c r="J105" s="28"/>
      <c r="K105" s="28"/>
    </row>
    <row r="106" customFormat="false" ht="15" hidden="false" customHeight="false" outlineLevel="0" collapsed="false">
      <c r="A106" s="26"/>
      <c r="B106" s="26"/>
      <c r="C106" s="27" t="str">
        <f aca="false">IF($B106="","",IFERROR(INDEX(Invoices!$C$6:$C$505,MATCH($B106,Invoices!$A$6:$A$505,0)),"Invoice not found"))</f>
        <v/>
      </c>
      <c r="D106" s="29"/>
      <c r="E106" s="35" t="str">
        <f aca="false">IF($B106="","",IFERROR(INDEX(Invoices!$L$6:$L$505,MATCH($B106,Invoices!$A$6:$A$505,0)),""))</f>
        <v/>
      </c>
      <c r="F106" s="32"/>
      <c r="G106" s="26"/>
      <c r="H106" s="26"/>
      <c r="I106" s="26"/>
      <c r="J106" s="28"/>
      <c r="K106" s="28"/>
    </row>
    <row r="107" customFormat="false" ht="15" hidden="false" customHeight="false" outlineLevel="0" collapsed="false">
      <c r="A107" s="26"/>
      <c r="B107" s="26"/>
      <c r="C107" s="27" t="str">
        <f aca="false">IF($B107="","",IFERROR(INDEX(Invoices!$C$6:$C$505,MATCH($B107,Invoices!$A$6:$A$505,0)),"Invoice not found"))</f>
        <v/>
      </c>
      <c r="D107" s="29"/>
      <c r="E107" s="35" t="str">
        <f aca="false">IF($B107="","",IFERROR(INDEX(Invoices!$L$6:$L$505,MATCH($B107,Invoices!$A$6:$A$505,0)),""))</f>
        <v/>
      </c>
      <c r="F107" s="32"/>
      <c r="G107" s="26"/>
      <c r="H107" s="26"/>
      <c r="I107" s="26"/>
      <c r="J107" s="28"/>
      <c r="K107" s="28"/>
    </row>
    <row r="108" customFormat="false" ht="15" hidden="false" customHeight="false" outlineLevel="0" collapsed="false">
      <c r="A108" s="26"/>
      <c r="B108" s="26"/>
      <c r="C108" s="27" t="str">
        <f aca="false">IF($B108="","",IFERROR(INDEX(Invoices!$C$6:$C$505,MATCH($B108,Invoices!$A$6:$A$505,0)),"Invoice not found"))</f>
        <v/>
      </c>
      <c r="D108" s="29"/>
      <c r="E108" s="35" t="str">
        <f aca="false">IF($B108="","",IFERROR(INDEX(Invoices!$L$6:$L$505,MATCH($B108,Invoices!$A$6:$A$505,0)),""))</f>
        <v/>
      </c>
      <c r="F108" s="32"/>
      <c r="G108" s="26"/>
      <c r="H108" s="26"/>
      <c r="I108" s="26"/>
      <c r="J108" s="28"/>
      <c r="K108" s="28"/>
    </row>
    <row r="109" customFormat="false" ht="15" hidden="false" customHeight="false" outlineLevel="0" collapsed="false">
      <c r="A109" s="26"/>
      <c r="B109" s="26"/>
      <c r="C109" s="27" t="str">
        <f aca="false">IF($B109="","",IFERROR(INDEX(Invoices!$C$6:$C$505,MATCH($B109,Invoices!$A$6:$A$505,0)),"Invoice not found"))</f>
        <v/>
      </c>
      <c r="D109" s="29"/>
      <c r="E109" s="35" t="str">
        <f aca="false">IF($B109="","",IFERROR(INDEX(Invoices!$L$6:$L$505,MATCH($B109,Invoices!$A$6:$A$505,0)),""))</f>
        <v/>
      </c>
      <c r="F109" s="32"/>
      <c r="G109" s="26"/>
      <c r="H109" s="26"/>
      <c r="I109" s="26"/>
      <c r="J109" s="28"/>
      <c r="K109" s="28"/>
    </row>
    <row r="110" customFormat="false" ht="15" hidden="false" customHeight="false" outlineLevel="0" collapsed="false">
      <c r="A110" s="26"/>
      <c r="B110" s="26"/>
      <c r="C110" s="27" t="str">
        <f aca="false">IF($B110="","",IFERROR(INDEX(Invoices!$C$6:$C$505,MATCH($B110,Invoices!$A$6:$A$505,0)),"Invoice not found"))</f>
        <v/>
      </c>
      <c r="D110" s="29"/>
      <c r="E110" s="35" t="str">
        <f aca="false">IF($B110="","",IFERROR(INDEX(Invoices!$L$6:$L$505,MATCH($B110,Invoices!$A$6:$A$505,0)),""))</f>
        <v/>
      </c>
      <c r="F110" s="32"/>
      <c r="G110" s="26"/>
      <c r="H110" s="26"/>
      <c r="I110" s="26"/>
      <c r="J110" s="28"/>
      <c r="K110" s="28"/>
    </row>
    <row r="111" customFormat="false" ht="15" hidden="false" customHeight="false" outlineLevel="0" collapsed="false">
      <c r="A111" s="26"/>
      <c r="B111" s="26"/>
      <c r="C111" s="27" t="str">
        <f aca="false">IF($B111="","",IFERROR(INDEX(Invoices!$C$6:$C$505,MATCH($B111,Invoices!$A$6:$A$505,0)),"Invoice not found"))</f>
        <v/>
      </c>
      <c r="D111" s="29"/>
      <c r="E111" s="35" t="str">
        <f aca="false">IF($B111="","",IFERROR(INDEX(Invoices!$L$6:$L$505,MATCH($B111,Invoices!$A$6:$A$505,0)),""))</f>
        <v/>
      </c>
      <c r="F111" s="32"/>
      <c r="G111" s="26"/>
      <c r="H111" s="26"/>
      <c r="I111" s="26"/>
      <c r="J111" s="28"/>
      <c r="K111" s="28"/>
    </row>
    <row r="112" customFormat="false" ht="15" hidden="false" customHeight="false" outlineLevel="0" collapsed="false">
      <c r="A112" s="26"/>
      <c r="B112" s="26"/>
      <c r="C112" s="27" t="str">
        <f aca="false">IF($B112="","",IFERROR(INDEX(Invoices!$C$6:$C$505,MATCH($B112,Invoices!$A$6:$A$505,0)),"Invoice not found"))</f>
        <v/>
      </c>
      <c r="D112" s="29"/>
      <c r="E112" s="35" t="str">
        <f aca="false">IF($B112="","",IFERROR(INDEX(Invoices!$L$6:$L$505,MATCH($B112,Invoices!$A$6:$A$505,0)),""))</f>
        <v/>
      </c>
      <c r="F112" s="32"/>
      <c r="G112" s="26"/>
      <c r="H112" s="26"/>
      <c r="I112" s="26"/>
      <c r="J112" s="28"/>
      <c r="K112" s="28"/>
    </row>
    <row r="113" customFormat="false" ht="15" hidden="false" customHeight="false" outlineLevel="0" collapsed="false">
      <c r="A113" s="26"/>
      <c r="B113" s="26"/>
      <c r="C113" s="27" t="str">
        <f aca="false">IF($B113="","",IFERROR(INDEX(Invoices!$C$6:$C$505,MATCH($B113,Invoices!$A$6:$A$505,0)),"Invoice not found"))</f>
        <v/>
      </c>
      <c r="D113" s="29"/>
      <c r="E113" s="35" t="str">
        <f aca="false">IF($B113="","",IFERROR(INDEX(Invoices!$L$6:$L$505,MATCH($B113,Invoices!$A$6:$A$505,0)),""))</f>
        <v/>
      </c>
      <c r="F113" s="32"/>
      <c r="G113" s="26"/>
      <c r="H113" s="26"/>
      <c r="I113" s="26"/>
      <c r="J113" s="28"/>
      <c r="K113" s="28"/>
    </row>
    <row r="114" customFormat="false" ht="15" hidden="false" customHeight="false" outlineLevel="0" collapsed="false">
      <c r="A114" s="26"/>
      <c r="B114" s="26"/>
      <c r="C114" s="27" t="str">
        <f aca="false">IF($B114="","",IFERROR(INDEX(Invoices!$C$6:$C$505,MATCH($B114,Invoices!$A$6:$A$505,0)),"Invoice not found"))</f>
        <v/>
      </c>
      <c r="D114" s="29"/>
      <c r="E114" s="35" t="str">
        <f aca="false">IF($B114="","",IFERROR(INDEX(Invoices!$L$6:$L$505,MATCH($B114,Invoices!$A$6:$A$505,0)),""))</f>
        <v/>
      </c>
      <c r="F114" s="32"/>
      <c r="G114" s="26"/>
      <c r="H114" s="26"/>
      <c r="I114" s="26"/>
      <c r="J114" s="28"/>
      <c r="K114" s="28"/>
    </row>
    <row r="115" customFormat="false" ht="15" hidden="false" customHeight="false" outlineLevel="0" collapsed="false">
      <c r="A115" s="26"/>
      <c r="B115" s="26"/>
      <c r="C115" s="27" t="str">
        <f aca="false">IF($B115="","",IFERROR(INDEX(Invoices!$C$6:$C$505,MATCH($B115,Invoices!$A$6:$A$505,0)),"Invoice not found"))</f>
        <v/>
      </c>
      <c r="D115" s="29"/>
      <c r="E115" s="35" t="str">
        <f aca="false">IF($B115="","",IFERROR(INDEX(Invoices!$L$6:$L$505,MATCH($B115,Invoices!$A$6:$A$505,0)),""))</f>
        <v/>
      </c>
      <c r="F115" s="32"/>
      <c r="G115" s="26"/>
      <c r="H115" s="26"/>
      <c r="I115" s="26"/>
      <c r="J115" s="28"/>
      <c r="K115" s="28"/>
    </row>
    <row r="116" customFormat="false" ht="15" hidden="false" customHeight="false" outlineLevel="0" collapsed="false">
      <c r="A116" s="26"/>
      <c r="B116" s="26"/>
      <c r="C116" s="27" t="str">
        <f aca="false">IF($B116="","",IFERROR(INDEX(Invoices!$C$6:$C$505,MATCH($B116,Invoices!$A$6:$A$505,0)),"Invoice not found"))</f>
        <v/>
      </c>
      <c r="D116" s="29"/>
      <c r="E116" s="35" t="str">
        <f aca="false">IF($B116="","",IFERROR(INDEX(Invoices!$L$6:$L$505,MATCH($B116,Invoices!$A$6:$A$505,0)),""))</f>
        <v/>
      </c>
      <c r="F116" s="32"/>
      <c r="G116" s="26"/>
      <c r="H116" s="26"/>
      <c r="I116" s="26"/>
      <c r="J116" s="28"/>
      <c r="K116" s="28"/>
    </row>
    <row r="117" customFormat="false" ht="15" hidden="false" customHeight="false" outlineLevel="0" collapsed="false">
      <c r="A117" s="26"/>
      <c r="B117" s="26"/>
      <c r="C117" s="27" t="str">
        <f aca="false">IF($B117="","",IFERROR(INDEX(Invoices!$C$6:$C$505,MATCH($B117,Invoices!$A$6:$A$505,0)),"Invoice not found"))</f>
        <v/>
      </c>
      <c r="D117" s="29"/>
      <c r="E117" s="35" t="str">
        <f aca="false">IF($B117="","",IFERROR(INDEX(Invoices!$L$6:$L$505,MATCH($B117,Invoices!$A$6:$A$505,0)),""))</f>
        <v/>
      </c>
      <c r="F117" s="32"/>
      <c r="G117" s="26"/>
      <c r="H117" s="26"/>
      <c r="I117" s="26"/>
      <c r="J117" s="28"/>
      <c r="K117" s="28"/>
    </row>
    <row r="118" customFormat="false" ht="15" hidden="false" customHeight="false" outlineLevel="0" collapsed="false">
      <c r="A118" s="26"/>
      <c r="B118" s="26"/>
      <c r="C118" s="27" t="str">
        <f aca="false">IF($B118="","",IFERROR(INDEX(Invoices!$C$6:$C$505,MATCH($B118,Invoices!$A$6:$A$505,0)),"Invoice not found"))</f>
        <v/>
      </c>
      <c r="D118" s="29"/>
      <c r="E118" s="35" t="str">
        <f aca="false">IF($B118="","",IFERROR(INDEX(Invoices!$L$6:$L$505,MATCH($B118,Invoices!$A$6:$A$505,0)),""))</f>
        <v/>
      </c>
      <c r="F118" s="32"/>
      <c r="G118" s="26"/>
      <c r="H118" s="26"/>
      <c r="I118" s="26"/>
      <c r="J118" s="28"/>
      <c r="K118" s="28"/>
    </row>
    <row r="119" customFormat="false" ht="15" hidden="false" customHeight="false" outlineLevel="0" collapsed="false">
      <c r="A119" s="26"/>
      <c r="B119" s="26"/>
      <c r="C119" s="27" t="str">
        <f aca="false">IF($B119="","",IFERROR(INDEX(Invoices!$C$6:$C$505,MATCH($B119,Invoices!$A$6:$A$505,0)),"Invoice not found"))</f>
        <v/>
      </c>
      <c r="D119" s="29"/>
      <c r="E119" s="35" t="str">
        <f aca="false">IF($B119="","",IFERROR(INDEX(Invoices!$L$6:$L$505,MATCH($B119,Invoices!$A$6:$A$505,0)),""))</f>
        <v/>
      </c>
      <c r="F119" s="32"/>
      <c r="G119" s="26"/>
      <c r="H119" s="26"/>
      <c r="I119" s="26"/>
      <c r="J119" s="28"/>
      <c r="K119" s="28"/>
    </row>
    <row r="120" customFormat="false" ht="15" hidden="false" customHeight="false" outlineLevel="0" collapsed="false">
      <c r="A120" s="26"/>
      <c r="B120" s="26"/>
      <c r="C120" s="27" t="str">
        <f aca="false">IF($B120="","",IFERROR(INDEX(Invoices!$C$6:$C$505,MATCH($B120,Invoices!$A$6:$A$505,0)),"Invoice not found"))</f>
        <v/>
      </c>
      <c r="D120" s="29"/>
      <c r="E120" s="35" t="str">
        <f aca="false">IF($B120="","",IFERROR(INDEX(Invoices!$L$6:$L$505,MATCH($B120,Invoices!$A$6:$A$505,0)),""))</f>
        <v/>
      </c>
      <c r="F120" s="32"/>
      <c r="G120" s="26"/>
      <c r="H120" s="26"/>
      <c r="I120" s="26"/>
      <c r="J120" s="28"/>
      <c r="K120" s="28"/>
    </row>
    <row r="121" customFormat="false" ht="15" hidden="false" customHeight="false" outlineLevel="0" collapsed="false">
      <c r="A121" s="26"/>
      <c r="B121" s="26"/>
      <c r="C121" s="27" t="str">
        <f aca="false">IF($B121="","",IFERROR(INDEX(Invoices!$C$6:$C$505,MATCH($B121,Invoices!$A$6:$A$505,0)),"Invoice not found"))</f>
        <v/>
      </c>
      <c r="D121" s="29"/>
      <c r="E121" s="35" t="str">
        <f aca="false">IF($B121="","",IFERROR(INDEX(Invoices!$L$6:$L$505,MATCH($B121,Invoices!$A$6:$A$505,0)),""))</f>
        <v/>
      </c>
      <c r="F121" s="32"/>
      <c r="G121" s="26"/>
      <c r="H121" s="26"/>
      <c r="I121" s="26"/>
      <c r="J121" s="28"/>
      <c r="K121" s="28"/>
    </row>
    <row r="122" customFormat="false" ht="15" hidden="false" customHeight="false" outlineLevel="0" collapsed="false">
      <c r="A122" s="26"/>
      <c r="B122" s="26"/>
      <c r="C122" s="27" t="str">
        <f aca="false">IF($B122="","",IFERROR(INDEX(Invoices!$C$6:$C$505,MATCH($B122,Invoices!$A$6:$A$505,0)),"Invoice not found"))</f>
        <v/>
      </c>
      <c r="D122" s="29"/>
      <c r="E122" s="35" t="str">
        <f aca="false">IF($B122="","",IFERROR(INDEX(Invoices!$L$6:$L$505,MATCH($B122,Invoices!$A$6:$A$505,0)),""))</f>
        <v/>
      </c>
      <c r="F122" s="32"/>
      <c r="G122" s="26"/>
      <c r="H122" s="26"/>
      <c r="I122" s="26"/>
      <c r="J122" s="28"/>
      <c r="K122" s="28"/>
    </row>
    <row r="123" customFormat="false" ht="15" hidden="false" customHeight="false" outlineLevel="0" collapsed="false">
      <c r="A123" s="26"/>
      <c r="B123" s="26"/>
      <c r="C123" s="27" t="str">
        <f aca="false">IF($B123="","",IFERROR(INDEX(Invoices!$C$6:$C$505,MATCH($B123,Invoices!$A$6:$A$505,0)),"Invoice not found"))</f>
        <v/>
      </c>
      <c r="D123" s="29"/>
      <c r="E123" s="35" t="str">
        <f aca="false">IF($B123="","",IFERROR(INDEX(Invoices!$L$6:$L$505,MATCH($B123,Invoices!$A$6:$A$505,0)),""))</f>
        <v/>
      </c>
      <c r="F123" s="32"/>
      <c r="G123" s="26"/>
      <c r="H123" s="26"/>
      <c r="I123" s="26"/>
      <c r="J123" s="28"/>
      <c r="K123" s="28"/>
    </row>
    <row r="124" customFormat="false" ht="15" hidden="false" customHeight="false" outlineLevel="0" collapsed="false">
      <c r="A124" s="26"/>
      <c r="B124" s="26"/>
      <c r="C124" s="27" t="str">
        <f aca="false">IF($B124="","",IFERROR(INDEX(Invoices!$C$6:$C$505,MATCH($B124,Invoices!$A$6:$A$505,0)),"Invoice not found"))</f>
        <v/>
      </c>
      <c r="D124" s="29"/>
      <c r="E124" s="35" t="str">
        <f aca="false">IF($B124="","",IFERROR(INDEX(Invoices!$L$6:$L$505,MATCH($B124,Invoices!$A$6:$A$505,0)),""))</f>
        <v/>
      </c>
      <c r="F124" s="32"/>
      <c r="G124" s="26"/>
      <c r="H124" s="26"/>
      <c r="I124" s="26"/>
      <c r="J124" s="28"/>
      <c r="K124" s="28"/>
    </row>
    <row r="125" customFormat="false" ht="15" hidden="false" customHeight="false" outlineLevel="0" collapsed="false">
      <c r="A125" s="26"/>
      <c r="B125" s="26"/>
      <c r="C125" s="27" t="str">
        <f aca="false">IF($B125="","",IFERROR(INDEX(Invoices!$C$6:$C$505,MATCH($B125,Invoices!$A$6:$A$505,0)),"Invoice not found"))</f>
        <v/>
      </c>
      <c r="D125" s="29"/>
      <c r="E125" s="35" t="str">
        <f aca="false">IF($B125="","",IFERROR(INDEX(Invoices!$L$6:$L$505,MATCH($B125,Invoices!$A$6:$A$505,0)),""))</f>
        <v/>
      </c>
      <c r="F125" s="32"/>
      <c r="G125" s="26"/>
      <c r="H125" s="26"/>
      <c r="I125" s="26"/>
      <c r="J125" s="28"/>
      <c r="K125" s="28"/>
    </row>
    <row r="126" customFormat="false" ht="15" hidden="false" customHeight="false" outlineLevel="0" collapsed="false">
      <c r="A126" s="26"/>
      <c r="B126" s="26"/>
      <c r="C126" s="27" t="str">
        <f aca="false">IF($B126="","",IFERROR(INDEX(Invoices!$C$6:$C$505,MATCH($B126,Invoices!$A$6:$A$505,0)),"Invoice not found"))</f>
        <v/>
      </c>
      <c r="D126" s="29"/>
      <c r="E126" s="35" t="str">
        <f aca="false">IF($B126="","",IFERROR(INDEX(Invoices!$L$6:$L$505,MATCH($B126,Invoices!$A$6:$A$505,0)),""))</f>
        <v/>
      </c>
      <c r="F126" s="32"/>
      <c r="G126" s="26"/>
      <c r="H126" s="26"/>
      <c r="I126" s="26"/>
      <c r="J126" s="28"/>
      <c r="K126" s="28"/>
    </row>
    <row r="127" customFormat="false" ht="15" hidden="false" customHeight="false" outlineLevel="0" collapsed="false">
      <c r="A127" s="26"/>
      <c r="B127" s="26"/>
      <c r="C127" s="27" t="str">
        <f aca="false">IF($B127="","",IFERROR(INDEX(Invoices!$C$6:$C$505,MATCH($B127,Invoices!$A$6:$A$505,0)),"Invoice not found"))</f>
        <v/>
      </c>
      <c r="D127" s="29"/>
      <c r="E127" s="35" t="str">
        <f aca="false">IF($B127="","",IFERROR(INDEX(Invoices!$L$6:$L$505,MATCH($B127,Invoices!$A$6:$A$505,0)),""))</f>
        <v/>
      </c>
      <c r="F127" s="32"/>
      <c r="G127" s="26"/>
      <c r="H127" s="26"/>
      <c r="I127" s="26"/>
      <c r="J127" s="28"/>
      <c r="K127" s="28"/>
    </row>
    <row r="128" customFormat="false" ht="15" hidden="false" customHeight="false" outlineLevel="0" collapsed="false">
      <c r="A128" s="26"/>
      <c r="B128" s="26"/>
      <c r="C128" s="27" t="str">
        <f aca="false">IF($B128="","",IFERROR(INDEX(Invoices!$C$6:$C$505,MATCH($B128,Invoices!$A$6:$A$505,0)),"Invoice not found"))</f>
        <v/>
      </c>
      <c r="D128" s="29"/>
      <c r="E128" s="35" t="str">
        <f aca="false">IF($B128="","",IFERROR(INDEX(Invoices!$L$6:$L$505,MATCH($B128,Invoices!$A$6:$A$505,0)),""))</f>
        <v/>
      </c>
      <c r="F128" s="32"/>
      <c r="G128" s="26"/>
      <c r="H128" s="26"/>
      <c r="I128" s="26"/>
      <c r="J128" s="28"/>
      <c r="K128" s="28"/>
    </row>
    <row r="129" customFormat="false" ht="15" hidden="false" customHeight="false" outlineLevel="0" collapsed="false">
      <c r="A129" s="26"/>
      <c r="B129" s="26"/>
      <c r="C129" s="27" t="str">
        <f aca="false">IF($B129="","",IFERROR(INDEX(Invoices!$C$6:$C$505,MATCH($B129,Invoices!$A$6:$A$505,0)),"Invoice not found"))</f>
        <v/>
      </c>
      <c r="D129" s="29"/>
      <c r="E129" s="35" t="str">
        <f aca="false">IF($B129="","",IFERROR(INDEX(Invoices!$L$6:$L$505,MATCH($B129,Invoices!$A$6:$A$505,0)),""))</f>
        <v/>
      </c>
      <c r="F129" s="32"/>
      <c r="G129" s="26"/>
      <c r="H129" s="26"/>
      <c r="I129" s="26"/>
      <c r="J129" s="28"/>
      <c r="K129" s="28"/>
    </row>
    <row r="130" customFormat="false" ht="15" hidden="false" customHeight="false" outlineLevel="0" collapsed="false">
      <c r="A130" s="26"/>
      <c r="B130" s="26"/>
      <c r="C130" s="27" t="str">
        <f aca="false">IF($B130="","",IFERROR(INDEX(Invoices!$C$6:$C$505,MATCH($B130,Invoices!$A$6:$A$505,0)),"Invoice not found"))</f>
        <v/>
      </c>
      <c r="D130" s="29"/>
      <c r="E130" s="35" t="str">
        <f aca="false">IF($B130="","",IFERROR(INDEX(Invoices!$L$6:$L$505,MATCH($B130,Invoices!$A$6:$A$505,0)),""))</f>
        <v/>
      </c>
      <c r="F130" s="32"/>
      <c r="G130" s="26"/>
      <c r="H130" s="26"/>
      <c r="I130" s="26"/>
      <c r="J130" s="28"/>
      <c r="K130" s="28"/>
    </row>
    <row r="131" customFormat="false" ht="15" hidden="false" customHeight="false" outlineLevel="0" collapsed="false">
      <c r="A131" s="26"/>
      <c r="B131" s="26"/>
      <c r="C131" s="27" t="str">
        <f aca="false">IF($B131="","",IFERROR(INDEX(Invoices!$C$6:$C$505,MATCH($B131,Invoices!$A$6:$A$505,0)),"Invoice not found"))</f>
        <v/>
      </c>
      <c r="D131" s="29"/>
      <c r="E131" s="35" t="str">
        <f aca="false">IF($B131="","",IFERROR(INDEX(Invoices!$L$6:$L$505,MATCH($B131,Invoices!$A$6:$A$505,0)),""))</f>
        <v/>
      </c>
      <c r="F131" s="32"/>
      <c r="G131" s="26"/>
      <c r="H131" s="26"/>
      <c r="I131" s="26"/>
      <c r="J131" s="28"/>
      <c r="K131" s="28"/>
    </row>
    <row r="132" customFormat="false" ht="15" hidden="false" customHeight="false" outlineLevel="0" collapsed="false">
      <c r="A132" s="26"/>
      <c r="B132" s="26"/>
      <c r="C132" s="27" t="str">
        <f aca="false">IF($B132="","",IFERROR(INDEX(Invoices!$C$6:$C$505,MATCH($B132,Invoices!$A$6:$A$505,0)),"Invoice not found"))</f>
        <v/>
      </c>
      <c r="D132" s="29"/>
      <c r="E132" s="35" t="str">
        <f aca="false">IF($B132="","",IFERROR(INDEX(Invoices!$L$6:$L$505,MATCH($B132,Invoices!$A$6:$A$505,0)),""))</f>
        <v/>
      </c>
      <c r="F132" s="32"/>
      <c r="G132" s="26"/>
      <c r="H132" s="26"/>
      <c r="I132" s="26"/>
      <c r="J132" s="28"/>
      <c r="K132" s="28"/>
    </row>
    <row r="133" customFormat="false" ht="15" hidden="false" customHeight="false" outlineLevel="0" collapsed="false">
      <c r="A133" s="26"/>
      <c r="B133" s="26"/>
      <c r="C133" s="27" t="str">
        <f aca="false">IF($B133="","",IFERROR(INDEX(Invoices!$C$6:$C$505,MATCH($B133,Invoices!$A$6:$A$505,0)),"Invoice not found"))</f>
        <v/>
      </c>
      <c r="D133" s="29"/>
      <c r="E133" s="35" t="str">
        <f aca="false">IF($B133="","",IFERROR(INDEX(Invoices!$L$6:$L$505,MATCH($B133,Invoices!$A$6:$A$505,0)),""))</f>
        <v/>
      </c>
      <c r="F133" s="32"/>
      <c r="G133" s="26"/>
      <c r="H133" s="26"/>
      <c r="I133" s="26"/>
      <c r="J133" s="28"/>
      <c r="K133" s="28"/>
    </row>
    <row r="134" customFormat="false" ht="15" hidden="false" customHeight="false" outlineLevel="0" collapsed="false">
      <c r="A134" s="26"/>
      <c r="B134" s="26"/>
      <c r="C134" s="27" t="str">
        <f aca="false">IF($B134="","",IFERROR(INDEX(Invoices!$C$6:$C$505,MATCH($B134,Invoices!$A$6:$A$505,0)),"Invoice not found"))</f>
        <v/>
      </c>
      <c r="D134" s="29"/>
      <c r="E134" s="35" t="str">
        <f aca="false">IF($B134="","",IFERROR(INDEX(Invoices!$L$6:$L$505,MATCH($B134,Invoices!$A$6:$A$505,0)),""))</f>
        <v/>
      </c>
      <c r="F134" s="32"/>
      <c r="G134" s="26"/>
      <c r="H134" s="26"/>
      <c r="I134" s="26"/>
      <c r="J134" s="28"/>
      <c r="K134" s="28"/>
    </row>
    <row r="135" customFormat="false" ht="15" hidden="false" customHeight="false" outlineLevel="0" collapsed="false">
      <c r="A135" s="26"/>
      <c r="B135" s="26"/>
      <c r="C135" s="27" t="str">
        <f aca="false">IF($B135="","",IFERROR(INDEX(Invoices!$C$6:$C$505,MATCH($B135,Invoices!$A$6:$A$505,0)),"Invoice not found"))</f>
        <v/>
      </c>
      <c r="D135" s="29"/>
      <c r="E135" s="35" t="str">
        <f aca="false">IF($B135="","",IFERROR(INDEX(Invoices!$L$6:$L$505,MATCH($B135,Invoices!$A$6:$A$505,0)),""))</f>
        <v/>
      </c>
      <c r="F135" s="32"/>
      <c r="G135" s="26"/>
      <c r="H135" s="26"/>
      <c r="I135" s="26"/>
      <c r="J135" s="28"/>
      <c r="K135" s="28"/>
    </row>
    <row r="136" customFormat="false" ht="15" hidden="false" customHeight="false" outlineLevel="0" collapsed="false">
      <c r="A136" s="26"/>
      <c r="B136" s="26"/>
      <c r="C136" s="27" t="str">
        <f aca="false">IF($B136="","",IFERROR(INDEX(Invoices!$C$6:$C$505,MATCH($B136,Invoices!$A$6:$A$505,0)),"Invoice not found"))</f>
        <v/>
      </c>
      <c r="D136" s="29"/>
      <c r="E136" s="35" t="str">
        <f aca="false">IF($B136="","",IFERROR(INDEX(Invoices!$L$6:$L$505,MATCH($B136,Invoices!$A$6:$A$505,0)),""))</f>
        <v/>
      </c>
      <c r="F136" s="32"/>
      <c r="G136" s="26"/>
      <c r="H136" s="26"/>
      <c r="I136" s="26"/>
      <c r="J136" s="28"/>
      <c r="K136" s="28"/>
    </row>
    <row r="137" customFormat="false" ht="15" hidden="false" customHeight="false" outlineLevel="0" collapsed="false">
      <c r="A137" s="26"/>
      <c r="B137" s="26"/>
      <c r="C137" s="27" t="str">
        <f aca="false">IF($B137="","",IFERROR(INDEX(Invoices!$C$6:$C$505,MATCH($B137,Invoices!$A$6:$A$505,0)),"Invoice not found"))</f>
        <v/>
      </c>
      <c r="D137" s="29"/>
      <c r="E137" s="35" t="str">
        <f aca="false">IF($B137="","",IFERROR(INDEX(Invoices!$L$6:$L$505,MATCH($B137,Invoices!$A$6:$A$505,0)),""))</f>
        <v/>
      </c>
      <c r="F137" s="32"/>
      <c r="G137" s="26"/>
      <c r="H137" s="26"/>
      <c r="I137" s="26"/>
      <c r="J137" s="28"/>
      <c r="K137" s="28"/>
    </row>
    <row r="138" customFormat="false" ht="15" hidden="false" customHeight="false" outlineLevel="0" collapsed="false">
      <c r="A138" s="26"/>
      <c r="B138" s="26"/>
      <c r="C138" s="27" t="str">
        <f aca="false">IF($B138="","",IFERROR(INDEX(Invoices!$C$6:$C$505,MATCH($B138,Invoices!$A$6:$A$505,0)),"Invoice not found"))</f>
        <v/>
      </c>
      <c r="D138" s="29"/>
      <c r="E138" s="35" t="str">
        <f aca="false">IF($B138="","",IFERROR(INDEX(Invoices!$L$6:$L$505,MATCH($B138,Invoices!$A$6:$A$505,0)),""))</f>
        <v/>
      </c>
      <c r="F138" s="32"/>
      <c r="G138" s="26"/>
      <c r="H138" s="26"/>
      <c r="I138" s="26"/>
      <c r="J138" s="28"/>
      <c r="K138" s="28"/>
    </row>
    <row r="139" customFormat="false" ht="15" hidden="false" customHeight="false" outlineLevel="0" collapsed="false">
      <c r="A139" s="26"/>
      <c r="B139" s="26"/>
      <c r="C139" s="27" t="str">
        <f aca="false">IF($B139="","",IFERROR(INDEX(Invoices!$C$6:$C$505,MATCH($B139,Invoices!$A$6:$A$505,0)),"Invoice not found"))</f>
        <v/>
      </c>
      <c r="D139" s="29"/>
      <c r="E139" s="35" t="str">
        <f aca="false">IF($B139="","",IFERROR(INDEX(Invoices!$L$6:$L$505,MATCH($B139,Invoices!$A$6:$A$505,0)),""))</f>
        <v/>
      </c>
      <c r="F139" s="32"/>
      <c r="G139" s="26"/>
      <c r="H139" s="26"/>
      <c r="I139" s="26"/>
      <c r="J139" s="28"/>
      <c r="K139" s="28"/>
    </row>
    <row r="140" customFormat="false" ht="15" hidden="false" customHeight="false" outlineLevel="0" collapsed="false">
      <c r="A140" s="26"/>
      <c r="B140" s="26"/>
      <c r="C140" s="27" t="str">
        <f aca="false">IF($B140="","",IFERROR(INDEX(Invoices!$C$6:$C$505,MATCH($B140,Invoices!$A$6:$A$505,0)),"Invoice not found"))</f>
        <v/>
      </c>
      <c r="D140" s="29"/>
      <c r="E140" s="35" t="str">
        <f aca="false">IF($B140="","",IFERROR(INDEX(Invoices!$L$6:$L$505,MATCH($B140,Invoices!$A$6:$A$505,0)),""))</f>
        <v/>
      </c>
      <c r="F140" s="32"/>
      <c r="G140" s="26"/>
      <c r="H140" s="26"/>
      <c r="I140" s="26"/>
      <c r="J140" s="28"/>
      <c r="K140" s="28"/>
    </row>
    <row r="141" customFormat="false" ht="15" hidden="false" customHeight="false" outlineLevel="0" collapsed="false">
      <c r="A141" s="26"/>
      <c r="B141" s="26"/>
      <c r="C141" s="27" t="str">
        <f aca="false">IF($B141="","",IFERROR(INDEX(Invoices!$C$6:$C$505,MATCH($B141,Invoices!$A$6:$A$505,0)),"Invoice not found"))</f>
        <v/>
      </c>
      <c r="D141" s="29"/>
      <c r="E141" s="35" t="str">
        <f aca="false">IF($B141="","",IFERROR(INDEX(Invoices!$L$6:$L$505,MATCH($B141,Invoices!$A$6:$A$505,0)),""))</f>
        <v/>
      </c>
      <c r="F141" s="32"/>
      <c r="G141" s="26"/>
      <c r="H141" s="26"/>
      <c r="I141" s="26"/>
      <c r="J141" s="28"/>
      <c r="K141" s="28"/>
    </row>
    <row r="142" customFormat="false" ht="15" hidden="false" customHeight="false" outlineLevel="0" collapsed="false">
      <c r="A142" s="26"/>
      <c r="B142" s="26"/>
      <c r="C142" s="27" t="str">
        <f aca="false">IF($B142="","",IFERROR(INDEX(Invoices!$C$6:$C$505,MATCH($B142,Invoices!$A$6:$A$505,0)),"Invoice not found"))</f>
        <v/>
      </c>
      <c r="D142" s="29"/>
      <c r="E142" s="35" t="str">
        <f aca="false">IF($B142="","",IFERROR(INDEX(Invoices!$L$6:$L$505,MATCH($B142,Invoices!$A$6:$A$505,0)),""))</f>
        <v/>
      </c>
      <c r="F142" s="32"/>
      <c r="G142" s="26"/>
      <c r="H142" s="26"/>
      <c r="I142" s="26"/>
      <c r="J142" s="28"/>
      <c r="K142" s="28"/>
    </row>
    <row r="143" customFormat="false" ht="15" hidden="false" customHeight="false" outlineLevel="0" collapsed="false">
      <c r="A143" s="26"/>
      <c r="B143" s="26"/>
      <c r="C143" s="27" t="str">
        <f aca="false">IF($B143="","",IFERROR(INDEX(Invoices!$C$6:$C$505,MATCH($B143,Invoices!$A$6:$A$505,0)),"Invoice not found"))</f>
        <v/>
      </c>
      <c r="D143" s="29"/>
      <c r="E143" s="35" t="str">
        <f aca="false">IF($B143="","",IFERROR(INDEX(Invoices!$L$6:$L$505,MATCH($B143,Invoices!$A$6:$A$505,0)),""))</f>
        <v/>
      </c>
      <c r="F143" s="32"/>
      <c r="G143" s="26"/>
      <c r="H143" s="26"/>
      <c r="I143" s="26"/>
      <c r="J143" s="28"/>
      <c r="K143" s="28"/>
    </row>
    <row r="144" customFormat="false" ht="15" hidden="false" customHeight="false" outlineLevel="0" collapsed="false">
      <c r="A144" s="26"/>
      <c r="B144" s="26"/>
      <c r="C144" s="27" t="str">
        <f aca="false">IF($B144="","",IFERROR(INDEX(Invoices!$C$6:$C$505,MATCH($B144,Invoices!$A$6:$A$505,0)),"Invoice not found"))</f>
        <v/>
      </c>
      <c r="D144" s="29"/>
      <c r="E144" s="35" t="str">
        <f aca="false">IF($B144="","",IFERROR(INDEX(Invoices!$L$6:$L$505,MATCH($B144,Invoices!$A$6:$A$505,0)),""))</f>
        <v/>
      </c>
      <c r="F144" s="32"/>
      <c r="G144" s="26"/>
      <c r="H144" s="26"/>
      <c r="I144" s="26"/>
      <c r="J144" s="28"/>
      <c r="K144" s="28"/>
    </row>
    <row r="145" customFormat="false" ht="15" hidden="false" customHeight="false" outlineLevel="0" collapsed="false">
      <c r="A145" s="26"/>
      <c r="B145" s="26"/>
      <c r="C145" s="27" t="str">
        <f aca="false">IF($B145="","",IFERROR(INDEX(Invoices!$C$6:$C$505,MATCH($B145,Invoices!$A$6:$A$505,0)),"Invoice not found"))</f>
        <v/>
      </c>
      <c r="D145" s="29"/>
      <c r="E145" s="35" t="str">
        <f aca="false">IF($B145="","",IFERROR(INDEX(Invoices!$L$6:$L$505,MATCH($B145,Invoices!$A$6:$A$505,0)),""))</f>
        <v/>
      </c>
      <c r="F145" s="32"/>
      <c r="G145" s="26"/>
      <c r="H145" s="26"/>
      <c r="I145" s="26"/>
      <c r="J145" s="28"/>
      <c r="K145" s="28"/>
    </row>
    <row r="146" customFormat="false" ht="15" hidden="false" customHeight="false" outlineLevel="0" collapsed="false">
      <c r="A146" s="26"/>
      <c r="B146" s="26"/>
      <c r="C146" s="27" t="str">
        <f aca="false">IF($B146="","",IFERROR(INDEX(Invoices!$C$6:$C$505,MATCH($B146,Invoices!$A$6:$A$505,0)),"Invoice not found"))</f>
        <v/>
      </c>
      <c r="D146" s="29"/>
      <c r="E146" s="35" t="str">
        <f aca="false">IF($B146="","",IFERROR(INDEX(Invoices!$L$6:$L$505,MATCH($B146,Invoices!$A$6:$A$505,0)),""))</f>
        <v/>
      </c>
      <c r="F146" s="32"/>
      <c r="G146" s="26"/>
      <c r="H146" s="26"/>
      <c r="I146" s="26"/>
      <c r="J146" s="28"/>
      <c r="K146" s="28"/>
    </row>
    <row r="147" customFormat="false" ht="15" hidden="false" customHeight="false" outlineLevel="0" collapsed="false">
      <c r="A147" s="26"/>
      <c r="B147" s="26"/>
      <c r="C147" s="27" t="str">
        <f aca="false">IF($B147="","",IFERROR(INDEX(Invoices!$C$6:$C$505,MATCH($B147,Invoices!$A$6:$A$505,0)),"Invoice not found"))</f>
        <v/>
      </c>
      <c r="D147" s="29"/>
      <c r="E147" s="35" t="str">
        <f aca="false">IF($B147="","",IFERROR(INDEX(Invoices!$L$6:$L$505,MATCH($B147,Invoices!$A$6:$A$505,0)),""))</f>
        <v/>
      </c>
      <c r="F147" s="32"/>
      <c r="G147" s="26"/>
      <c r="H147" s="26"/>
      <c r="I147" s="26"/>
      <c r="J147" s="28"/>
      <c r="K147" s="28"/>
    </row>
    <row r="148" customFormat="false" ht="15" hidden="false" customHeight="false" outlineLevel="0" collapsed="false">
      <c r="A148" s="26"/>
      <c r="B148" s="26"/>
      <c r="C148" s="27" t="str">
        <f aca="false">IF($B148="","",IFERROR(INDEX(Invoices!$C$6:$C$505,MATCH($B148,Invoices!$A$6:$A$505,0)),"Invoice not found"))</f>
        <v/>
      </c>
      <c r="D148" s="29"/>
      <c r="E148" s="35" t="str">
        <f aca="false">IF($B148="","",IFERROR(INDEX(Invoices!$L$6:$L$505,MATCH($B148,Invoices!$A$6:$A$505,0)),""))</f>
        <v/>
      </c>
      <c r="F148" s="32"/>
      <c r="G148" s="26"/>
      <c r="H148" s="26"/>
      <c r="I148" s="26"/>
      <c r="J148" s="28"/>
      <c r="K148" s="28"/>
    </row>
    <row r="149" customFormat="false" ht="15" hidden="false" customHeight="false" outlineLevel="0" collapsed="false">
      <c r="A149" s="26"/>
      <c r="B149" s="26"/>
      <c r="C149" s="27" t="str">
        <f aca="false">IF($B149="","",IFERROR(INDEX(Invoices!$C$6:$C$505,MATCH($B149,Invoices!$A$6:$A$505,0)),"Invoice not found"))</f>
        <v/>
      </c>
      <c r="D149" s="29"/>
      <c r="E149" s="35" t="str">
        <f aca="false">IF($B149="","",IFERROR(INDEX(Invoices!$L$6:$L$505,MATCH($B149,Invoices!$A$6:$A$505,0)),""))</f>
        <v/>
      </c>
      <c r="F149" s="32"/>
      <c r="G149" s="26"/>
      <c r="H149" s="26"/>
      <c r="I149" s="26"/>
      <c r="J149" s="28"/>
      <c r="K149" s="28"/>
    </row>
    <row r="150" customFormat="false" ht="15" hidden="false" customHeight="false" outlineLevel="0" collapsed="false">
      <c r="A150" s="26"/>
      <c r="B150" s="26"/>
      <c r="C150" s="27" t="str">
        <f aca="false">IF($B150="","",IFERROR(INDEX(Invoices!$C$6:$C$505,MATCH($B150,Invoices!$A$6:$A$505,0)),"Invoice not found"))</f>
        <v/>
      </c>
      <c r="D150" s="29"/>
      <c r="E150" s="35" t="str">
        <f aca="false">IF($B150="","",IFERROR(INDEX(Invoices!$L$6:$L$505,MATCH($B150,Invoices!$A$6:$A$505,0)),""))</f>
        <v/>
      </c>
      <c r="F150" s="32"/>
      <c r="G150" s="26"/>
      <c r="H150" s="26"/>
      <c r="I150" s="26"/>
      <c r="J150" s="28"/>
      <c r="K150" s="28"/>
    </row>
    <row r="151" customFormat="false" ht="15" hidden="false" customHeight="false" outlineLevel="0" collapsed="false">
      <c r="A151" s="26"/>
      <c r="B151" s="26"/>
      <c r="C151" s="27" t="str">
        <f aca="false">IF($B151="","",IFERROR(INDEX(Invoices!$C$6:$C$505,MATCH($B151,Invoices!$A$6:$A$505,0)),"Invoice not found"))</f>
        <v/>
      </c>
      <c r="D151" s="29"/>
      <c r="E151" s="35" t="str">
        <f aca="false">IF($B151="","",IFERROR(INDEX(Invoices!$L$6:$L$505,MATCH($B151,Invoices!$A$6:$A$505,0)),""))</f>
        <v/>
      </c>
      <c r="F151" s="32"/>
      <c r="G151" s="26"/>
      <c r="H151" s="26"/>
      <c r="I151" s="26"/>
      <c r="J151" s="28"/>
      <c r="K151" s="28"/>
    </row>
    <row r="152" customFormat="false" ht="15" hidden="false" customHeight="false" outlineLevel="0" collapsed="false">
      <c r="A152" s="26"/>
      <c r="B152" s="26"/>
      <c r="C152" s="27" t="str">
        <f aca="false">IF($B152="","",IFERROR(INDEX(Invoices!$C$6:$C$505,MATCH($B152,Invoices!$A$6:$A$505,0)),"Invoice not found"))</f>
        <v/>
      </c>
      <c r="D152" s="29"/>
      <c r="E152" s="35" t="str">
        <f aca="false">IF($B152="","",IFERROR(INDEX(Invoices!$L$6:$L$505,MATCH($B152,Invoices!$A$6:$A$505,0)),""))</f>
        <v/>
      </c>
      <c r="F152" s="32"/>
      <c r="G152" s="26"/>
      <c r="H152" s="26"/>
      <c r="I152" s="26"/>
      <c r="J152" s="28"/>
      <c r="K152" s="28"/>
    </row>
    <row r="153" customFormat="false" ht="15" hidden="false" customHeight="false" outlineLevel="0" collapsed="false">
      <c r="A153" s="26"/>
      <c r="B153" s="26"/>
      <c r="C153" s="27" t="str">
        <f aca="false">IF($B153="","",IFERROR(INDEX(Invoices!$C$6:$C$505,MATCH($B153,Invoices!$A$6:$A$505,0)),"Invoice not found"))</f>
        <v/>
      </c>
      <c r="D153" s="29"/>
      <c r="E153" s="35" t="str">
        <f aca="false">IF($B153="","",IFERROR(INDEX(Invoices!$L$6:$L$505,MATCH($B153,Invoices!$A$6:$A$505,0)),""))</f>
        <v/>
      </c>
      <c r="F153" s="32"/>
      <c r="G153" s="26"/>
      <c r="H153" s="26"/>
      <c r="I153" s="26"/>
      <c r="J153" s="28"/>
      <c r="K153" s="28"/>
    </row>
    <row r="154" customFormat="false" ht="15" hidden="false" customHeight="false" outlineLevel="0" collapsed="false">
      <c r="A154" s="26"/>
      <c r="B154" s="26"/>
      <c r="C154" s="27" t="str">
        <f aca="false">IF($B154="","",IFERROR(INDEX(Invoices!$C$6:$C$505,MATCH($B154,Invoices!$A$6:$A$505,0)),"Invoice not found"))</f>
        <v/>
      </c>
      <c r="D154" s="29"/>
      <c r="E154" s="35" t="str">
        <f aca="false">IF($B154="","",IFERROR(INDEX(Invoices!$L$6:$L$505,MATCH($B154,Invoices!$A$6:$A$505,0)),""))</f>
        <v/>
      </c>
      <c r="F154" s="32"/>
      <c r="G154" s="26"/>
      <c r="H154" s="26"/>
      <c r="I154" s="26"/>
      <c r="J154" s="28"/>
      <c r="K154" s="28"/>
    </row>
    <row r="155" customFormat="false" ht="15" hidden="false" customHeight="false" outlineLevel="0" collapsed="false">
      <c r="A155" s="26"/>
      <c r="B155" s="26"/>
      <c r="C155" s="27" t="str">
        <f aca="false">IF($B155="","",IFERROR(INDEX(Invoices!$C$6:$C$505,MATCH($B155,Invoices!$A$6:$A$505,0)),"Invoice not found"))</f>
        <v/>
      </c>
      <c r="D155" s="29"/>
      <c r="E155" s="35" t="str">
        <f aca="false">IF($B155="","",IFERROR(INDEX(Invoices!$L$6:$L$505,MATCH($B155,Invoices!$A$6:$A$505,0)),""))</f>
        <v/>
      </c>
      <c r="F155" s="32"/>
      <c r="G155" s="26"/>
      <c r="H155" s="26"/>
      <c r="I155" s="26"/>
      <c r="J155" s="28"/>
      <c r="K155" s="28"/>
    </row>
    <row r="156" customFormat="false" ht="15" hidden="false" customHeight="false" outlineLevel="0" collapsed="false">
      <c r="A156" s="26"/>
      <c r="B156" s="26"/>
      <c r="C156" s="27" t="str">
        <f aca="false">IF($B156="","",IFERROR(INDEX(Invoices!$C$6:$C$505,MATCH($B156,Invoices!$A$6:$A$505,0)),"Invoice not found"))</f>
        <v/>
      </c>
      <c r="D156" s="29"/>
      <c r="E156" s="35" t="str">
        <f aca="false">IF($B156="","",IFERROR(INDEX(Invoices!$L$6:$L$505,MATCH($B156,Invoices!$A$6:$A$505,0)),""))</f>
        <v/>
      </c>
      <c r="F156" s="32"/>
      <c r="G156" s="26"/>
      <c r="H156" s="26"/>
      <c r="I156" s="26"/>
      <c r="J156" s="28"/>
      <c r="K156" s="28"/>
    </row>
    <row r="157" customFormat="false" ht="15" hidden="false" customHeight="false" outlineLevel="0" collapsed="false">
      <c r="A157" s="26"/>
      <c r="B157" s="26"/>
      <c r="C157" s="27" t="str">
        <f aca="false">IF($B157="","",IFERROR(INDEX(Invoices!$C$6:$C$505,MATCH($B157,Invoices!$A$6:$A$505,0)),"Invoice not found"))</f>
        <v/>
      </c>
      <c r="D157" s="29"/>
      <c r="E157" s="35" t="str">
        <f aca="false">IF($B157="","",IFERROR(INDEX(Invoices!$L$6:$L$505,MATCH($B157,Invoices!$A$6:$A$505,0)),""))</f>
        <v/>
      </c>
      <c r="F157" s="32"/>
      <c r="G157" s="26"/>
      <c r="H157" s="26"/>
      <c r="I157" s="26"/>
      <c r="J157" s="28"/>
      <c r="K157" s="28"/>
    </row>
    <row r="158" customFormat="false" ht="15" hidden="false" customHeight="false" outlineLevel="0" collapsed="false">
      <c r="A158" s="26"/>
      <c r="B158" s="26"/>
      <c r="C158" s="27" t="str">
        <f aca="false">IF($B158="","",IFERROR(INDEX(Invoices!$C$6:$C$505,MATCH($B158,Invoices!$A$6:$A$505,0)),"Invoice not found"))</f>
        <v/>
      </c>
      <c r="D158" s="29"/>
      <c r="E158" s="35" t="str">
        <f aca="false">IF($B158="","",IFERROR(INDEX(Invoices!$L$6:$L$505,MATCH($B158,Invoices!$A$6:$A$505,0)),""))</f>
        <v/>
      </c>
      <c r="F158" s="32"/>
      <c r="G158" s="26"/>
      <c r="H158" s="26"/>
      <c r="I158" s="26"/>
      <c r="J158" s="28"/>
      <c r="K158" s="28"/>
    </row>
    <row r="159" customFormat="false" ht="15" hidden="false" customHeight="false" outlineLevel="0" collapsed="false">
      <c r="A159" s="26"/>
      <c r="B159" s="26"/>
      <c r="C159" s="27" t="str">
        <f aca="false">IF($B159="","",IFERROR(INDEX(Invoices!$C$6:$C$505,MATCH($B159,Invoices!$A$6:$A$505,0)),"Invoice not found"))</f>
        <v/>
      </c>
      <c r="D159" s="29"/>
      <c r="E159" s="35" t="str">
        <f aca="false">IF($B159="","",IFERROR(INDEX(Invoices!$L$6:$L$505,MATCH($B159,Invoices!$A$6:$A$505,0)),""))</f>
        <v/>
      </c>
      <c r="F159" s="32"/>
      <c r="G159" s="26"/>
      <c r="H159" s="26"/>
      <c r="I159" s="26"/>
      <c r="J159" s="28"/>
      <c r="K159" s="28"/>
    </row>
    <row r="160" customFormat="false" ht="15" hidden="false" customHeight="false" outlineLevel="0" collapsed="false">
      <c r="A160" s="26"/>
      <c r="B160" s="26"/>
      <c r="C160" s="27" t="str">
        <f aca="false">IF($B160="","",IFERROR(INDEX(Invoices!$C$6:$C$505,MATCH($B160,Invoices!$A$6:$A$505,0)),"Invoice not found"))</f>
        <v/>
      </c>
      <c r="D160" s="29"/>
      <c r="E160" s="35" t="str">
        <f aca="false">IF($B160="","",IFERROR(INDEX(Invoices!$L$6:$L$505,MATCH($B160,Invoices!$A$6:$A$505,0)),""))</f>
        <v/>
      </c>
      <c r="F160" s="32"/>
      <c r="G160" s="26"/>
      <c r="H160" s="26"/>
      <c r="I160" s="26"/>
      <c r="J160" s="28"/>
      <c r="K160" s="28"/>
    </row>
    <row r="161" customFormat="false" ht="15" hidden="false" customHeight="false" outlineLevel="0" collapsed="false">
      <c r="A161" s="26"/>
      <c r="B161" s="26"/>
      <c r="C161" s="27" t="str">
        <f aca="false">IF($B161="","",IFERROR(INDEX(Invoices!$C$6:$C$505,MATCH($B161,Invoices!$A$6:$A$505,0)),"Invoice not found"))</f>
        <v/>
      </c>
      <c r="D161" s="29"/>
      <c r="E161" s="35" t="str">
        <f aca="false">IF($B161="","",IFERROR(INDEX(Invoices!$L$6:$L$505,MATCH($B161,Invoices!$A$6:$A$505,0)),""))</f>
        <v/>
      </c>
      <c r="F161" s="32"/>
      <c r="G161" s="26"/>
      <c r="H161" s="26"/>
      <c r="I161" s="26"/>
      <c r="J161" s="28"/>
      <c r="K161" s="28"/>
    </row>
    <row r="162" customFormat="false" ht="15" hidden="false" customHeight="false" outlineLevel="0" collapsed="false">
      <c r="A162" s="26"/>
      <c r="B162" s="26"/>
      <c r="C162" s="27" t="str">
        <f aca="false">IF($B162="","",IFERROR(INDEX(Invoices!$C$6:$C$505,MATCH($B162,Invoices!$A$6:$A$505,0)),"Invoice not found"))</f>
        <v/>
      </c>
      <c r="D162" s="29"/>
      <c r="E162" s="35" t="str">
        <f aca="false">IF($B162="","",IFERROR(INDEX(Invoices!$L$6:$L$505,MATCH($B162,Invoices!$A$6:$A$505,0)),""))</f>
        <v/>
      </c>
      <c r="F162" s="32"/>
      <c r="G162" s="26"/>
      <c r="H162" s="26"/>
      <c r="I162" s="26"/>
      <c r="J162" s="28"/>
      <c r="K162" s="28"/>
    </row>
    <row r="163" customFormat="false" ht="15" hidden="false" customHeight="false" outlineLevel="0" collapsed="false">
      <c r="A163" s="26"/>
      <c r="B163" s="26"/>
      <c r="C163" s="27" t="str">
        <f aca="false">IF($B163="","",IFERROR(INDEX(Invoices!$C$6:$C$505,MATCH($B163,Invoices!$A$6:$A$505,0)),"Invoice not found"))</f>
        <v/>
      </c>
      <c r="D163" s="29"/>
      <c r="E163" s="35" t="str">
        <f aca="false">IF($B163="","",IFERROR(INDEX(Invoices!$L$6:$L$505,MATCH($B163,Invoices!$A$6:$A$505,0)),""))</f>
        <v/>
      </c>
      <c r="F163" s="32"/>
      <c r="G163" s="26"/>
      <c r="H163" s="26"/>
      <c r="I163" s="26"/>
      <c r="J163" s="28"/>
      <c r="K163" s="28"/>
    </row>
    <row r="164" customFormat="false" ht="15" hidden="false" customHeight="false" outlineLevel="0" collapsed="false">
      <c r="A164" s="26"/>
      <c r="B164" s="26"/>
      <c r="C164" s="27" t="str">
        <f aca="false">IF($B164="","",IFERROR(INDEX(Invoices!$C$6:$C$505,MATCH($B164,Invoices!$A$6:$A$505,0)),"Invoice not found"))</f>
        <v/>
      </c>
      <c r="D164" s="29"/>
      <c r="E164" s="35" t="str">
        <f aca="false">IF($B164="","",IFERROR(INDEX(Invoices!$L$6:$L$505,MATCH($B164,Invoices!$A$6:$A$505,0)),""))</f>
        <v/>
      </c>
      <c r="F164" s="32"/>
      <c r="G164" s="26"/>
      <c r="H164" s="26"/>
      <c r="I164" s="26"/>
      <c r="J164" s="28"/>
      <c r="K164" s="28"/>
    </row>
    <row r="165" customFormat="false" ht="15" hidden="false" customHeight="false" outlineLevel="0" collapsed="false">
      <c r="A165" s="26"/>
      <c r="B165" s="26"/>
      <c r="C165" s="27" t="str">
        <f aca="false">IF($B165="","",IFERROR(INDEX(Invoices!$C$6:$C$505,MATCH($B165,Invoices!$A$6:$A$505,0)),"Invoice not found"))</f>
        <v/>
      </c>
      <c r="D165" s="29"/>
      <c r="E165" s="35" t="str">
        <f aca="false">IF($B165="","",IFERROR(INDEX(Invoices!$L$6:$L$505,MATCH($B165,Invoices!$A$6:$A$505,0)),""))</f>
        <v/>
      </c>
      <c r="F165" s="32"/>
      <c r="G165" s="26"/>
      <c r="H165" s="26"/>
      <c r="I165" s="26"/>
      <c r="J165" s="28"/>
      <c r="K165" s="28"/>
    </row>
    <row r="166" customFormat="false" ht="15" hidden="false" customHeight="false" outlineLevel="0" collapsed="false">
      <c r="A166" s="26"/>
      <c r="B166" s="26"/>
      <c r="C166" s="27" t="str">
        <f aca="false">IF($B166="","",IFERROR(INDEX(Invoices!$C$6:$C$505,MATCH($B166,Invoices!$A$6:$A$505,0)),"Invoice not found"))</f>
        <v/>
      </c>
      <c r="D166" s="29"/>
      <c r="E166" s="35" t="str">
        <f aca="false">IF($B166="","",IFERROR(INDEX(Invoices!$L$6:$L$505,MATCH($B166,Invoices!$A$6:$A$505,0)),""))</f>
        <v/>
      </c>
      <c r="F166" s="32"/>
      <c r="G166" s="26"/>
      <c r="H166" s="26"/>
      <c r="I166" s="26"/>
      <c r="J166" s="28"/>
      <c r="K166" s="28"/>
    </row>
    <row r="167" customFormat="false" ht="15" hidden="false" customHeight="false" outlineLevel="0" collapsed="false">
      <c r="A167" s="26"/>
      <c r="B167" s="26"/>
      <c r="C167" s="27" t="str">
        <f aca="false">IF($B167="","",IFERROR(INDEX(Invoices!$C$6:$C$505,MATCH($B167,Invoices!$A$6:$A$505,0)),"Invoice not found"))</f>
        <v/>
      </c>
      <c r="D167" s="29"/>
      <c r="E167" s="35" t="str">
        <f aca="false">IF($B167="","",IFERROR(INDEX(Invoices!$L$6:$L$505,MATCH($B167,Invoices!$A$6:$A$505,0)),""))</f>
        <v/>
      </c>
      <c r="F167" s="32"/>
      <c r="G167" s="26"/>
      <c r="H167" s="26"/>
      <c r="I167" s="26"/>
      <c r="J167" s="28"/>
      <c r="K167" s="28"/>
    </row>
    <row r="168" customFormat="false" ht="15" hidden="false" customHeight="false" outlineLevel="0" collapsed="false">
      <c r="A168" s="26"/>
      <c r="B168" s="26"/>
      <c r="C168" s="27" t="str">
        <f aca="false">IF($B168="","",IFERROR(INDEX(Invoices!$C$6:$C$505,MATCH($B168,Invoices!$A$6:$A$505,0)),"Invoice not found"))</f>
        <v/>
      </c>
      <c r="D168" s="29"/>
      <c r="E168" s="35" t="str">
        <f aca="false">IF($B168="","",IFERROR(INDEX(Invoices!$L$6:$L$505,MATCH($B168,Invoices!$A$6:$A$505,0)),""))</f>
        <v/>
      </c>
      <c r="F168" s="32"/>
      <c r="G168" s="26"/>
      <c r="H168" s="26"/>
      <c r="I168" s="26"/>
      <c r="J168" s="28"/>
      <c r="K168" s="28"/>
    </row>
    <row r="169" customFormat="false" ht="15" hidden="false" customHeight="false" outlineLevel="0" collapsed="false">
      <c r="A169" s="26"/>
      <c r="B169" s="26"/>
      <c r="C169" s="27" t="str">
        <f aca="false">IF($B169="","",IFERROR(INDEX(Invoices!$C$6:$C$505,MATCH($B169,Invoices!$A$6:$A$505,0)),"Invoice not found"))</f>
        <v/>
      </c>
      <c r="D169" s="29"/>
      <c r="E169" s="35" t="str">
        <f aca="false">IF($B169="","",IFERROR(INDEX(Invoices!$L$6:$L$505,MATCH($B169,Invoices!$A$6:$A$505,0)),""))</f>
        <v/>
      </c>
      <c r="F169" s="32"/>
      <c r="G169" s="26"/>
      <c r="H169" s="26"/>
      <c r="I169" s="26"/>
      <c r="J169" s="28"/>
      <c r="K169" s="28"/>
    </row>
    <row r="170" customFormat="false" ht="15" hidden="false" customHeight="false" outlineLevel="0" collapsed="false">
      <c r="A170" s="26"/>
      <c r="B170" s="26"/>
      <c r="C170" s="27" t="str">
        <f aca="false">IF($B170="","",IFERROR(INDEX(Invoices!$C$6:$C$505,MATCH($B170,Invoices!$A$6:$A$505,0)),"Invoice not found"))</f>
        <v/>
      </c>
      <c r="D170" s="29"/>
      <c r="E170" s="35" t="str">
        <f aca="false">IF($B170="","",IFERROR(INDEX(Invoices!$L$6:$L$505,MATCH($B170,Invoices!$A$6:$A$505,0)),""))</f>
        <v/>
      </c>
      <c r="F170" s="32"/>
      <c r="G170" s="26"/>
      <c r="H170" s="26"/>
      <c r="I170" s="26"/>
      <c r="J170" s="28"/>
      <c r="K170" s="28"/>
    </row>
    <row r="171" customFormat="false" ht="15" hidden="false" customHeight="false" outlineLevel="0" collapsed="false">
      <c r="A171" s="26"/>
      <c r="B171" s="26"/>
      <c r="C171" s="27" t="str">
        <f aca="false">IF($B171="","",IFERROR(INDEX(Invoices!$C$6:$C$505,MATCH($B171,Invoices!$A$6:$A$505,0)),"Invoice not found"))</f>
        <v/>
      </c>
      <c r="D171" s="29"/>
      <c r="E171" s="35" t="str">
        <f aca="false">IF($B171="","",IFERROR(INDEX(Invoices!$L$6:$L$505,MATCH($B171,Invoices!$A$6:$A$505,0)),""))</f>
        <v/>
      </c>
      <c r="F171" s="32"/>
      <c r="G171" s="26"/>
      <c r="H171" s="26"/>
      <c r="I171" s="26"/>
      <c r="J171" s="28"/>
      <c r="K171" s="28"/>
    </row>
    <row r="172" customFormat="false" ht="15" hidden="false" customHeight="false" outlineLevel="0" collapsed="false">
      <c r="A172" s="26"/>
      <c r="B172" s="26"/>
      <c r="C172" s="27" t="str">
        <f aca="false">IF($B172="","",IFERROR(INDEX(Invoices!$C$6:$C$505,MATCH($B172,Invoices!$A$6:$A$505,0)),"Invoice not found"))</f>
        <v/>
      </c>
      <c r="D172" s="29"/>
      <c r="E172" s="35" t="str">
        <f aca="false">IF($B172="","",IFERROR(INDEX(Invoices!$L$6:$L$505,MATCH($B172,Invoices!$A$6:$A$505,0)),""))</f>
        <v/>
      </c>
      <c r="F172" s="32"/>
      <c r="G172" s="26"/>
      <c r="H172" s="26"/>
      <c r="I172" s="26"/>
      <c r="J172" s="28"/>
      <c r="K172" s="28"/>
    </row>
    <row r="173" customFormat="false" ht="15" hidden="false" customHeight="false" outlineLevel="0" collapsed="false">
      <c r="A173" s="26"/>
      <c r="B173" s="26"/>
      <c r="C173" s="27" t="str">
        <f aca="false">IF($B173="","",IFERROR(INDEX(Invoices!$C$6:$C$505,MATCH($B173,Invoices!$A$6:$A$505,0)),"Invoice not found"))</f>
        <v/>
      </c>
      <c r="D173" s="29"/>
      <c r="E173" s="35" t="str">
        <f aca="false">IF($B173="","",IFERROR(INDEX(Invoices!$L$6:$L$505,MATCH($B173,Invoices!$A$6:$A$505,0)),""))</f>
        <v/>
      </c>
      <c r="F173" s="32"/>
      <c r="G173" s="26"/>
      <c r="H173" s="26"/>
      <c r="I173" s="26"/>
      <c r="J173" s="28"/>
      <c r="K173" s="28"/>
    </row>
    <row r="174" customFormat="false" ht="15" hidden="false" customHeight="false" outlineLevel="0" collapsed="false">
      <c r="A174" s="26"/>
      <c r="B174" s="26"/>
      <c r="C174" s="27" t="str">
        <f aca="false">IF($B174="","",IFERROR(INDEX(Invoices!$C$6:$C$505,MATCH($B174,Invoices!$A$6:$A$505,0)),"Invoice not found"))</f>
        <v/>
      </c>
      <c r="D174" s="29"/>
      <c r="E174" s="35" t="str">
        <f aca="false">IF($B174="","",IFERROR(INDEX(Invoices!$L$6:$L$505,MATCH($B174,Invoices!$A$6:$A$505,0)),""))</f>
        <v/>
      </c>
      <c r="F174" s="32"/>
      <c r="G174" s="26"/>
      <c r="H174" s="26"/>
      <c r="I174" s="26"/>
      <c r="J174" s="28"/>
      <c r="K174" s="28"/>
    </row>
    <row r="175" customFormat="false" ht="15" hidden="false" customHeight="false" outlineLevel="0" collapsed="false">
      <c r="A175" s="26"/>
      <c r="B175" s="26"/>
      <c r="C175" s="27" t="str">
        <f aca="false">IF($B175="","",IFERROR(INDEX(Invoices!$C$6:$C$505,MATCH($B175,Invoices!$A$6:$A$505,0)),"Invoice not found"))</f>
        <v/>
      </c>
      <c r="D175" s="29"/>
      <c r="E175" s="35" t="str">
        <f aca="false">IF($B175="","",IFERROR(INDEX(Invoices!$L$6:$L$505,MATCH($B175,Invoices!$A$6:$A$505,0)),""))</f>
        <v/>
      </c>
      <c r="F175" s="32"/>
      <c r="G175" s="26"/>
      <c r="H175" s="26"/>
      <c r="I175" s="26"/>
      <c r="J175" s="28"/>
      <c r="K175" s="28"/>
    </row>
    <row r="176" customFormat="false" ht="15" hidden="false" customHeight="false" outlineLevel="0" collapsed="false">
      <c r="A176" s="26"/>
      <c r="B176" s="26"/>
      <c r="C176" s="27" t="str">
        <f aca="false">IF($B176="","",IFERROR(INDEX(Invoices!$C$6:$C$505,MATCH($B176,Invoices!$A$6:$A$505,0)),"Invoice not found"))</f>
        <v/>
      </c>
      <c r="D176" s="29"/>
      <c r="E176" s="35" t="str">
        <f aca="false">IF($B176="","",IFERROR(INDEX(Invoices!$L$6:$L$505,MATCH($B176,Invoices!$A$6:$A$505,0)),""))</f>
        <v/>
      </c>
      <c r="F176" s="32"/>
      <c r="G176" s="26"/>
      <c r="H176" s="26"/>
      <c r="I176" s="26"/>
      <c r="J176" s="28"/>
      <c r="K176" s="28"/>
    </row>
    <row r="177" customFormat="false" ht="15" hidden="false" customHeight="false" outlineLevel="0" collapsed="false">
      <c r="A177" s="26"/>
      <c r="B177" s="26"/>
      <c r="C177" s="27" t="str">
        <f aca="false">IF($B177="","",IFERROR(INDEX(Invoices!$C$6:$C$505,MATCH($B177,Invoices!$A$6:$A$505,0)),"Invoice not found"))</f>
        <v/>
      </c>
      <c r="D177" s="29"/>
      <c r="E177" s="35" t="str">
        <f aca="false">IF($B177="","",IFERROR(INDEX(Invoices!$L$6:$L$505,MATCH($B177,Invoices!$A$6:$A$505,0)),""))</f>
        <v/>
      </c>
      <c r="F177" s="32"/>
      <c r="G177" s="26"/>
      <c r="H177" s="26"/>
      <c r="I177" s="26"/>
      <c r="J177" s="28"/>
      <c r="K177" s="28"/>
    </row>
    <row r="178" customFormat="false" ht="15" hidden="false" customHeight="false" outlineLevel="0" collapsed="false">
      <c r="A178" s="26"/>
      <c r="B178" s="26"/>
      <c r="C178" s="27" t="str">
        <f aca="false">IF($B178="","",IFERROR(INDEX(Invoices!$C$6:$C$505,MATCH($B178,Invoices!$A$6:$A$505,0)),"Invoice not found"))</f>
        <v/>
      </c>
      <c r="D178" s="29"/>
      <c r="E178" s="35" t="str">
        <f aca="false">IF($B178="","",IFERROR(INDEX(Invoices!$L$6:$L$505,MATCH($B178,Invoices!$A$6:$A$505,0)),""))</f>
        <v/>
      </c>
      <c r="F178" s="32"/>
      <c r="G178" s="26"/>
      <c r="H178" s="26"/>
      <c r="I178" s="26"/>
      <c r="J178" s="28"/>
      <c r="K178" s="28"/>
    </row>
    <row r="179" customFormat="false" ht="15" hidden="false" customHeight="false" outlineLevel="0" collapsed="false">
      <c r="A179" s="26"/>
      <c r="B179" s="26"/>
      <c r="C179" s="27" t="str">
        <f aca="false">IF($B179="","",IFERROR(INDEX(Invoices!$C$6:$C$505,MATCH($B179,Invoices!$A$6:$A$505,0)),"Invoice not found"))</f>
        <v/>
      </c>
      <c r="D179" s="29"/>
      <c r="E179" s="35" t="str">
        <f aca="false">IF($B179="","",IFERROR(INDEX(Invoices!$L$6:$L$505,MATCH($B179,Invoices!$A$6:$A$505,0)),""))</f>
        <v/>
      </c>
      <c r="F179" s="32"/>
      <c r="G179" s="26"/>
      <c r="H179" s="26"/>
      <c r="I179" s="26"/>
      <c r="J179" s="28"/>
      <c r="K179" s="28"/>
    </row>
    <row r="180" customFormat="false" ht="15" hidden="false" customHeight="false" outlineLevel="0" collapsed="false">
      <c r="A180" s="26"/>
      <c r="B180" s="26"/>
      <c r="C180" s="27" t="str">
        <f aca="false">IF($B180="","",IFERROR(INDEX(Invoices!$C$6:$C$505,MATCH($B180,Invoices!$A$6:$A$505,0)),"Invoice not found"))</f>
        <v/>
      </c>
      <c r="D180" s="29"/>
      <c r="E180" s="35" t="str">
        <f aca="false">IF($B180="","",IFERROR(INDEX(Invoices!$L$6:$L$505,MATCH($B180,Invoices!$A$6:$A$505,0)),""))</f>
        <v/>
      </c>
      <c r="F180" s="32"/>
      <c r="G180" s="26"/>
      <c r="H180" s="26"/>
      <c r="I180" s="26"/>
      <c r="J180" s="28"/>
      <c r="K180" s="28"/>
    </row>
    <row r="181" customFormat="false" ht="15" hidden="false" customHeight="false" outlineLevel="0" collapsed="false">
      <c r="A181" s="26"/>
      <c r="B181" s="26"/>
      <c r="C181" s="27" t="str">
        <f aca="false">IF($B181="","",IFERROR(INDEX(Invoices!$C$6:$C$505,MATCH($B181,Invoices!$A$6:$A$505,0)),"Invoice not found"))</f>
        <v/>
      </c>
      <c r="D181" s="29"/>
      <c r="E181" s="35" t="str">
        <f aca="false">IF($B181="","",IFERROR(INDEX(Invoices!$L$6:$L$505,MATCH($B181,Invoices!$A$6:$A$505,0)),""))</f>
        <v/>
      </c>
      <c r="F181" s="32"/>
      <c r="G181" s="26"/>
      <c r="H181" s="26"/>
      <c r="I181" s="26"/>
      <c r="J181" s="28"/>
      <c r="K181" s="28"/>
    </row>
    <row r="182" customFormat="false" ht="15" hidden="false" customHeight="false" outlineLevel="0" collapsed="false">
      <c r="A182" s="26"/>
      <c r="B182" s="26"/>
      <c r="C182" s="27" t="str">
        <f aca="false">IF($B182="","",IFERROR(INDEX(Invoices!$C$6:$C$505,MATCH($B182,Invoices!$A$6:$A$505,0)),"Invoice not found"))</f>
        <v/>
      </c>
      <c r="D182" s="29"/>
      <c r="E182" s="35" t="str">
        <f aca="false">IF($B182="","",IFERROR(INDEX(Invoices!$L$6:$L$505,MATCH($B182,Invoices!$A$6:$A$505,0)),""))</f>
        <v/>
      </c>
      <c r="F182" s="32"/>
      <c r="G182" s="26"/>
      <c r="H182" s="26"/>
      <c r="I182" s="26"/>
      <c r="J182" s="28"/>
      <c r="K182" s="28"/>
    </row>
    <row r="183" customFormat="false" ht="15" hidden="false" customHeight="false" outlineLevel="0" collapsed="false">
      <c r="A183" s="26"/>
      <c r="B183" s="26"/>
      <c r="C183" s="27" t="str">
        <f aca="false">IF($B183="","",IFERROR(INDEX(Invoices!$C$6:$C$505,MATCH($B183,Invoices!$A$6:$A$505,0)),"Invoice not found"))</f>
        <v/>
      </c>
      <c r="D183" s="29"/>
      <c r="E183" s="35" t="str">
        <f aca="false">IF($B183="","",IFERROR(INDEX(Invoices!$L$6:$L$505,MATCH($B183,Invoices!$A$6:$A$505,0)),""))</f>
        <v/>
      </c>
      <c r="F183" s="32"/>
      <c r="G183" s="26"/>
      <c r="H183" s="26"/>
      <c r="I183" s="26"/>
      <c r="J183" s="28"/>
      <c r="K183" s="28"/>
    </row>
    <row r="184" customFormat="false" ht="15" hidden="false" customHeight="false" outlineLevel="0" collapsed="false">
      <c r="A184" s="26"/>
      <c r="B184" s="26"/>
      <c r="C184" s="27" t="str">
        <f aca="false">IF($B184="","",IFERROR(INDEX(Invoices!$C$6:$C$505,MATCH($B184,Invoices!$A$6:$A$505,0)),"Invoice not found"))</f>
        <v/>
      </c>
      <c r="D184" s="29"/>
      <c r="E184" s="35" t="str">
        <f aca="false">IF($B184="","",IFERROR(INDEX(Invoices!$L$6:$L$505,MATCH($B184,Invoices!$A$6:$A$505,0)),""))</f>
        <v/>
      </c>
      <c r="F184" s="32"/>
      <c r="G184" s="26"/>
      <c r="H184" s="26"/>
      <c r="I184" s="26"/>
      <c r="J184" s="28"/>
      <c r="K184" s="28"/>
    </row>
    <row r="185" customFormat="false" ht="15" hidden="false" customHeight="false" outlineLevel="0" collapsed="false">
      <c r="A185" s="26"/>
      <c r="B185" s="26"/>
      <c r="C185" s="27" t="str">
        <f aca="false">IF($B185="","",IFERROR(INDEX(Invoices!$C$6:$C$505,MATCH($B185,Invoices!$A$6:$A$505,0)),"Invoice not found"))</f>
        <v/>
      </c>
      <c r="D185" s="29"/>
      <c r="E185" s="35" t="str">
        <f aca="false">IF($B185="","",IFERROR(INDEX(Invoices!$L$6:$L$505,MATCH($B185,Invoices!$A$6:$A$505,0)),""))</f>
        <v/>
      </c>
      <c r="F185" s="32"/>
      <c r="G185" s="26"/>
      <c r="H185" s="26"/>
      <c r="I185" s="26"/>
      <c r="J185" s="28"/>
      <c r="K185" s="28"/>
    </row>
    <row r="186" customFormat="false" ht="15" hidden="false" customHeight="false" outlineLevel="0" collapsed="false">
      <c r="A186" s="26"/>
      <c r="B186" s="26"/>
      <c r="C186" s="27" t="str">
        <f aca="false">IF($B186="","",IFERROR(INDEX(Invoices!$C$6:$C$505,MATCH($B186,Invoices!$A$6:$A$505,0)),"Invoice not found"))</f>
        <v/>
      </c>
      <c r="D186" s="29"/>
      <c r="E186" s="35" t="str">
        <f aca="false">IF($B186="","",IFERROR(INDEX(Invoices!$L$6:$L$505,MATCH($B186,Invoices!$A$6:$A$505,0)),""))</f>
        <v/>
      </c>
      <c r="F186" s="32"/>
      <c r="G186" s="26"/>
      <c r="H186" s="26"/>
      <c r="I186" s="26"/>
      <c r="J186" s="28"/>
      <c r="K186" s="28"/>
    </row>
    <row r="187" customFormat="false" ht="15" hidden="false" customHeight="false" outlineLevel="0" collapsed="false">
      <c r="A187" s="26"/>
      <c r="B187" s="26"/>
      <c r="C187" s="27" t="str">
        <f aca="false">IF($B187="","",IFERROR(INDEX(Invoices!$C$6:$C$505,MATCH($B187,Invoices!$A$6:$A$505,0)),"Invoice not found"))</f>
        <v/>
      </c>
      <c r="D187" s="29"/>
      <c r="E187" s="35" t="str">
        <f aca="false">IF($B187="","",IFERROR(INDEX(Invoices!$L$6:$L$505,MATCH($B187,Invoices!$A$6:$A$505,0)),""))</f>
        <v/>
      </c>
      <c r="F187" s="32"/>
      <c r="G187" s="26"/>
      <c r="H187" s="26"/>
      <c r="I187" s="26"/>
      <c r="J187" s="28"/>
      <c r="K187" s="28"/>
    </row>
    <row r="188" customFormat="false" ht="15" hidden="false" customHeight="false" outlineLevel="0" collapsed="false">
      <c r="A188" s="26"/>
      <c r="B188" s="26"/>
      <c r="C188" s="27" t="str">
        <f aca="false">IF($B188="","",IFERROR(INDEX(Invoices!$C$6:$C$505,MATCH($B188,Invoices!$A$6:$A$505,0)),"Invoice not found"))</f>
        <v/>
      </c>
      <c r="D188" s="29"/>
      <c r="E188" s="35" t="str">
        <f aca="false">IF($B188="","",IFERROR(INDEX(Invoices!$L$6:$L$505,MATCH($B188,Invoices!$A$6:$A$505,0)),""))</f>
        <v/>
      </c>
      <c r="F188" s="32"/>
      <c r="G188" s="26"/>
      <c r="H188" s="26"/>
      <c r="I188" s="26"/>
      <c r="J188" s="28"/>
      <c r="K188" s="28"/>
    </row>
    <row r="189" customFormat="false" ht="15" hidden="false" customHeight="false" outlineLevel="0" collapsed="false">
      <c r="A189" s="26"/>
      <c r="B189" s="26"/>
      <c r="C189" s="27" t="str">
        <f aca="false">IF($B189="","",IFERROR(INDEX(Invoices!$C$6:$C$505,MATCH($B189,Invoices!$A$6:$A$505,0)),"Invoice not found"))</f>
        <v/>
      </c>
      <c r="D189" s="29"/>
      <c r="E189" s="35" t="str">
        <f aca="false">IF($B189="","",IFERROR(INDEX(Invoices!$L$6:$L$505,MATCH($B189,Invoices!$A$6:$A$505,0)),""))</f>
        <v/>
      </c>
      <c r="F189" s="32"/>
      <c r="G189" s="26"/>
      <c r="H189" s="26"/>
      <c r="I189" s="26"/>
      <c r="J189" s="28"/>
      <c r="K189" s="28"/>
    </row>
    <row r="190" customFormat="false" ht="15" hidden="false" customHeight="false" outlineLevel="0" collapsed="false">
      <c r="A190" s="26"/>
      <c r="B190" s="26"/>
      <c r="C190" s="27" t="str">
        <f aca="false">IF($B190="","",IFERROR(INDEX(Invoices!$C$6:$C$505,MATCH($B190,Invoices!$A$6:$A$505,0)),"Invoice not found"))</f>
        <v/>
      </c>
      <c r="D190" s="29"/>
      <c r="E190" s="35" t="str">
        <f aca="false">IF($B190="","",IFERROR(INDEX(Invoices!$L$6:$L$505,MATCH($B190,Invoices!$A$6:$A$505,0)),""))</f>
        <v/>
      </c>
      <c r="F190" s="32"/>
      <c r="G190" s="26"/>
      <c r="H190" s="26"/>
      <c r="I190" s="26"/>
      <c r="J190" s="28"/>
      <c r="K190" s="28"/>
    </row>
    <row r="191" customFormat="false" ht="15" hidden="false" customHeight="false" outlineLevel="0" collapsed="false">
      <c r="A191" s="26"/>
      <c r="B191" s="26"/>
      <c r="C191" s="27" t="str">
        <f aca="false">IF($B191="","",IFERROR(INDEX(Invoices!$C$6:$C$505,MATCH($B191,Invoices!$A$6:$A$505,0)),"Invoice not found"))</f>
        <v/>
      </c>
      <c r="D191" s="29"/>
      <c r="E191" s="35" t="str">
        <f aca="false">IF($B191="","",IFERROR(INDEX(Invoices!$L$6:$L$505,MATCH($B191,Invoices!$A$6:$A$505,0)),""))</f>
        <v/>
      </c>
      <c r="F191" s="32"/>
      <c r="G191" s="26"/>
      <c r="H191" s="26"/>
      <c r="I191" s="26"/>
      <c r="J191" s="28"/>
      <c r="K191" s="28"/>
    </row>
    <row r="192" customFormat="false" ht="15" hidden="false" customHeight="false" outlineLevel="0" collapsed="false">
      <c r="A192" s="26"/>
      <c r="B192" s="26"/>
      <c r="C192" s="27" t="str">
        <f aca="false">IF($B192="","",IFERROR(INDEX(Invoices!$C$6:$C$505,MATCH($B192,Invoices!$A$6:$A$505,0)),"Invoice not found"))</f>
        <v/>
      </c>
      <c r="D192" s="29"/>
      <c r="E192" s="35" t="str">
        <f aca="false">IF($B192="","",IFERROR(INDEX(Invoices!$L$6:$L$505,MATCH($B192,Invoices!$A$6:$A$505,0)),""))</f>
        <v/>
      </c>
      <c r="F192" s="32"/>
      <c r="G192" s="26"/>
      <c r="H192" s="26"/>
      <c r="I192" s="26"/>
      <c r="J192" s="28"/>
      <c r="K192" s="28"/>
    </row>
    <row r="193" customFormat="false" ht="15" hidden="false" customHeight="false" outlineLevel="0" collapsed="false">
      <c r="A193" s="26"/>
      <c r="B193" s="26"/>
      <c r="C193" s="27" t="str">
        <f aca="false">IF($B193="","",IFERROR(INDEX(Invoices!$C$6:$C$505,MATCH($B193,Invoices!$A$6:$A$505,0)),"Invoice not found"))</f>
        <v/>
      </c>
      <c r="D193" s="29"/>
      <c r="E193" s="35" t="str">
        <f aca="false">IF($B193="","",IFERROR(INDEX(Invoices!$L$6:$L$505,MATCH($B193,Invoices!$A$6:$A$505,0)),""))</f>
        <v/>
      </c>
      <c r="F193" s="32"/>
      <c r="G193" s="26"/>
      <c r="H193" s="26"/>
      <c r="I193" s="26"/>
      <c r="J193" s="28"/>
      <c r="K193" s="28"/>
    </row>
    <row r="194" customFormat="false" ht="15" hidden="false" customHeight="false" outlineLevel="0" collapsed="false">
      <c r="A194" s="26"/>
      <c r="B194" s="26"/>
      <c r="C194" s="27" t="str">
        <f aca="false">IF($B194="","",IFERROR(INDEX(Invoices!$C$6:$C$505,MATCH($B194,Invoices!$A$6:$A$505,0)),"Invoice not found"))</f>
        <v/>
      </c>
      <c r="D194" s="29"/>
      <c r="E194" s="35" t="str">
        <f aca="false">IF($B194="","",IFERROR(INDEX(Invoices!$L$6:$L$505,MATCH($B194,Invoices!$A$6:$A$505,0)),""))</f>
        <v/>
      </c>
      <c r="F194" s="32"/>
      <c r="G194" s="26"/>
      <c r="H194" s="26"/>
      <c r="I194" s="26"/>
      <c r="J194" s="28"/>
      <c r="K194" s="28"/>
    </row>
    <row r="195" customFormat="false" ht="15" hidden="false" customHeight="false" outlineLevel="0" collapsed="false">
      <c r="A195" s="26"/>
      <c r="B195" s="26"/>
      <c r="C195" s="27" t="str">
        <f aca="false">IF($B195="","",IFERROR(INDEX(Invoices!$C$6:$C$505,MATCH($B195,Invoices!$A$6:$A$505,0)),"Invoice not found"))</f>
        <v/>
      </c>
      <c r="D195" s="29"/>
      <c r="E195" s="35" t="str">
        <f aca="false">IF($B195="","",IFERROR(INDEX(Invoices!$L$6:$L$505,MATCH($B195,Invoices!$A$6:$A$505,0)),""))</f>
        <v/>
      </c>
      <c r="F195" s="32"/>
      <c r="G195" s="26"/>
      <c r="H195" s="26"/>
      <c r="I195" s="26"/>
      <c r="J195" s="28"/>
      <c r="K195" s="28"/>
    </row>
    <row r="196" customFormat="false" ht="15" hidden="false" customHeight="false" outlineLevel="0" collapsed="false">
      <c r="A196" s="26"/>
      <c r="B196" s="26"/>
      <c r="C196" s="27" t="str">
        <f aca="false">IF($B196="","",IFERROR(INDEX(Invoices!$C$6:$C$505,MATCH($B196,Invoices!$A$6:$A$505,0)),"Invoice not found"))</f>
        <v/>
      </c>
      <c r="D196" s="29"/>
      <c r="E196" s="35" t="str">
        <f aca="false">IF($B196="","",IFERROR(INDEX(Invoices!$L$6:$L$505,MATCH($B196,Invoices!$A$6:$A$505,0)),""))</f>
        <v/>
      </c>
      <c r="F196" s="32"/>
      <c r="G196" s="26"/>
      <c r="H196" s="26"/>
      <c r="I196" s="26"/>
      <c r="J196" s="28"/>
      <c r="K196" s="28"/>
    </row>
    <row r="197" customFormat="false" ht="15" hidden="false" customHeight="false" outlineLevel="0" collapsed="false">
      <c r="A197" s="26"/>
      <c r="B197" s="26"/>
      <c r="C197" s="27" t="str">
        <f aca="false">IF($B197="","",IFERROR(INDEX(Invoices!$C$6:$C$505,MATCH($B197,Invoices!$A$6:$A$505,0)),"Invoice not found"))</f>
        <v/>
      </c>
      <c r="D197" s="29"/>
      <c r="E197" s="35" t="str">
        <f aca="false">IF($B197="","",IFERROR(INDEX(Invoices!$L$6:$L$505,MATCH($B197,Invoices!$A$6:$A$505,0)),""))</f>
        <v/>
      </c>
      <c r="F197" s="32"/>
      <c r="G197" s="26"/>
      <c r="H197" s="26"/>
      <c r="I197" s="26"/>
      <c r="J197" s="28"/>
      <c r="K197" s="28"/>
    </row>
    <row r="198" customFormat="false" ht="15" hidden="false" customHeight="false" outlineLevel="0" collapsed="false">
      <c r="A198" s="26"/>
      <c r="B198" s="26"/>
      <c r="C198" s="27" t="str">
        <f aca="false">IF($B198="","",IFERROR(INDEX(Invoices!$C$6:$C$505,MATCH($B198,Invoices!$A$6:$A$505,0)),"Invoice not found"))</f>
        <v/>
      </c>
      <c r="D198" s="29"/>
      <c r="E198" s="35" t="str">
        <f aca="false">IF($B198="","",IFERROR(INDEX(Invoices!$L$6:$L$505,MATCH($B198,Invoices!$A$6:$A$505,0)),""))</f>
        <v/>
      </c>
      <c r="F198" s="32"/>
      <c r="G198" s="26"/>
      <c r="H198" s="26"/>
      <c r="I198" s="26"/>
      <c r="J198" s="28"/>
      <c r="K198" s="28"/>
    </row>
    <row r="199" customFormat="false" ht="15" hidden="false" customHeight="false" outlineLevel="0" collapsed="false">
      <c r="A199" s="26"/>
      <c r="B199" s="26"/>
      <c r="C199" s="27" t="str">
        <f aca="false">IF($B199="","",IFERROR(INDEX(Invoices!$C$6:$C$505,MATCH($B199,Invoices!$A$6:$A$505,0)),"Invoice not found"))</f>
        <v/>
      </c>
      <c r="D199" s="29"/>
      <c r="E199" s="35" t="str">
        <f aca="false">IF($B199="","",IFERROR(INDEX(Invoices!$L$6:$L$505,MATCH($B199,Invoices!$A$6:$A$505,0)),""))</f>
        <v/>
      </c>
      <c r="F199" s="32"/>
      <c r="G199" s="26"/>
      <c r="H199" s="26"/>
      <c r="I199" s="26"/>
      <c r="J199" s="28"/>
      <c r="K199" s="28"/>
    </row>
    <row r="200" customFormat="false" ht="15" hidden="false" customHeight="false" outlineLevel="0" collapsed="false">
      <c r="A200" s="26"/>
      <c r="B200" s="26"/>
      <c r="C200" s="27" t="str">
        <f aca="false">IF($B200="","",IFERROR(INDEX(Invoices!$C$6:$C$505,MATCH($B200,Invoices!$A$6:$A$505,0)),"Invoice not found"))</f>
        <v/>
      </c>
      <c r="D200" s="29"/>
      <c r="E200" s="35" t="str">
        <f aca="false">IF($B200="","",IFERROR(INDEX(Invoices!$L$6:$L$505,MATCH($B200,Invoices!$A$6:$A$505,0)),""))</f>
        <v/>
      </c>
      <c r="F200" s="32"/>
      <c r="G200" s="26"/>
      <c r="H200" s="26"/>
      <c r="I200" s="26"/>
      <c r="J200" s="28"/>
      <c r="K200" s="28"/>
    </row>
    <row r="201" customFormat="false" ht="15" hidden="false" customHeight="false" outlineLevel="0" collapsed="false">
      <c r="A201" s="26"/>
      <c r="B201" s="26"/>
      <c r="C201" s="27" t="str">
        <f aca="false">IF($B201="","",IFERROR(INDEX(Invoices!$C$6:$C$505,MATCH($B201,Invoices!$A$6:$A$505,0)),"Invoice not found"))</f>
        <v/>
      </c>
      <c r="D201" s="29"/>
      <c r="E201" s="35" t="str">
        <f aca="false">IF($B201="","",IFERROR(INDEX(Invoices!$L$6:$L$505,MATCH($B201,Invoices!$A$6:$A$505,0)),""))</f>
        <v/>
      </c>
      <c r="F201" s="32"/>
      <c r="G201" s="26"/>
      <c r="H201" s="26"/>
      <c r="I201" s="26"/>
      <c r="J201" s="28"/>
      <c r="K201" s="28"/>
    </row>
    <row r="202" customFormat="false" ht="15" hidden="false" customHeight="false" outlineLevel="0" collapsed="false">
      <c r="A202" s="26"/>
      <c r="B202" s="26"/>
      <c r="C202" s="27" t="str">
        <f aca="false">IF($B202="","",IFERROR(INDEX(Invoices!$C$6:$C$505,MATCH($B202,Invoices!$A$6:$A$505,0)),"Invoice not found"))</f>
        <v/>
      </c>
      <c r="D202" s="29"/>
      <c r="E202" s="35" t="str">
        <f aca="false">IF($B202="","",IFERROR(INDEX(Invoices!$L$6:$L$505,MATCH($B202,Invoices!$A$6:$A$505,0)),""))</f>
        <v/>
      </c>
      <c r="F202" s="32"/>
      <c r="G202" s="26"/>
      <c r="H202" s="26"/>
      <c r="I202" s="26"/>
      <c r="J202" s="28"/>
      <c r="K202" s="28"/>
    </row>
    <row r="203" customFormat="false" ht="15" hidden="false" customHeight="false" outlineLevel="0" collapsed="false">
      <c r="A203" s="26"/>
      <c r="B203" s="26"/>
      <c r="C203" s="27" t="str">
        <f aca="false">IF($B203="","",IFERROR(INDEX(Invoices!$C$6:$C$505,MATCH($B203,Invoices!$A$6:$A$505,0)),"Invoice not found"))</f>
        <v/>
      </c>
      <c r="D203" s="29"/>
      <c r="E203" s="35" t="str">
        <f aca="false">IF($B203="","",IFERROR(INDEX(Invoices!$L$6:$L$505,MATCH($B203,Invoices!$A$6:$A$505,0)),""))</f>
        <v/>
      </c>
      <c r="F203" s="32"/>
      <c r="G203" s="26"/>
      <c r="H203" s="26"/>
      <c r="I203" s="26"/>
      <c r="J203" s="28"/>
      <c r="K203" s="28"/>
    </row>
    <row r="204" customFormat="false" ht="15" hidden="false" customHeight="false" outlineLevel="0" collapsed="false">
      <c r="A204" s="26"/>
      <c r="B204" s="26"/>
      <c r="C204" s="27" t="str">
        <f aca="false">IF($B204="","",IFERROR(INDEX(Invoices!$C$6:$C$505,MATCH($B204,Invoices!$A$6:$A$505,0)),"Invoice not found"))</f>
        <v/>
      </c>
      <c r="D204" s="29"/>
      <c r="E204" s="35" t="str">
        <f aca="false">IF($B204="","",IFERROR(INDEX(Invoices!$L$6:$L$505,MATCH($B204,Invoices!$A$6:$A$505,0)),""))</f>
        <v/>
      </c>
      <c r="F204" s="32"/>
      <c r="G204" s="26"/>
      <c r="H204" s="26"/>
      <c r="I204" s="26"/>
      <c r="J204" s="28"/>
      <c r="K204" s="28"/>
    </row>
    <row r="205" customFormat="false" ht="15" hidden="false" customHeight="false" outlineLevel="0" collapsed="false">
      <c r="A205" s="26"/>
      <c r="B205" s="26"/>
      <c r="C205" s="27" t="str">
        <f aca="false">IF($B205="","",IFERROR(INDEX(Invoices!$C$6:$C$505,MATCH($B205,Invoices!$A$6:$A$505,0)),"Invoice not found"))</f>
        <v/>
      </c>
      <c r="D205" s="29"/>
      <c r="E205" s="35" t="str">
        <f aca="false">IF($B205="","",IFERROR(INDEX(Invoices!$L$6:$L$505,MATCH($B205,Invoices!$A$6:$A$505,0)),""))</f>
        <v/>
      </c>
      <c r="F205" s="32"/>
      <c r="G205" s="26"/>
      <c r="H205" s="26"/>
      <c r="I205" s="26"/>
      <c r="J205" s="28"/>
      <c r="K205" s="28"/>
    </row>
  </sheetData>
  <conditionalFormatting sqref="A6:A205">
    <cfRule type="expression" priority="2" aboveAverage="0" equalAverage="0" bottom="0" percent="0" rank="0" text="" dxfId="0">
      <formula>AND($A6&lt;&gt;"",COUNTIF($A$6:$A$205,$A6)&gt;1)</formula>
    </cfRule>
  </conditionalFormatting>
  <conditionalFormatting sqref="C6:C205">
    <cfRule type="expression" priority="3" aboveAverage="0" equalAverage="0" bottom="0" percent="0" rank="0" text="" dxfId="2">
      <formula>$C6="Invoice not found"</formula>
    </cfRule>
  </conditionalFormatting>
  <conditionalFormatting sqref="H6:H205">
    <cfRule type="expression" priority="4" aboveAverage="0" equalAverage="0" bottom="0" percent="0" rank="0" text="" dxfId="1">
      <formula>$H6="Issued"</formula>
    </cfRule>
    <cfRule type="expression" priority="5" aboveAverage="0" equalAverage="0" bottom="0" percent="0" rank="0" text="" dxfId="4">
      <formula>$H6="Void"</formula>
    </cfRule>
  </conditionalFormatting>
  <dataValidations count="5">
    <dataValidation allowBlank="true" error="Enter a number of 0 or more" errorStyle="stop" operator="greaterThanOrEqual" showDropDown="false" showErrorMessage="true" showInputMessage="false" sqref="F6:F205" type="decimal">
      <formula1>0</formula1>
      <formula2>0</formula2>
    </dataValidation>
    <dataValidation allowBlank="true" error="Use CN-YYYY-### (11 characters), e.g. CN-2026-001." errorStyle="stop" errorTitle="Check the ID" operator="between" showDropDown="false" showErrorMessage="true" showInputMessage="false" sqref="A6:A205" type="custom">
      <formula1>AND(LEFT(A6,3)="CN-",LEN(A6)=11)</formula1>
      <formula2>0</formula2>
    </dataValidation>
    <dataValidation allowBlank="true" errorStyle="stop" operator="between" showDropDown="false" showErrorMessage="true" showInputMessage="false" sqref="B6:B205" type="list">
      <formula1>Invoices!$A$6:$A$505</formula1>
      <formula2>0</formula2>
    </dataValidation>
    <dataValidation allowBlank="true" errorStyle="stop" operator="between" showDropDown="false" showErrorMessage="true" showInputMessage="false" sqref="G6:G205" type="list">
      <formula1>Lists!$E$2:$E$6</formula1>
      <formula2>0</formula2>
    </dataValidation>
    <dataValidation allowBlank="true" errorStyle="stop" operator="between" showDropDown="false" showErrorMessage="true" showInputMessage="false" sqref="H6:H205" type="list">
      <formula1>Lists!$F$2:$F$5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30"/>
    <col collapsed="false" customWidth="true" hidden="false" outlineLevel="0" max="4" min="4" style="0" width="16"/>
    <col collapsed="false" customWidth="true" hidden="false" outlineLevel="0" max="5" min="5" style="0" width="13"/>
    <col collapsed="false" customWidth="true" hidden="false" outlineLevel="0" max="6" min="6" style="0" width="12"/>
    <col collapsed="false" customWidth="true" hidden="false" outlineLevel="0" max="7" min="7" style="0" width="11"/>
    <col collapsed="false" customWidth="true" hidden="false" outlineLevel="0" max="8" min="8" style="0" width="15"/>
    <col collapsed="false" customWidth="true" hidden="false" outlineLevel="0" max="9" min="9" style="0" width="36"/>
    <col collapsed="false" customWidth="true" hidden="false" outlineLevel="0" max="10" min="10" style="0" width="11"/>
    <col collapsed="false" customWidth="true" hidden="false" outlineLevel="0" max="11" min="11" style="0" width="16"/>
    <col collapsed="false" customWidth="true" hidden="false" outlineLevel="0" max="12" min="12" style="0" width="15"/>
    <col collapsed="false" customWidth="true" hidden="false" outlineLevel="0" max="13" min="13" style="0" width="40"/>
  </cols>
  <sheetData>
    <row r="1" customFormat="false" ht="17.35" hidden="false" customHeight="false" outlineLevel="0" collapsed="false">
      <c r="A1" s="1" t="s">
        <v>192</v>
      </c>
    </row>
    <row r="2" customFormat="false" ht="15" hidden="false" customHeight="false" outlineLevel="0" collapsed="false">
      <c r="A2" s="6" t="s">
        <v>193</v>
      </c>
    </row>
    <row r="3" customFormat="false" ht="15" hidden="false" customHeight="false" outlineLevel="0" collapsed="false">
      <c r="A3" s="6" t="s">
        <v>123</v>
      </c>
    </row>
    <row r="5" customFormat="false" ht="31.5" hidden="false" customHeight="true" outlineLevel="0" collapsed="false">
      <c r="A5" s="25" t="s">
        <v>125</v>
      </c>
      <c r="B5" s="25" t="s">
        <v>126</v>
      </c>
      <c r="C5" s="25" t="s">
        <v>194</v>
      </c>
      <c r="D5" s="25" t="s">
        <v>195</v>
      </c>
      <c r="E5" s="25" t="s">
        <v>196</v>
      </c>
      <c r="F5" s="25" t="s">
        <v>197</v>
      </c>
      <c r="G5" s="25" t="s">
        <v>198</v>
      </c>
      <c r="H5" s="25" t="s">
        <v>199</v>
      </c>
      <c r="I5" s="25" t="s">
        <v>200</v>
      </c>
      <c r="J5" s="25" t="s">
        <v>201</v>
      </c>
      <c r="K5" s="25" t="s">
        <v>202</v>
      </c>
      <c r="L5" s="25" t="s">
        <v>203</v>
      </c>
      <c r="M5" s="25" t="s">
        <v>149</v>
      </c>
    </row>
    <row r="6" customFormat="false" ht="23.85" hidden="false" customHeight="false" outlineLevel="0" collapsed="false">
      <c r="A6" s="26" t="s">
        <v>151</v>
      </c>
      <c r="B6" s="28" t="s">
        <v>204</v>
      </c>
      <c r="C6" s="28" t="s">
        <v>205</v>
      </c>
      <c r="D6" s="26" t="s">
        <v>206</v>
      </c>
      <c r="E6" s="37" t="n">
        <v>30</v>
      </c>
      <c r="F6" s="26" t="s">
        <v>157</v>
      </c>
      <c r="G6" s="26" t="s">
        <v>207</v>
      </c>
      <c r="H6" s="26" t="s">
        <v>208</v>
      </c>
      <c r="I6" s="28" t="s">
        <v>209</v>
      </c>
      <c r="J6" s="36" t="n">
        <f aca="false">IF($A6="","",COUNTIFS(Invoices!$B$6:$B$505,$A6,Invoices!$T$6:$T$505,"Issued")+COUNTIFS(Invoices!$B$6:$B$505,$A6,Invoices!$T$6:$T$505,"Disputed"))</f>
        <v>1</v>
      </c>
      <c r="K6" s="34" t="n">
        <f aca="false">IF($A6="","",SUMIFS(Invoices!$S$6:$S$505,Invoices!$B$6:$B$505,$A6,Invoices!$T$6:$T$505,"Issued")+SUMIFS(Invoices!$S$6:$S$505,Invoices!$B$6:$B$505,$A6,Invoices!$T$6:$T$505,"Disputed"))</f>
        <v>6400</v>
      </c>
      <c r="L6" s="34" t="n">
        <f aca="false">IF($A6="","",SUMIFS(Invoices!$S$6:$S$505,Invoices!$B$6:$B$505,$A6,Invoices!$V$6:$V$505,"&gt;0"))</f>
        <v>0</v>
      </c>
      <c r="M6" s="28" t="s">
        <v>210</v>
      </c>
    </row>
    <row r="7" customFormat="false" ht="15" hidden="false" customHeight="false" outlineLevel="0" collapsed="false">
      <c r="A7" s="26"/>
      <c r="B7" s="28"/>
      <c r="C7" s="28"/>
      <c r="D7" s="26"/>
      <c r="E7" s="37"/>
      <c r="F7" s="26"/>
      <c r="G7" s="26"/>
      <c r="H7" s="26"/>
      <c r="I7" s="28"/>
      <c r="J7" s="36" t="str">
        <f aca="false">IF($A7="","",COUNTIFS(Invoices!$B$6:$B$505,$A7,Invoices!$T$6:$T$505,"Issued")+COUNTIFS(Invoices!$B$6:$B$505,$A7,Invoices!$T$6:$T$505,"Disputed"))</f>
        <v/>
      </c>
      <c r="K7" s="34" t="str">
        <f aca="false">IF($A7="","",SUMIFS(Invoices!$S$6:$S$505,Invoices!$B$6:$B$505,$A7,Invoices!$T$6:$T$505,"Issued")+SUMIFS(Invoices!$S$6:$S$505,Invoices!$B$6:$B$505,$A7,Invoices!$T$6:$T$505,"Disputed"))</f>
        <v/>
      </c>
      <c r="L7" s="34" t="str">
        <f aca="false">IF($A7="","",SUMIFS(Invoices!$S$6:$S$505,Invoices!$B$6:$B$505,$A7,Invoices!$V$6:$V$505,"&gt;0"))</f>
        <v/>
      </c>
      <c r="M7" s="28"/>
    </row>
    <row r="8" customFormat="false" ht="15" hidden="false" customHeight="false" outlineLevel="0" collapsed="false">
      <c r="A8" s="26"/>
      <c r="B8" s="28"/>
      <c r="C8" s="28"/>
      <c r="D8" s="26"/>
      <c r="E8" s="37"/>
      <c r="F8" s="26"/>
      <c r="G8" s="26"/>
      <c r="H8" s="26"/>
      <c r="I8" s="28"/>
      <c r="J8" s="36" t="str">
        <f aca="false">IF($A8="","",COUNTIFS(Invoices!$B$6:$B$505,$A8,Invoices!$T$6:$T$505,"Issued")+COUNTIFS(Invoices!$B$6:$B$505,$A8,Invoices!$T$6:$T$505,"Disputed"))</f>
        <v/>
      </c>
      <c r="K8" s="34" t="str">
        <f aca="false">IF($A8="","",SUMIFS(Invoices!$S$6:$S$505,Invoices!$B$6:$B$505,$A8,Invoices!$T$6:$T$505,"Issued")+SUMIFS(Invoices!$S$6:$S$505,Invoices!$B$6:$B$505,$A8,Invoices!$T$6:$T$505,"Disputed"))</f>
        <v/>
      </c>
      <c r="L8" s="34" t="str">
        <f aca="false">IF($A8="","",SUMIFS(Invoices!$S$6:$S$505,Invoices!$B$6:$B$505,$A8,Invoices!$V$6:$V$505,"&gt;0"))</f>
        <v/>
      </c>
      <c r="M8" s="28"/>
    </row>
    <row r="9" customFormat="false" ht="15" hidden="false" customHeight="false" outlineLevel="0" collapsed="false">
      <c r="A9" s="26"/>
      <c r="B9" s="28"/>
      <c r="C9" s="28"/>
      <c r="D9" s="26"/>
      <c r="E9" s="37"/>
      <c r="F9" s="26"/>
      <c r="G9" s="26"/>
      <c r="H9" s="26"/>
      <c r="I9" s="28"/>
      <c r="J9" s="36" t="str">
        <f aca="false">IF($A9="","",COUNTIFS(Invoices!$B$6:$B$505,$A9,Invoices!$T$6:$T$505,"Issued")+COUNTIFS(Invoices!$B$6:$B$505,$A9,Invoices!$T$6:$T$505,"Disputed"))</f>
        <v/>
      </c>
      <c r="K9" s="34" t="str">
        <f aca="false">IF($A9="","",SUMIFS(Invoices!$S$6:$S$505,Invoices!$B$6:$B$505,$A9,Invoices!$T$6:$T$505,"Issued")+SUMIFS(Invoices!$S$6:$S$505,Invoices!$B$6:$B$505,$A9,Invoices!$T$6:$T$505,"Disputed"))</f>
        <v/>
      </c>
      <c r="L9" s="34" t="str">
        <f aca="false">IF($A9="","",SUMIFS(Invoices!$S$6:$S$505,Invoices!$B$6:$B$505,$A9,Invoices!$V$6:$V$505,"&gt;0"))</f>
        <v/>
      </c>
      <c r="M9" s="28"/>
    </row>
    <row r="10" customFormat="false" ht="15" hidden="false" customHeight="false" outlineLevel="0" collapsed="false">
      <c r="A10" s="26"/>
      <c r="B10" s="28"/>
      <c r="C10" s="28"/>
      <c r="D10" s="26"/>
      <c r="E10" s="37"/>
      <c r="F10" s="26"/>
      <c r="G10" s="26"/>
      <c r="H10" s="26"/>
      <c r="I10" s="28"/>
      <c r="J10" s="36" t="str">
        <f aca="false">IF($A10="","",COUNTIFS(Invoices!$B$6:$B$505,$A10,Invoices!$T$6:$T$505,"Issued")+COUNTIFS(Invoices!$B$6:$B$505,$A10,Invoices!$T$6:$T$505,"Disputed"))</f>
        <v/>
      </c>
      <c r="K10" s="34" t="str">
        <f aca="false">IF($A10="","",SUMIFS(Invoices!$S$6:$S$505,Invoices!$B$6:$B$505,$A10,Invoices!$T$6:$T$505,"Issued")+SUMIFS(Invoices!$S$6:$S$505,Invoices!$B$6:$B$505,$A10,Invoices!$T$6:$T$505,"Disputed"))</f>
        <v/>
      </c>
      <c r="L10" s="34" t="str">
        <f aca="false">IF($A10="","",SUMIFS(Invoices!$S$6:$S$505,Invoices!$B$6:$B$505,$A10,Invoices!$V$6:$V$505,"&gt;0"))</f>
        <v/>
      </c>
      <c r="M10" s="28"/>
    </row>
    <row r="11" customFormat="false" ht="15" hidden="false" customHeight="false" outlineLevel="0" collapsed="false">
      <c r="A11" s="26"/>
      <c r="B11" s="28"/>
      <c r="C11" s="28"/>
      <c r="D11" s="26"/>
      <c r="E11" s="37"/>
      <c r="F11" s="26"/>
      <c r="G11" s="26"/>
      <c r="H11" s="26"/>
      <c r="I11" s="28"/>
      <c r="J11" s="36" t="str">
        <f aca="false">IF($A11="","",COUNTIFS(Invoices!$B$6:$B$505,$A11,Invoices!$T$6:$T$505,"Issued")+COUNTIFS(Invoices!$B$6:$B$505,$A11,Invoices!$T$6:$T$505,"Disputed"))</f>
        <v/>
      </c>
      <c r="K11" s="34" t="str">
        <f aca="false">IF($A11="","",SUMIFS(Invoices!$S$6:$S$505,Invoices!$B$6:$B$505,$A11,Invoices!$T$6:$T$505,"Issued")+SUMIFS(Invoices!$S$6:$S$505,Invoices!$B$6:$B$505,$A11,Invoices!$T$6:$T$505,"Disputed"))</f>
        <v/>
      </c>
      <c r="L11" s="34" t="str">
        <f aca="false">IF($A11="","",SUMIFS(Invoices!$S$6:$S$505,Invoices!$B$6:$B$505,$A11,Invoices!$V$6:$V$505,"&gt;0"))</f>
        <v/>
      </c>
      <c r="M11" s="28"/>
    </row>
    <row r="12" customFormat="false" ht="15" hidden="false" customHeight="false" outlineLevel="0" collapsed="false">
      <c r="A12" s="26"/>
      <c r="B12" s="28"/>
      <c r="C12" s="28"/>
      <c r="D12" s="26"/>
      <c r="E12" s="37"/>
      <c r="F12" s="26"/>
      <c r="G12" s="26"/>
      <c r="H12" s="26"/>
      <c r="I12" s="28"/>
      <c r="J12" s="36" t="str">
        <f aca="false">IF($A12="","",COUNTIFS(Invoices!$B$6:$B$505,$A12,Invoices!$T$6:$T$505,"Issued")+COUNTIFS(Invoices!$B$6:$B$505,$A12,Invoices!$T$6:$T$505,"Disputed"))</f>
        <v/>
      </c>
      <c r="K12" s="34" t="str">
        <f aca="false">IF($A12="","",SUMIFS(Invoices!$S$6:$S$505,Invoices!$B$6:$B$505,$A12,Invoices!$T$6:$T$505,"Issued")+SUMIFS(Invoices!$S$6:$S$505,Invoices!$B$6:$B$505,$A12,Invoices!$T$6:$T$505,"Disputed"))</f>
        <v/>
      </c>
      <c r="L12" s="34" t="str">
        <f aca="false">IF($A12="","",SUMIFS(Invoices!$S$6:$S$505,Invoices!$B$6:$B$505,$A12,Invoices!$V$6:$V$505,"&gt;0"))</f>
        <v/>
      </c>
      <c r="M12" s="28"/>
    </row>
    <row r="13" customFormat="false" ht="15" hidden="false" customHeight="false" outlineLevel="0" collapsed="false">
      <c r="A13" s="26"/>
      <c r="B13" s="28"/>
      <c r="C13" s="28"/>
      <c r="D13" s="26"/>
      <c r="E13" s="37"/>
      <c r="F13" s="26"/>
      <c r="G13" s="26"/>
      <c r="H13" s="26"/>
      <c r="I13" s="28"/>
      <c r="J13" s="36" t="str">
        <f aca="false">IF($A13="","",COUNTIFS(Invoices!$B$6:$B$505,$A13,Invoices!$T$6:$T$505,"Issued")+COUNTIFS(Invoices!$B$6:$B$505,$A13,Invoices!$T$6:$T$505,"Disputed"))</f>
        <v/>
      </c>
      <c r="K13" s="34" t="str">
        <f aca="false">IF($A13="","",SUMIFS(Invoices!$S$6:$S$505,Invoices!$B$6:$B$505,$A13,Invoices!$T$6:$T$505,"Issued")+SUMIFS(Invoices!$S$6:$S$505,Invoices!$B$6:$B$505,$A13,Invoices!$T$6:$T$505,"Disputed"))</f>
        <v/>
      </c>
      <c r="L13" s="34" t="str">
        <f aca="false">IF($A13="","",SUMIFS(Invoices!$S$6:$S$505,Invoices!$B$6:$B$505,$A13,Invoices!$V$6:$V$505,"&gt;0"))</f>
        <v/>
      </c>
      <c r="M13" s="28"/>
    </row>
    <row r="14" customFormat="false" ht="15" hidden="false" customHeight="false" outlineLevel="0" collapsed="false">
      <c r="A14" s="26"/>
      <c r="B14" s="28"/>
      <c r="C14" s="28"/>
      <c r="D14" s="26"/>
      <c r="E14" s="37"/>
      <c r="F14" s="26"/>
      <c r="G14" s="26"/>
      <c r="H14" s="26"/>
      <c r="I14" s="28"/>
      <c r="J14" s="36" t="str">
        <f aca="false">IF($A14="","",COUNTIFS(Invoices!$B$6:$B$505,$A14,Invoices!$T$6:$T$505,"Issued")+COUNTIFS(Invoices!$B$6:$B$505,$A14,Invoices!$T$6:$T$505,"Disputed"))</f>
        <v/>
      </c>
      <c r="K14" s="34" t="str">
        <f aca="false">IF($A14="","",SUMIFS(Invoices!$S$6:$S$505,Invoices!$B$6:$B$505,$A14,Invoices!$T$6:$T$505,"Issued")+SUMIFS(Invoices!$S$6:$S$505,Invoices!$B$6:$B$505,$A14,Invoices!$T$6:$T$505,"Disputed"))</f>
        <v/>
      </c>
      <c r="L14" s="34" t="str">
        <f aca="false">IF($A14="","",SUMIFS(Invoices!$S$6:$S$505,Invoices!$B$6:$B$505,$A14,Invoices!$V$6:$V$505,"&gt;0"))</f>
        <v/>
      </c>
      <c r="M14" s="28"/>
    </row>
    <row r="15" customFormat="false" ht="15" hidden="false" customHeight="false" outlineLevel="0" collapsed="false">
      <c r="A15" s="26"/>
      <c r="B15" s="28"/>
      <c r="C15" s="28"/>
      <c r="D15" s="26"/>
      <c r="E15" s="37"/>
      <c r="F15" s="26"/>
      <c r="G15" s="26"/>
      <c r="H15" s="26"/>
      <c r="I15" s="28"/>
      <c r="J15" s="36" t="str">
        <f aca="false">IF($A15="","",COUNTIFS(Invoices!$B$6:$B$505,$A15,Invoices!$T$6:$T$505,"Issued")+COUNTIFS(Invoices!$B$6:$B$505,$A15,Invoices!$T$6:$T$505,"Disputed"))</f>
        <v/>
      </c>
      <c r="K15" s="34" t="str">
        <f aca="false">IF($A15="","",SUMIFS(Invoices!$S$6:$S$505,Invoices!$B$6:$B$505,$A15,Invoices!$T$6:$T$505,"Issued")+SUMIFS(Invoices!$S$6:$S$505,Invoices!$B$6:$B$505,$A15,Invoices!$T$6:$T$505,"Disputed"))</f>
        <v/>
      </c>
      <c r="L15" s="34" t="str">
        <f aca="false">IF($A15="","",SUMIFS(Invoices!$S$6:$S$505,Invoices!$B$6:$B$505,$A15,Invoices!$V$6:$V$505,"&gt;0"))</f>
        <v/>
      </c>
      <c r="M15" s="28"/>
    </row>
    <row r="16" customFormat="false" ht="15" hidden="false" customHeight="false" outlineLevel="0" collapsed="false">
      <c r="A16" s="26"/>
      <c r="B16" s="28"/>
      <c r="C16" s="28"/>
      <c r="D16" s="26"/>
      <c r="E16" s="37"/>
      <c r="F16" s="26"/>
      <c r="G16" s="26"/>
      <c r="H16" s="26"/>
      <c r="I16" s="28"/>
      <c r="J16" s="36" t="str">
        <f aca="false">IF($A16="","",COUNTIFS(Invoices!$B$6:$B$505,$A16,Invoices!$T$6:$T$505,"Issued")+COUNTIFS(Invoices!$B$6:$B$505,$A16,Invoices!$T$6:$T$505,"Disputed"))</f>
        <v/>
      </c>
      <c r="K16" s="34" t="str">
        <f aca="false">IF($A16="","",SUMIFS(Invoices!$S$6:$S$505,Invoices!$B$6:$B$505,$A16,Invoices!$T$6:$T$505,"Issued")+SUMIFS(Invoices!$S$6:$S$505,Invoices!$B$6:$B$505,$A16,Invoices!$T$6:$T$505,"Disputed"))</f>
        <v/>
      </c>
      <c r="L16" s="34" t="str">
        <f aca="false">IF($A16="","",SUMIFS(Invoices!$S$6:$S$505,Invoices!$B$6:$B$505,$A16,Invoices!$V$6:$V$505,"&gt;0"))</f>
        <v/>
      </c>
      <c r="M16" s="28"/>
    </row>
    <row r="17" customFormat="false" ht="15" hidden="false" customHeight="false" outlineLevel="0" collapsed="false">
      <c r="A17" s="26"/>
      <c r="B17" s="28"/>
      <c r="C17" s="28"/>
      <c r="D17" s="26"/>
      <c r="E17" s="37"/>
      <c r="F17" s="26"/>
      <c r="G17" s="26"/>
      <c r="H17" s="26"/>
      <c r="I17" s="28"/>
      <c r="J17" s="36" t="str">
        <f aca="false">IF($A17="","",COUNTIFS(Invoices!$B$6:$B$505,$A17,Invoices!$T$6:$T$505,"Issued")+COUNTIFS(Invoices!$B$6:$B$505,$A17,Invoices!$T$6:$T$505,"Disputed"))</f>
        <v/>
      </c>
      <c r="K17" s="34" t="str">
        <f aca="false">IF($A17="","",SUMIFS(Invoices!$S$6:$S$505,Invoices!$B$6:$B$505,$A17,Invoices!$T$6:$T$505,"Issued")+SUMIFS(Invoices!$S$6:$S$505,Invoices!$B$6:$B$505,$A17,Invoices!$T$6:$T$505,"Disputed"))</f>
        <v/>
      </c>
      <c r="L17" s="34" t="str">
        <f aca="false">IF($A17="","",SUMIFS(Invoices!$S$6:$S$505,Invoices!$B$6:$B$505,$A17,Invoices!$V$6:$V$505,"&gt;0"))</f>
        <v/>
      </c>
      <c r="M17" s="28"/>
    </row>
    <row r="18" customFormat="false" ht="15" hidden="false" customHeight="false" outlineLevel="0" collapsed="false">
      <c r="A18" s="26"/>
      <c r="B18" s="28"/>
      <c r="C18" s="28"/>
      <c r="D18" s="26"/>
      <c r="E18" s="37"/>
      <c r="F18" s="26"/>
      <c r="G18" s="26"/>
      <c r="H18" s="26"/>
      <c r="I18" s="28"/>
      <c r="J18" s="36" t="str">
        <f aca="false">IF($A18="","",COUNTIFS(Invoices!$B$6:$B$505,$A18,Invoices!$T$6:$T$505,"Issued")+COUNTIFS(Invoices!$B$6:$B$505,$A18,Invoices!$T$6:$T$505,"Disputed"))</f>
        <v/>
      </c>
      <c r="K18" s="34" t="str">
        <f aca="false">IF($A18="","",SUMIFS(Invoices!$S$6:$S$505,Invoices!$B$6:$B$505,$A18,Invoices!$T$6:$T$505,"Issued")+SUMIFS(Invoices!$S$6:$S$505,Invoices!$B$6:$B$505,$A18,Invoices!$T$6:$T$505,"Disputed"))</f>
        <v/>
      </c>
      <c r="L18" s="34" t="str">
        <f aca="false">IF($A18="","",SUMIFS(Invoices!$S$6:$S$505,Invoices!$B$6:$B$505,$A18,Invoices!$V$6:$V$505,"&gt;0"))</f>
        <v/>
      </c>
      <c r="M18" s="28"/>
    </row>
    <row r="19" customFormat="false" ht="15" hidden="false" customHeight="false" outlineLevel="0" collapsed="false">
      <c r="A19" s="26"/>
      <c r="B19" s="28"/>
      <c r="C19" s="28"/>
      <c r="D19" s="26"/>
      <c r="E19" s="37"/>
      <c r="F19" s="26"/>
      <c r="G19" s="26"/>
      <c r="H19" s="26"/>
      <c r="I19" s="28"/>
      <c r="J19" s="36" t="str">
        <f aca="false">IF($A19="","",COUNTIFS(Invoices!$B$6:$B$505,$A19,Invoices!$T$6:$T$505,"Issued")+COUNTIFS(Invoices!$B$6:$B$505,$A19,Invoices!$T$6:$T$505,"Disputed"))</f>
        <v/>
      </c>
      <c r="K19" s="34" t="str">
        <f aca="false">IF($A19="","",SUMIFS(Invoices!$S$6:$S$505,Invoices!$B$6:$B$505,$A19,Invoices!$T$6:$T$505,"Issued")+SUMIFS(Invoices!$S$6:$S$505,Invoices!$B$6:$B$505,$A19,Invoices!$T$6:$T$505,"Disputed"))</f>
        <v/>
      </c>
      <c r="L19" s="34" t="str">
        <f aca="false">IF($A19="","",SUMIFS(Invoices!$S$6:$S$505,Invoices!$B$6:$B$505,$A19,Invoices!$V$6:$V$505,"&gt;0"))</f>
        <v/>
      </c>
      <c r="M19" s="28"/>
    </row>
    <row r="20" customFormat="false" ht="15" hidden="false" customHeight="false" outlineLevel="0" collapsed="false">
      <c r="A20" s="26"/>
      <c r="B20" s="28"/>
      <c r="C20" s="28"/>
      <c r="D20" s="26"/>
      <c r="E20" s="37"/>
      <c r="F20" s="26"/>
      <c r="G20" s="26"/>
      <c r="H20" s="26"/>
      <c r="I20" s="28"/>
      <c r="J20" s="36" t="str">
        <f aca="false">IF($A20="","",COUNTIFS(Invoices!$B$6:$B$505,$A20,Invoices!$T$6:$T$505,"Issued")+COUNTIFS(Invoices!$B$6:$B$505,$A20,Invoices!$T$6:$T$505,"Disputed"))</f>
        <v/>
      </c>
      <c r="K20" s="34" t="str">
        <f aca="false">IF($A20="","",SUMIFS(Invoices!$S$6:$S$505,Invoices!$B$6:$B$505,$A20,Invoices!$T$6:$T$505,"Issued")+SUMIFS(Invoices!$S$6:$S$505,Invoices!$B$6:$B$505,$A20,Invoices!$T$6:$T$505,"Disputed"))</f>
        <v/>
      </c>
      <c r="L20" s="34" t="str">
        <f aca="false">IF($A20="","",SUMIFS(Invoices!$S$6:$S$505,Invoices!$B$6:$B$505,$A20,Invoices!$V$6:$V$505,"&gt;0"))</f>
        <v/>
      </c>
      <c r="M20" s="28"/>
    </row>
    <row r="21" customFormat="false" ht="15" hidden="false" customHeight="false" outlineLevel="0" collapsed="false">
      <c r="A21" s="26"/>
      <c r="B21" s="28"/>
      <c r="C21" s="28"/>
      <c r="D21" s="26"/>
      <c r="E21" s="37"/>
      <c r="F21" s="26"/>
      <c r="G21" s="26"/>
      <c r="H21" s="26"/>
      <c r="I21" s="28"/>
      <c r="J21" s="36" t="str">
        <f aca="false">IF($A21="","",COUNTIFS(Invoices!$B$6:$B$505,$A21,Invoices!$T$6:$T$505,"Issued")+COUNTIFS(Invoices!$B$6:$B$505,$A21,Invoices!$T$6:$T$505,"Disputed"))</f>
        <v/>
      </c>
      <c r="K21" s="34" t="str">
        <f aca="false">IF($A21="","",SUMIFS(Invoices!$S$6:$S$505,Invoices!$B$6:$B$505,$A21,Invoices!$T$6:$T$505,"Issued")+SUMIFS(Invoices!$S$6:$S$505,Invoices!$B$6:$B$505,$A21,Invoices!$T$6:$T$505,"Disputed"))</f>
        <v/>
      </c>
      <c r="L21" s="34" t="str">
        <f aca="false">IF($A21="","",SUMIFS(Invoices!$S$6:$S$505,Invoices!$B$6:$B$505,$A21,Invoices!$V$6:$V$505,"&gt;0"))</f>
        <v/>
      </c>
      <c r="M21" s="28"/>
    </row>
    <row r="22" customFormat="false" ht="15" hidden="false" customHeight="false" outlineLevel="0" collapsed="false">
      <c r="A22" s="26"/>
      <c r="B22" s="28"/>
      <c r="C22" s="28"/>
      <c r="D22" s="26"/>
      <c r="E22" s="37"/>
      <c r="F22" s="26"/>
      <c r="G22" s="26"/>
      <c r="H22" s="26"/>
      <c r="I22" s="28"/>
      <c r="J22" s="36" t="str">
        <f aca="false">IF($A22="","",COUNTIFS(Invoices!$B$6:$B$505,$A22,Invoices!$T$6:$T$505,"Issued")+COUNTIFS(Invoices!$B$6:$B$505,$A22,Invoices!$T$6:$T$505,"Disputed"))</f>
        <v/>
      </c>
      <c r="K22" s="34" t="str">
        <f aca="false">IF($A22="","",SUMIFS(Invoices!$S$6:$S$505,Invoices!$B$6:$B$505,$A22,Invoices!$T$6:$T$505,"Issued")+SUMIFS(Invoices!$S$6:$S$505,Invoices!$B$6:$B$505,$A22,Invoices!$T$6:$T$505,"Disputed"))</f>
        <v/>
      </c>
      <c r="L22" s="34" t="str">
        <f aca="false">IF($A22="","",SUMIFS(Invoices!$S$6:$S$505,Invoices!$B$6:$B$505,$A22,Invoices!$V$6:$V$505,"&gt;0"))</f>
        <v/>
      </c>
      <c r="M22" s="28"/>
    </row>
    <row r="23" customFormat="false" ht="15" hidden="false" customHeight="false" outlineLevel="0" collapsed="false">
      <c r="A23" s="26"/>
      <c r="B23" s="28"/>
      <c r="C23" s="28"/>
      <c r="D23" s="26"/>
      <c r="E23" s="37"/>
      <c r="F23" s="26"/>
      <c r="G23" s="26"/>
      <c r="H23" s="26"/>
      <c r="I23" s="28"/>
      <c r="J23" s="36" t="str">
        <f aca="false">IF($A23="","",COUNTIFS(Invoices!$B$6:$B$505,$A23,Invoices!$T$6:$T$505,"Issued")+COUNTIFS(Invoices!$B$6:$B$505,$A23,Invoices!$T$6:$T$505,"Disputed"))</f>
        <v/>
      </c>
      <c r="K23" s="34" t="str">
        <f aca="false">IF($A23="","",SUMIFS(Invoices!$S$6:$S$505,Invoices!$B$6:$B$505,$A23,Invoices!$T$6:$T$505,"Issued")+SUMIFS(Invoices!$S$6:$S$505,Invoices!$B$6:$B$505,$A23,Invoices!$T$6:$T$505,"Disputed"))</f>
        <v/>
      </c>
      <c r="L23" s="34" t="str">
        <f aca="false">IF($A23="","",SUMIFS(Invoices!$S$6:$S$505,Invoices!$B$6:$B$505,$A23,Invoices!$V$6:$V$505,"&gt;0"))</f>
        <v/>
      </c>
      <c r="M23" s="28"/>
    </row>
    <row r="24" customFormat="false" ht="15" hidden="false" customHeight="false" outlineLevel="0" collapsed="false">
      <c r="A24" s="26"/>
      <c r="B24" s="28"/>
      <c r="C24" s="28"/>
      <c r="D24" s="26"/>
      <c r="E24" s="37"/>
      <c r="F24" s="26"/>
      <c r="G24" s="26"/>
      <c r="H24" s="26"/>
      <c r="I24" s="28"/>
      <c r="J24" s="36" t="str">
        <f aca="false">IF($A24="","",COUNTIFS(Invoices!$B$6:$B$505,$A24,Invoices!$T$6:$T$505,"Issued")+COUNTIFS(Invoices!$B$6:$B$505,$A24,Invoices!$T$6:$T$505,"Disputed"))</f>
        <v/>
      </c>
      <c r="K24" s="34" t="str">
        <f aca="false">IF($A24="","",SUMIFS(Invoices!$S$6:$S$505,Invoices!$B$6:$B$505,$A24,Invoices!$T$6:$T$505,"Issued")+SUMIFS(Invoices!$S$6:$S$505,Invoices!$B$6:$B$505,$A24,Invoices!$T$6:$T$505,"Disputed"))</f>
        <v/>
      </c>
      <c r="L24" s="34" t="str">
        <f aca="false">IF($A24="","",SUMIFS(Invoices!$S$6:$S$505,Invoices!$B$6:$B$505,$A24,Invoices!$V$6:$V$505,"&gt;0"))</f>
        <v/>
      </c>
      <c r="M24" s="28"/>
    </row>
    <row r="25" customFormat="false" ht="15" hidden="false" customHeight="false" outlineLevel="0" collapsed="false">
      <c r="A25" s="26"/>
      <c r="B25" s="28"/>
      <c r="C25" s="28"/>
      <c r="D25" s="26"/>
      <c r="E25" s="37"/>
      <c r="F25" s="26"/>
      <c r="G25" s="26"/>
      <c r="H25" s="26"/>
      <c r="I25" s="28"/>
      <c r="J25" s="36" t="str">
        <f aca="false">IF($A25="","",COUNTIFS(Invoices!$B$6:$B$505,$A25,Invoices!$T$6:$T$505,"Issued")+COUNTIFS(Invoices!$B$6:$B$505,$A25,Invoices!$T$6:$T$505,"Disputed"))</f>
        <v/>
      </c>
      <c r="K25" s="34" t="str">
        <f aca="false">IF($A25="","",SUMIFS(Invoices!$S$6:$S$505,Invoices!$B$6:$B$505,$A25,Invoices!$T$6:$T$505,"Issued")+SUMIFS(Invoices!$S$6:$S$505,Invoices!$B$6:$B$505,$A25,Invoices!$T$6:$T$505,"Disputed"))</f>
        <v/>
      </c>
      <c r="L25" s="34" t="str">
        <f aca="false">IF($A25="","",SUMIFS(Invoices!$S$6:$S$505,Invoices!$B$6:$B$505,$A25,Invoices!$V$6:$V$505,"&gt;0"))</f>
        <v/>
      </c>
      <c r="M25" s="28"/>
    </row>
    <row r="26" customFormat="false" ht="15" hidden="false" customHeight="false" outlineLevel="0" collapsed="false">
      <c r="A26" s="26"/>
      <c r="B26" s="28"/>
      <c r="C26" s="28"/>
      <c r="D26" s="26"/>
      <c r="E26" s="37"/>
      <c r="F26" s="26"/>
      <c r="G26" s="26"/>
      <c r="H26" s="26"/>
      <c r="I26" s="28"/>
      <c r="J26" s="36" t="str">
        <f aca="false">IF($A26="","",COUNTIFS(Invoices!$B$6:$B$505,$A26,Invoices!$T$6:$T$505,"Issued")+COUNTIFS(Invoices!$B$6:$B$505,$A26,Invoices!$T$6:$T$505,"Disputed"))</f>
        <v/>
      </c>
      <c r="K26" s="34" t="str">
        <f aca="false">IF($A26="","",SUMIFS(Invoices!$S$6:$S$505,Invoices!$B$6:$B$505,$A26,Invoices!$T$6:$T$505,"Issued")+SUMIFS(Invoices!$S$6:$S$505,Invoices!$B$6:$B$505,$A26,Invoices!$T$6:$T$505,"Disputed"))</f>
        <v/>
      </c>
      <c r="L26" s="34" t="str">
        <f aca="false">IF($A26="","",SUMIFS(Invoices!$S$6:$S$505,Invoices!$B$6:$B$505,$A26,Invoices!$V$6:$V$505,"&gt;0"))</f>
        <v/>
      </c>
      <c r="M26" s="28"/>
    </row>
    <row r="27" customFormat="false" ht="15" hidden="false" customHeight="false" outlineLevel="0" collapsed="false">
      <c r="A27" s="26"/>
      <c r="B27" s="28"/>
      <c r="C27" s="28"/>
      <c r="D27" s="26"/>
      <c r="E27" s="37"/>
      <c r="F27" s="26"/>
      <c r="G27" s="26"/>
      <c r="H27" s="26"/>
      <c r="I27" s="28"/>
      <c r="J27" s="36" t="str">
        <f aca="false">IF($A27="","",COUNTIFS(Invoices!$B$6:$B$505,$A27,Invoices!$T$6:$T$505,"Issued")+COUNTIFS(Invoices!$B$6:$B$505,$A27,Invoices!$T$6:$T$505,"Disputed"))</f>
        <v/>
      </c>
      <c r="K27" s="34" t="str">
        <f aca="false">IF($A27="","",SUMIFS(Invoices!$S$6:$S$505,Invoices!$B$6:$B$505,$A27,Invoices!$T$6:$T$505,"Issued")+SUMIFS(Invoices!$S$6:$S$505,Invoices!$B$6:$B$505,$A27,Invoices!$T$6:$T$505,"Disputed"))</f>
        <v/>
      </c>
      <c r="L27" s="34" t="str">
        <f aca="false">IF($A27="","",SUMIFS(Invoices!$S$6:$S$505,Invoices!$B$6:$B$505,$A27,Invoices!$V$6:$V$505,"&gt;0"))</f>
        <v/>
      </c>
      <c r="M27" s="28"/>
    </row>
    <row r="28" customFormat="false" ht="15" hidden="false" customHeight="false" outlineLevel="0" collapsed="false">
      <c r="A28" s="26"/>
      <c r="B28" s="28"/>
      <c r="C28" s="28"/>
      <c r="D28" s="26"/>
      <c r="E28" s="37"/>
      <c r="F28" s="26"/>
      <c r="G28" s="26"/>
      <c r="H28" s="26"/>
      <c r="I28" s="28"/>
      <c r="J28" s="36" t="str">
        <f aca="false">IF($A28="","",COUNTIFS(Invoices!$B$6:$B$505,$A28,Invoices!$T$6:$T$505,"Issued")+COUNTIFS(Invoices!$B$6:$B$505,$A28,Invoices!$T$6:$T$505,"Disputed"))</f>
        <v/>
      </c>
      <c r="K28" s="34" t="str">
        <f aca="false">IF($A28="","",SUMIFS(Invoices!$S$6:$S$505,Invoices!$B$6:$B$505,$A28,Invoices!$T$6:$T$505,"Issued")+SUMIFS(Invoices!$S$6:$S$505,Invoices!$B$6:$B$505,$A28,Invoices!$T$6:$T$505,"Disputed"))</f>
        <v/>
      </c>
      <c r="L28" s="34" t="str">
        <f aca="false">IF($A28="","",SUMIFS(Invoices!$S$6:$S$505,Invoices!$B$6:$B$505,$A28,Invoices!$V$6:$V$505,"&gt;0"))</f>
        <v/>
      </c>
      <c r="M28" s="28"/>
    </row>
    <row r="29" customFormat="false" ht="15" hidden="false" customHeight="false" outlineLevel="0" collapsed="false">
      <c r="A29" s="26"/>
      <c r="B29" s="28"/>
      <c r="C29" s="28"/>
      <c r="D29" s="26"/>
      <c r="E29" s="37"/>
      <c r="F29" s="26"/>
      <c r="G29" s="26"/>
      <c r="H29" s="26"/>
      <c r="I29" s="28"/>
      <c r="J29" s="36" t="str">
        <f aca="false">IF($A29="","",COUNTIFS(Invoices!$B$6:$B$505,$A29,Invoices!$T$6:$T$505,"Issued")+COUNTIFS(Invoices!$B$6:$B$505,$A29,Invoices!$T$6:$T$505,"Disputed"))</f>
        <v/>
      </c>
      <c r="K29" s="34" t="str">
        <f aca="false">IF($A29="","",SUMIFS(Invoices!$S$6:$S$505,Invoices!$B$6:$B$505,$A29,Invoices!$T$6:$T$505,"Issued")+SUMIFS(Invoices!$S$6:$S$505,Invoices!$B$6:$B$505,$A29,Invoices!$T$6:$T$505,"Disputed"))</f>
        <v/>
      </c>
      <c r="L29" s="34" t="str">
        <f aca="false">IF($A29="","",SUMIFS(Invoices!$S$6:$S$505,Invoices!$B$6:$B$505,$A29,Invoices!$V$6:$V$505,"&gt;0"))</f>
        <v/>
      </c>
      <c r="M29" s="28"/>
    </row>
    <row r="30" customFormat="false" ht="15" hidden="false" customHeight="false" outlineLevel="0" collapsed="false">
      <c r="A30" s="26"/>
      <c r="B30" s="28"/>
      <c r="C30" s="28"/>
      <c r="D30" s="26"/>
      <c r="E30" s="37"/>
      <c r="F30" s="26"/>
      <c r="G30" s="26"/>
      <c r="H30" s="26"/>
      <c r="I30" s="28"/>
      <c r="J30" s="36" t="str">
        <f aca="false">IF($A30="","",COUNTIFS(Invoices!$B$6:$B$505,$A30,Invoices!$T$6:$T$505,"Issued")+COUNTIFS(Invoices!$B$6:$B$505,$A30,Invoices!$T$6:$T$505,"Disputed"))</f>
        <v/>
      </c>
      <c r="K30" s="34" t="str">
        <f aca="false">IF($A30="","",SUMIFS(Invoices!$S$6:$S$505,Invoices!$B$6:$B$505,$A30,Invoices!$T$6:$T$505,"Issued")+SUMIFS(Invoices!$S$6:$S$505,Invoices!$B$6:$B$505,$A30,Invoices!$T$6:$T$505,"Disputed"))</f>
        <v/>
      </c>
      <c r="L30" s="34" t="str">
        <f aca="false">IF($A30="","",SUMIFS(Invoices!$S$6:$S$505,Invoices!$B$6:$B$505,$A30,Invoices!$V$6:$V$505,"&gt;0"))</f>
        <v/>
      </c>
      <c r="M30" s="28"/>
    </row>
    <row r="31" customFormat="false" ht="15" hidden="false" customHeight="false" outlineLevel="0" collapsed="false">
      <c r="A31" s="26"/>
      <c r="B31" s="28"/>
      <c r="C31" s="28"/>
      <c r="D31" s="26"/>
      <c r="E31" s="37"/>
      <c r="F31" s="26"/>
      <c r="G31" s="26"/>
      <c r="H31" s="26"/>
      <c r="I31" s="28"/>
      <c r="J31" s="36" t="str">
        <f aca="false">IF($A31="","",COUNTIFS(Invoices!$B$6:$B$505,$A31,Invoices!$T$6:$T$505,"Issued")+COUNTIFS(Invoices!$B$6:$B$505,$A31,Invoices!$T$6:$T$505,"Disputed"))</f>
        <v/>
      </c>
      <c r="K31" s="34" t="str">
        <f aca="false">IF($A31="","",SUMIFS(Invoices!$S$6:$S$505,Invoices!$B$6:$B$505,$A31,Invoices!$T$6:$T$505,"Issued")+SUMIFS(Invoices!$S$6:$S$505,Invoices!$B$6:$B$505,$A31,Invoices!$T$6:$T$505,"Disputed"))</f>
        <v/>
      </c>
      <c r="L31" s="34" t="str">
        <f aca="false">IF($A31="","",SUMIFS(Invoices!$S$6:$S$505,Invoices!$B$6:$B$505,$A31,Invoices!$V$6:$V$505,"&gt;0"))</f>
        <v/>
      </c>
      <c r="M31" s="28"/>
    </row>
    <row r="32" customFormat="false" ht="15" hidden="false" customHeight="false" outlineLevel="0" collapsed="false">
      <c r="A32" s="26"/>
      <c r="B32" s="28"/>
      <c r="C32" s="28"/>
      <c r="D32" s="26"/>
      <c r="E32" s="37"/>
      <c r="F32" s="26"/>
      <c r="G32" s="26"/>
      <c r="H32" s="26"/>
      <c r="I32" s="28"/>
      <c r="J32" s="36" t="str">
        <f aca="false">IF($A32="","",COUNTIFS(Invoices!$B$6:$B$505,$A32,Invoices!$T$6:$T$505,"Issued")+COUNTIFS(Invoices!$B$6:$B$505,$A32,Invoices!$T$6:$T$505,"Disputed"))</f>
        <v/>
      </c>
      <c r="K32" s="34" t="str">
        <f aca="false">IF($A32="","",SUMIFS(Invoices!$S$6:$S$505,Invoices!$B$6:$B$505,$A32,Invoices!$T$6:$T$505,"Issued")+SUMIFS(Invoices!$S$6:$S$505,Invoices!$B$6:$B$505,$A32,Invoices!$T$6:$T$505,"Disputed"))</f>
        <v/>
      </c>
      <c r="L32" s="34" t="str">
        <f aca="false">IF($A32="","",SUMIFS(Invoices!$S$6:$S$505,Invoices!$B$6:$B$505,$A32,Invoices!$V$6:$V$505,"&gt;0"))</f>
        <v/>
      </c>
      <c r="M32" s="28"/>
    </row>
    <row r="33" customFormat="false" ht="15" hidden="false" customHeight="false" outlineLevel="0" collapsed="false">
      <c r="A33" s="26"/>
      <c r="B33" s="28"/>
      <c r="C33" s="28"/>
      <c r="D33" s="26"/>
      <c r="E33" s="37"/>
      <c r="F33" s="26"/>
      <c r="G33" s="26"/>
      <c r="H33" s="26"/>
      <c r="I33" s="28"/>
      <c r="J33" s="36" t="str">
        <f aca="false">IF($A33="","",COUNTIFS(Invoices!$B$6:$B$505,$A33,Invoices!$T$6:$T$505,"Issued")+COUNTIFS(Invoices!$B$6:$B$505,$A33,Invoices!$T$6:$T$505,"Disputed"))</f>
        <v/>
      </c>
      <c r="K33" s="34" t="str">
        <f aca="false">IF($A33="","",SUMIFS(Invoices!$S$6:$S$505,Invoices!$B$6:$B$505,$A33,Invoices!$T$6:$T$505,"Issued")+SUMIFS(Invoices!$S$6:$S$505,Invoices!$B$6:$B$505,$A33,Invoices!$T$6:$T$505,"Disputed"))</f>
        <v/>
      </c>
      <c r="L33" s="34" t="str">
        <f aca="false">IF($A33="","",SUMIFS(Invoices!$S$6:$S$505,Invoices!$B$6:$B$505,$A33,Invoices!$V$6:$V$505,"&gt;0"))</f>
        <v/>
      </c>
      <c r="M33" s="28"/>
    </row>
    <row r="34" customFormat="false" ht="15" hidden="false" customHeight="false" outlineLevel="0" collapsed="false">
      <c r="A34" s="26"/>
      <c r="B34" s="28"/>
      <c r="C34" s="28"/>
      <c r="D34" s="26"/>
      <c r="E34" s="37"/>
      <c r="F34" s="26"/>
      <c r="G34" s="26"/>
      <c r="H34" s="26"/>
      <c r="I34" s="28"/>
      <c r="J34" s="36" t="str">
        <f aca="false">IF($A34="","",COUNTIFS(Invoices!$B$6:$B$505,$A34,Invoices!$T$6:$T$505,"Issued")+COUNTIFS(Invoices!$B$6:$B$505,$A34,Invoices!$T$6:$T$505,"Disputed"))</f>
        <v/>
      </c>
      <c r="K34" s="34" t="str">
        <f aca="false">IF($A34="","",SUMIFS(Invoices!$S$6:$S$505,Invoices!$B$6:$B$505,$A34,Invoices!$T$6:$T$505,"Issued")+SUMIFS(Invoices!$S$6:$S$505,Invoices!$B$6:$B$505,$A34,Invoices!$T$6:$T$505,"Disputed"))</f>
        <v/>
      </c>
      <c r="L34" s="34" t="str">
        <f aca="false">IF($A34="","",SUMIFS(Invoices!$S$6:$S$505,Invoices!$B$6:$B$505,$A34,Invoices!$V$6:$V$505,"&gt;0"))</f>
        <v/>
      </c>
      <c r="M34" s="28"/>
    </row>
    <row r="35" customFormat="false" ht="15" hidden="false" customHeight="false" outlineLevel="0" collapsed="false">
      <c r="A35" s="26"/>
      <c r="B35" s="28"/>
      <c r="C35" s="28"/>
      <c r="D35" s="26"/>
      <c r="E35" s="37"/>
      <c r="F35" s="26"/>
      <c r="G35" s="26"/>
      <c r="H35" s="26"/>
      <c r="I35" s="28"/>
      <c r="J35" s="36" t="str">
        <f aca="false">IF($A35="","",COUNTIFS(Invoices!$B$6:$B$505,$A35,Invoices!$T$6:$T$505,"Issued")+COUNTIFS(Invoices!$B$6:$B$505,$A35,Invoices!$T$6:$T$505,"Disputed"))</f>
        <v/>
      </c>
      <c r="K35" s="34" t="str">
        <f aca="false">IF($A35="","",SUMIFS(Invoices!$S$6:$S$505,Invoices!$B$6:$B$505,$A35,Invoices!$T$6:$T$505,"Issued")+SUMIFS(Invoices!$S$6:$S$505,Invoices!$B$6:$B$505,$A35,Invoices!$T$6:$T$505,"Disputed"))</f>
        <v/>
      </c>
      <c r="L35" s="34" t="str">
        <f aca="false">IF($A35="","",SUMIFS(Invoices!$S$6:$S$505,Invoices!$B$6:$B$505,$A35,Invoices!$V$6:$V$505,"&gt;0"))</f>
        <v/>
      </c>
      <c r="M35" s="28"/>
    </row>
    <row r="36" customFormat="false" ht="15" hidden="false" customHeight="false" outlineLevel="0" collapsed="false">
      <c r="A36" s="26"/>
      <c r="B36" s="28"/>
      <c r="C36" s="28"/>
      <c r="D36" s="26"/>
      <c r="E36" s="37"/>
      <c r="F36" s="26"/>
      <c r="G36" s="26"/>
      <c r="H36" s="26"/>
      <c r="I36" s="28"/>
      <c r="J36" s="36" t="str">
        <f aca="false">IF($A36="","",COUNTIFS(Invoices!$B$6:$B$505,$A36,Invoices!$T$6:$T$505,"Issued")+COUNTIFS(Invoices!$B$6:$B$505,$A36,Invoices!$T$6:$T$505,"Disputed"))</f>
        <v/>
      </c>
      <c r="K36" s="34" t="str">
        <f aca="false">IF($A36="","",SUMIFS(Invoices!$S$6:$S$505,Invoices!$B$6:$B$505,$A36,Invoices!$T$6:$T$505,"Issued")+SUMIFS(Invoices!$S$6:$S$505,Invoices!$B$6:$B$505,$A36,Invoices!$T$6:$T$505,"Disputed"))</f>
        <v/>
      </c>
      <c r="L36" s="34" t="str">
        <f aca="false">IF($A36="","",SUMIFS(Invoices!$S$6:$S$505,Invoices!$B$6:$B$505,$A36,Invoices!$V$6:$V$505,"&gt;0"))</f>
        <v/>
      </c>
      <c r="M36" s="28"/>
    </row>
    <row r="37" customFormat="false" ht="15" hidden="false" customHeight="false" outlineLevel="0" collapsed="false">
      <c r="A37" s="26"/>
      <c r="B37" s="28"/>
      <c r="C37" s="28"/>
      <c r="D37" s="26"/>
      <c r="E37" s="37"/>
      <c r="F37" s="26"/>
      <c r="G37" s="26"/>
      <c r="H37" s="26"/>
      <c r="I37" s="28"/>
      <c r="J37" s="36" t="str">
        <f aca="false">IF($A37="","",COUNTIFS(Invoices!$B$6:$B$505,$A37,Invoices!$T$6:$T$505,"Issued")+COUNTIFS(Invoices!$B$6:$B$505,$A37,Invoices!$T$6:$T$505,"Disputed"))</f>
        <v/>
      </c>
      <c r="K37" s="34" t="str">
        <f aca="false">IF($A37="","",SUMIFS(Invoices!$S$6:$S$505,Invoices!$B$6:$B$505,$A37,Invoices!$T$6:$T$505,"Issued")+SUMIFS(Invoices!$S$6:$S$505,Invoices!$B$6:$B$505,$A37,Invoices!$T$6:$T$505,"Disputed"))</f>
        <v/>
      </c>
      <c r="L37" s="34" t="str">
        <f aca="false">IF($A37="","",SUMIFS(Invoices!$S$6:$S$505,Invoices!$B$6:$B$505,$A37,Invoices!$V$6:$V$505,"&gt;0"))</f>
        <v/>
      </c>
      <c r="M37" s="28"/>
    </row>
    <row r="38" customFormat="false" ht="15" hidden="false" customHeight="false" outlineLevel="0" collapsed="false">
      <c r="A38" s="26"/>
      <c r="B38" s="28"/>
      <c r="C38" s="28"/>
      <c r="D38" s="26"/>
      <c r="E38" s="37"/>
      <c r="F38" s="26"/>
      <c r="G38" s="26"/>
      <c r="H38" s="26"/>
      <c r="I38" s="28"/>
      <c r="J38" s="36" t="str">
        <f aca="false">IF($A38="","",COUNTIFS(Invoices!$B$6:$B$505,$A38,Invoices!$T$6:$T$505,"Issued")+COUNTIFS(Invoices!$B$6:$B$505,$A38,Invoices!$T$6:$T$505,"Disputed"))</f>
        <v/>
      </c>
      <c r="K38" s="34" t="str">
        <f aca="false">IF($A38="","",SUMIFS(Invoices!$S$6:$S$505,Invoices!$B$6:$B$505,$A38,Invoices!$T$6:$T$505,"Issued")+SUMIFS(Invoices!$S$6:$S$505,Invoices!$B$6:$B$505,$A38,Invoices!$T$6:$T$505,"Disputed"))</f>
        <v/>
      </c>
      <c r="L38" s="34" t="str">
        <f aca="false">IF($A38="","",SUMIFS(Invoices!$S$6:$S$505,Invoices!$B$6:$B$505,$A38,Invoices!$V$6:$V$505,"&gt;0"))</f>
        <v/>
      </c>
      <c r="M38" s="28"/>
    </row>
    <row r="39" customFormat="false" ht="15" hidden="false" customHeight="false" outlineLevel="0" collapsed="false">
      <c r="A39" s="26"/>
      <c r="B39" s="28"/>
      <c r="C39" s="28"/>
      <c r="D39" s="26"/>
      <c r="E39" s="37"/>
      <c r="F39" s="26"/>
      <c r="G39" s="26"/>
      <c r="H39" s="26"/>
      <c r="I39" s="28"/>
      <c r="J39" s="36" t="str">
        <f aca="false">IF($A39="","",COUNTIFS(Invoices!$B$6:$B$505,$A39,Invoices!$T$6:$T$505,"Issued")+COUNTIFS(Invoices!$B$6:$B$505,$A39,Invoices!$T$6:$T$505,"Disputed"))</f>
        <v/>
      </c>
      <c r="K39" s="34" t="str">
        <f aca="false">IF($A39="","",SUMIFS(Invoices!$S$6:$S$505,Invoices!$B$6:$B$505,$A39,Invoices!$T$6:$T$505,"Issued")+SUMIFS(Invoices!$S$6:$S$505,Invoices!$B$6:$B$505,$A39,Invoices!$T$6:$T$505,"Disputed"))</f>
        <v/>
      </c>
      <c r="L39" s="34" t="str">
        <f aca="false">IF($A39="","",SUMIFS(Invoices!$S$6:$S$505,Invoices!$B$6:$B$505,$A39,Invoices!$V$6:$V$505,"&gt;0"))</f>
        <v/>
      </c>
      <c r="M39" s="28"/>
    </row>
    <row r="40" customFormat="false" ht="15" hidden="false" customHeight="false" outlineLevel="0" collapsed="false">
      <c r="A40" s="26"/>
      <c r="B40" s="28"/>
      <c r="C40" s="28"/>
      <c r="D40" s="26"/>
      <c r="E40" s="37"/>
      <c r="F40" s="26"/>
      <c r="G40" s="26"/>
      <c r="H40" s="26"/>
      <c r="I40" s="28"/>
      <c r="J40" s="36" t="str">
        <f aca="false">IF($A40="","",COUNTIFS(Invoices!$B$6:$B$505,$A40,Invoices!$T$6:$T$505,"Issued")+COUNTIFS(Invoices!$B$6:$B$505,$A40,Invoices!$T$6:$T$505,"Disputed"))</f>
        <v/>
      </c>
      <c r="K40" s="34" t="str">
        <f aca="false">IF($A40="","",SUMIFS(Invoices!$S$6:$S$505,Invoices!$B$6:$B$505,$A40,Invoices!$T$6:$T$505,"Issued")+SUMIFS(Invoices!$S$6:$S$505,Invoices!$B$6:$B$505,$A40,Invoices!$T$6:$T$505,"Disputed"))</f>
        <v/>
      </c>
      <c r="L40" s="34" t="str">
        <f aca="false">IF($A40="","",SUMIFS(Invoices!$S$6:$S$505,Invoices!$B$6:$B$505,$A40,Invoices!$V$6:$V$505,"&gt;0"))</f>
        <v/>
      </c>
      <c r="M40" s="28"/>
    </row>
    <row r="41" customFormat="false" ht="15" hidden="false" customHeight="false" outlineLevel="0" collapsed="false">
      <c r="A41" s="26"/>
      <c r="B41" s="28"/>
      <c r="C41" s="28"/>
      <c r="D41" s="26"/>
      <c r="E41" s="37"/>
      <c r="F41" s="26"/>
      <c r="G41" s="26"/>
      <c r="H41" s="26"/>
      <c r="I41" s="28"/>
      <c r="J41" s="36" t="str">
        <f aca="false">IF($A41="","",COUNTIFS(Invoices!$B$6:$B$505,$A41,Invoices!$T$6:$T$505,"Issued")+COUNTIFS(Invoices!$B$6:$B$505,$A41,Invoices!$T$6:$T$505,"Disputed"))</f>
        <v/>
      </c>
      <c r="K41" s="34" t="str">
        <f aca="false">IF($A41="","",SUMIFS(Invoices!$S$6:$S$505,Invoices!$B$6:$B$505,$A41,Invoices!$T$6:$T$505,"Issued")+SUMIFS(Invoices!$S$6:$S$505,Invoices!$B$6:$B$505,$A41,Invoices!$T$6:$T$505,"Disputed"))</f>
        <v/>
      </c>
      <c r="L41" s="34" t="str">
        <f aca="false">IF($A41="","",SUMIFS(Invoices!$S$6:$S$505,Invoices!$B$6:$B$505,$A41,Invoices!$V$6:$V$505,"&gt;0"))</f>
        <v/>
      </c>
      <c r="M41" s="28"/>
    </row>
    <row r="42" customFormat="false" ht="15" hidden="false" customHeight="false" outlineLevel="0" collapsed="false">
      <c r="A42" s="26"/>
      <c r="B42" s="28"/>
      <c r="C42" s="28"/>
      <c r="D42" s="26"/>
      <c r="E42" s="37"/>
      <c r="F42" s="26"/>
      <c r="G42" s="26"/>
      <c r="H42" s="26"/>
      <c r="I42" s="28"/>
      <c r="J42" s="36" t="str">
        <f aca="false">IF($A42="","",COUNTIFS(Invoices!$B$6:$B$505,$A42,Invoices!$T$6:$T$505,"Issued")+COUNTIFS(Invoices!$B$6:$B$505,$A42,Invoices!$T$6:$T$505,"Disputed"))</f>
        <v/>
      </c>
      <c r="K42" s="34" t="str">
        <f aca="false">IF($A42="","",SUMIFS(Invoices!$S$6:$S$505,Invoices!$B$6:$B$505,$A42,Invoices!$T$6:$T$505,"Issued")+SUMIFS(Invoices!$S$6:$S$505,Invoices!$B$6:$B$505,$A42,Invoices!$T$6:$T$505,"Disputed"))</f>
        <v/>
      </c>
      <c r="L42" s="34" t="str">
        <f aca="false">IF($A42="","",SUMIFS(Invoices!$S$6:$S$505,Invoices!$B$6:$B$505,$A42,Invoices!$V$6:$V$505,"&gt;0"))</f>
        <v/>
      </c>
      <c r="M42" s="28"/>
    </row>
    <row r="43" customFormat="false" ht="15" hidden="false" customHeight="false" outlineLevel="0" collapsed="false">
      <c r="A43" s="26"/>
      <c r="B43" s="28"/>
      <c r="C43" s="28"/>
      <c r="D43" s="26"/>
      <c r="E43" s="37"/>
      <c r="F43" s="26"/>
      <c r="G43" s="26"/>
      <c r="H43" s="26"/>
      <c r="I43" s="28"/>
      <c r="J43" s="36" t="str">
        <f aca="false">IF($A43="","",COUNTIFS(Invoices!$B$6:$B$505,$A43,Invoices!$T$6:$T$505,"Issued")+COUNTIFS(Invoices!$B$6:$B$505,$A43,Invoices!$T$6:$T$505,"Disputed"))</f>
        <v/>
      </c>
      <c r="K43" s="34" t="str">
        <f aca="false">IF($A43="","",SUMIFS(Invoices!$S$6:$S$505,Invoices!$B$6:$B$505,$A43,Invoices!$T$6:$T$505,"Issued")+SUMIFS(Invoices!$S$6:$S$505,Invoices!$B$6:$B$505,$A43,Invoices!$T$6:$T$505,"Disputed"))</f>
        <v/>
      </c>
      <c r="L43" s="34" t="str">
        <f aca="false">IF($A43="","",SUMIFS(Invoices!$S$6:$S$505,Invoices!$B$6:$B$505,$A43,Invoices!$V$6:$V$505,"&gt;0"))</f>
        <v/>
      </c>
      <c r="M43" s="28"/>
    </row>
    <row r="44" customFormat="false" ht="15" hidden="false" customHeight="false" outlineLevel="0" collapsed="false">
      <c r="A44" s="26"/>
      <c r="B44" s="28"/>
      <c r="C44" s="28"/>
      <c r="D44" s="26"/>
      <c r="E44" s="37"/>
      <c r="F44" s="26"/>
      <c r="G44" s="26"/>
      <c r="H44" s="26"/>
      <c r="I44" s="28"/>
      <c r="J44" s="36" t="str">
        <f aca="false">IF($A44="","",COUNTIFS(Invoices!$B$6:$B$505,$A44,Invoices!$T$6:$T$505,"Issued")+COUNTIFS(Invoices!$B$6:$B$505,$A44,Invoices!$T$6:$T$505,"Disputed"))</f>
        <v/>
      </c>
      <c r="K44" s="34" t="str">
        <f aca="false">IF($A44="","",SUMIFS(Invoices!$S$6:$S$505,Invoices!$B$6:$B$505,$A44,Invoices!$T$6:$T$505,"Issued")+SUMIFS(Invoices!$S$6:$S$505,Invoices!$B$6:$B$505,$A44,Invoices!$T$6:$T$505,"Disputed"))</f>
        <v/>
      </c>
      <c r="L44" s="34" t="str">
        <f aca="false">IF($A44="","",SUMIFS(Invoices!$S$6:$S$505,Invoices!$B$6:$B$505,$A44,Invoices!$V$6:$V$505,"&gt;0"))</f>
        <v/>
      </c>
      <c r="M44" s="28"/>
    </row>
    <row r="45" customFormat="false" ht="15" hidden="false" customHeight="false" outlineLevel="0" collapsed="false">
      <c r="A45" s="26"/>
      <c r="B45" s="28"/>
      <c r="C45" s="28"/>
      <c r="D45" s="26"/>
      <c r="E45" s="37"/>
      <c r="F45" s="26"/>
      <c r="G45" s="26"/>
      <c r="H45" s="26"/>
      <c r="I45" s="28"/>
      <c r="J45" s="36" t="str">
        <f aca="false">IF($A45="","",COUNTIFS(Invoices!$B$6:$B$505,$A45,Invoices!$T$6:$T$505,"Issued")+COUNTIFS(Invoices!$B$6:$B$505,$A45,Invoices!$T$6:$T$505,"Disputed"))</f>
        <v/>
      </c>
      <c r="K45" s="34" t="str">
        <f aca="false">IF($A45="","",SUMIFS(Invoices!$S$6:$S$505,Invoices!$B$6:$B$505,$A45,Invoices!$T$6:$T$505,"Issued")+SUMIFS(Invoices!$S$6:$S$505,Invoices!$B$6:$B$505,$A45,Invoices!$T$6:$T$505,"Disputed"))</f>
        <v/>
      </c>
      <c r="L45" s="34" t="str">
        <f aca="false">IF($A45="","",SUMIFS(Invoices!$S$6:$S$505,Invoices!$B$6:$B$505,$A45,Invoices!$V$6:$V$505,"&gt;0"))</f>
        <v/>
      </c>
      <c r="M45" s="28"/>
    </row>
    <row r="46" customFormat="false" ht="15" hidden="false" customHeight="false" outlineLevel="0" collapsed="false">
      <c r="A46" s="26"/>
      <c r="B46" s="28"/>
      <c r="C46" s="28"/>
      <c r="D46" s="26"/>
      <c r="E46" s="37"/>
      <c r="F46" s="26"/>
      <c r="G46" s="26"/>
      <c r="H46" s="26"/>
      <c r="I46" s="28"/>
      <c r="J46" s="36" t="str">
        <f aca="false">IF($A46="","",COUNTIFS(Invoices!$B$6:$B$505,$A46,Invoices!$T$6:$T$505,"Issued")+COUNTIFS(Invoices!$B$6:$B$505,$A46,Invoices!$T$6:$T$505,"Disputed"))</f>
        <v/>
      </c>
      <c r="K46" s="34" t="str">
        <f aca="false">IF($A46="","",SUMIFS(Invoices!$S$6:$S$505,Invoices!$B$6:$B$505,$A46,Invoices!$T$6:$T$505,"Issued")+SUMIFS(Invoices!$S$6:$S$505,Invoices!$B$6:$B$505,$A46,Invoices!$T$6:$T$505,"Disputed"))</f>
        <v/>
      </c>
      <c r="L46" s="34" t="str">
        <f aca="false">IF($A46="","",SUMIFS(Invoices!$S$6:$S$505,Invoices!$B$6:$B$505,$A46,Invoices!$V$6:$V$505,"&gt;0"))</f>
        <v/>
      </c>
      <c r="M46" s="28"/>
    </row>
    <row r="47" customFormat="false" ht="15" hidden="false" customHeight="false" outlineLevel="0" collapsed="false">
      <c r="A47" s="26"/>
      <c r="B47" s="28"/>
      <c r="C47" s="28"/>
      <c r="D47" s="26"/>
      <c r="E47" s="37"/>
      <c r="F47" s="26"/>
      <c r="G47" s="26"/>
      <c r="H47" s="26"/>
      <c r="I47" s="28"/>
      <c r="J47" s="36" t="str">
        <f aca="false">IF($A47="","",COUNTIFS(Invoices!$B$6:$B$505,$A47,Invoices!$T$6:$T$505,"Issued")+COUNTIFS(Invoices!$B$6:$B$505,$A47,Invoices!$T$6:$T$505,"Disputed"))</f>
        <v/>
      </c>
      <c r="K47" s="34" t="str">
        <f aca="false">IF($A47="","",SUMIFS(Invoices!$S$6:$S$505,Invoices!$B$6:$B$505,$A47,Invoices!$T$6:$T$505,"Issued")+SUMIFS(Invoices!$S$6:$S$505,Invoices!$B$6:$B$505,$A47,Invoices!$T$6:$T$505,"Disputed"))</f>
        <v/>
      </c>
      <c r="L47" s="34" t="str">
        <f aca="false">IF($A47="","",SUMIFS(Invoices!$S$6:$S$505,Invoices!$B$6:$B$505,$A47,Invoices!$V$6:$V$505,"&gt;0"))</f>
        <v/>
      </c>
      <c r="M47" s="28"/>
    </row>
    <row r="48" customFormat="false" ht="15" hidden="false" customHeight="false" outlineLevel="0" collapsed="false">
      <c r="A48" s="26"/>
      <c r="B48" s="28"/>
      <c r="C48" s="28"/>
      <c r="D48" s="26"/>
      <c r="E48" s="37"/>
      <c r="F48" s="26"/>
      <c r="G48" s="26"/>
      <c r="H48" s="26"/>
      <c r="I48" s="28"/>
      <c r="J48" s="36" t="str">
        <f aca="false">IF($A48="","",COUNTIFS(Invoices!$B$6:$B$505,$A48,Invoices!$T$6:$T$505,"Issued")+COUNTIFS(Invoices!$B$6:$B$505,$A48,Invoices!$T$6:$T$505,"Disputed"))</f>
        <v/>
      </c>
      <c r="K48" s="34" t="str">
        <f aca="false">IF($A48="","",SUMIFS(Invoices!$S$6:$S$505,Invoices!$B$6:$B$505,$A48,Invoices!$T$6:$T$505,"Issued")+SUMIFS(Invoices!$S$6:$S$505,Invoices!$B$6:$B$505,$A48,Invoices!$T$6:$T$505,"Disputed"))</f>
        <v/>
      </c>
      <c r="L48" s="34" t="str">
        <f aca="false">IF($A48="","",SUMIFS(Invoices!$S$6:$S$505,Invoices!$B$6:$B$505,$A48,Invoices!$V$6:$V$505,"&gt;0"))</f>
        <v/>
      </c>
      <c r="M48" s="28"/>
    </row>
    <row r="49" customFormat="false" ht="15" hidden="false" customHeight="false" outlineLevel="0" collapsed="false">
      <c r="A49" s="26"/>
      <c r="B49" s="28"/>
      <c r="C49" s="28"/>
      <c r="D49" s="26"/>
      <c r="E49" s="37"/>
      <c r="F49" s="26"/>
      <c r="G49" s="26"/>
      <c r="H49" s="26"/>
      <c r="I49" s="28"/>
      <c r="J49" s="36" t="str">
        <f aca="false">IF($A49="","",COUNTIFS(Invoices!$B$6:$B$505,$A49,Invoices!$T$6:$T$505,"Issued")+COUNTIFS(Invoices!$B$6:$B$505,$A49,Invoices!$T$6:$T$505,"Disputed"))</f>
        <v/>
      </c>
      <c r="K49" s="34" t="str">
        <f aca="false">IF($A49="","",SUMIFS(Invoices!$S$6:$S$505,Invoices!$B$6:$B$505,$A49,Invoices!$T$6:$T$505,"Issued")+SUMIFS(Invoices!$S$6:$S$505,Invoices!$B$6:$B$505,$A49,Invoices!$T$6:$T$505,"Disputed"))</f>
        <v/>
      </c>
      <c r="L49" s="34" t="str">
        <f aca="false">IF($A49="","",SUMIFS(Invoices!$S$6:$S$505,Invoices!$B$6:$B$505,$A49,Invoices!$V$6:$V$505,"&gt;0"))</f>
        <v/>
      </c>
      <c r="M49" s="28"/>
    </row>
    <row r="50" customFormat="false" ht="15" hidden="false" customHeight="false" outlineLevel="0" collapsed="false">
      <c r="A50" s="26"/>
      <c r="B50" s="28"/>
      <c r="C50" s="28"/>
      <c r="D50" s="26"/>
      <c r="E50" s="37"/>
      <c r="F50" s="26"/>
      <c r="G50" s="26"/>
      <c r="H50" s="26"/>
      <c r="I50" s="28"/>
      <c r="J50" s="36" t="str">
        <f aca="false">IF($A50="","",COUNTIFS(Invoices!$B$6:$B$505,$A50,Invoices!$T$6:$T$505,"Issued")+COUNTIFS(Invoices!$B$6:$B$505,$A50,Invoices!$T$6:$T$505,"Disputed"))</f>
        <v/>
      </c>
      <c r="K50" s="34" t="str">
        <f aca="false">IF($A50="","",SUMIFS(Invoices!$S$6:$S$505,Invoices!$B$6:$B$505,$A50,Invoices!$T$6:$T$505,"Issued")+SUMIFS(Invoices!$S$6:$S$505,Invoices!$B$6:$B$505,$A50,Invoices!$T$6:$T$505,"Disputed"))</f>
        <v/>
      </c>
      <c r="L50" s="34" t="str">
        <f aca="false">IF($A50="","",SUMIFS(Invoices!$S$6:$S$505,Invoices!$B$6:$B$505,$A50,Invoices!$V$6:$V$505,"&gt;0"))</f>
        <v/>
      </c>
      <c r="M50" s="28"/>
    </row>
    <row r="51" customFormat="false" ht="15" hidden="false" customHeight="false" outlineLevel="0" collapsed="false">
      <c r="A51" s="26"/>
      <c r="B51" s="28"/>
      <c r="C51" s="28"/>
      <c r="D51" s="26"/>
      <c r="E51" s="37"/>
      <c r="F51" s="26"/>
      <c r="G51" s="26"/>
      <c r="H51" s="26"/>
      <c r="I51" s="28"/>
      <c r="J51" s="36" t="str">
        <f aca="false">IF($A51="","",COUNTIFS(Invoices!$B$6:$B$505,$A51,Invoices!$T$6:$T$505,"Issued")+COUNTIFS(Invoices!$B$6:$B$505,$A51,Invoices!$T$6:$T$505,"Disputed"))</f>
        <v/>
      </c>
      <c r="K51" s="34" t="str">
        <f aca="false">IF($A51="","",SUMIFS(Invoices!$S$6:$S$505,Invoices!$B$6:$B$505,$A51,Invoices!$T$6:$T$505,"Issued")+SUMIFS(Invoices!$S$6:$S$505,Invoices!$B$6:$B$505,$A51,Invoices!$T$6:$T$505,"Disputed"))</f>
        <v/>
      </c>
      <c r="L51" s="34" t="str">
        <f aca="false">IF($A51="","",SUMIFS(Invoices!$S$6:$S$505,Invoices!$B$6:$B$505,$A51,Invoices!$V$6:$V$505,"&gt;0"))</f>
        <v/>
      </c>
      <c r="M51" s="28"/>
    </row>
    <row r="52" customFormat="false" ht="15" hidden="false" customHeight="false" outlineLevel="0" collapsed="false">
      <c r="A52" s="26"/>
      <c r="B52" s="28"/>
      <c r="C52" s="28"/>
      <c r="D52" s="26"/>
      <c r="E52" s="37"/>
      <c r="F52" s="26"/>
      <c r="G52" s="26"/>
      <c r="H52" s="26"/>
      <c r="I52" s="28"/>
      <c r="J52" s="36" t="str">
        <f aca="false">IF($A52="","",COUNTIFS(Invoices!$B$6:$B$505,$A52,Invoices!$T$6:$T$505,"Issued")+COUNTIFS(Invoices!$B$6:$B$505,$A52,Invoices!$T$6:$T$505,"Disputed"))</f>
        <v/>
      </c>
      <c r="K52" s="34" t="str">
        <f aca="false">IF($A52="","",SUMIFS(Invoices!$S$6:$S$505,Invoices!$B$6:$B$505,$A52,Invoices!$T$6:$T$505,"Issued")+SUMIFS(Invoices!$S$6:$S$505,Invoices!$B$6:$B$505,$A52,Invoices!$T$6:$T$505,"Disputed"))</f>
        <v/>
      </c>
      <c r="L52" s="34" t="str">
        <f aca="false">IF($A52="","",SUMIFS(Invoices!$S$6:$S$505,Invoices!$B$6:$B$505,$A52,Invoices!$V$6:$V$505,"&gt;0"))</f>
        <v/>
      </c>
      <c r="M52" s="28"/>
    </row>
    <row r="53" customFormat="false" ht="15" hidden="false" customHeight="false" outlineLevel="0" collapsed="false">
      <c r="A53" s="26"/>
      <c r="B53" s="28"/>
      <c r="C53" s="28"/>
      <c r="D53" s="26"/>
      <c r="E53" s="37"/>
      <c r="F53" s="26"/>
      <c r="G53" s="26"/>
      <c r="H53" s="26"/>
      <c r="I53" s="28"/>
      <c r="J53" s="36" t="str">
        <f aca="false">IF($A53="","",COUNTIFS(Invoices!$B$6:$B$505,$A53,Invoices!$T$6:$T$505,"Issued")+COUNTIFS(Invoices!$B$6:$B$505,$A53,Invoices!$T$6:$T$505,"Disputed"))</f>
        <v/>
      </c>
      <c r="K53" s="34" t="str">
        <f aca="false">IF($A53="","",SUMIFS(Invoices!$S$6:$S$505,Invoices!$B$6:$B$505,$A53,Invoices!$T$6:$T$505,"Issued")+SUMIFS(Invoices!$S$6:$S$505,Invoices!$B$6:$B$505,$A53,Invoices!$T$6:$T$505,"Disputed"))</f>
        <v/>
      </c>
      <c r="L53" s="34" t="str">
        <f aca="false">IF($A53="","",SUMIFS(Invoices!$S$6:$S$505,Invoices!$B$6:$B$505,$A53,Invoices!$V$6:$V$505,"&gt;0"))</f>
        <v/>
      </c>
      <c r="M53" s="28"/>
    </row>
    <row r="54" customFormat="false" ht="15" hidden="false" customHeight="false" outlineLevel="0" collapsed="false">
      <c r="A54" s="26"/>
      <c r="B54" s="28"/>
      <c r="C54" s="28"/>
      <c r="D54" s="26"/>
      <c r="E54" s="37"/>
      <c r="F54" s="26"/>
      <c r="G54" s="26"/>
      <c r="H54" s="26"/>
      <c r="I54" s="28"/>
      <c r="J54" s="36" t="str">
        <f aca="false">IF($A54="","",COUNTIFS(Invoices!$B$6:$B$505,$A54,Invoices!$T$6:$T$505,"Issued")+COUNTIFS(Invoices!$B$6:$B$505,$A54,Invoices!$T$6:$T$505,"Disputed"))</f>
        <v/>
      </c>
      <c r="K54" s="34" t="str">
        <f aca="false">IF($A54="","",SUMIFS(Invoices!$S$6:$S$505,Invoices!$B$6:$B$505,$A54,Invoices!$T$6:$T$505,"Issued")+SUMIFS(Invoices!$S$6:$S$505,Invoices!$B$6:$B$505,$A54,Invoices!$T$6:$T$505,"Disputed"))</f>
        <v/>
      </c>
      <c r="L54" s="34" t="str">
        <f aca="false">IF($A54="","",SUMIFS(Invoices!$S$6:$S$505,Invoices!$B$6:$B$505,$A54,Invoices!$V$6:$V$505,"&gt;0"))</f>
        <v/>
      </c>
      <c r="M54" s="28"/>
    </row>
    <row r="55" customFormat="false" ht="15" hidden="false" customHeight="false" outlineLevel="0" collapsed="false">
      <c r="A55" s="26"/>
      <c r="B55" s="28"/>
      <c r="C55" s="28"/>
      <c r="D55" s="26"/>
      <c r="E55" s="37"/>
      <c r="F55" s="26"/>
      <c r="G55" s="26"/>
      <c r="H55" s="26"/>
      <c r="I55" s="28"/>
      <c r="J55" s="36" t="str">
        <f aca="false">IF($A55="","",COUNTIFS(Invoices!$B$6:$B$505,$A55,Invoices!$T$6:$T$505,"Issued")+COUNTIFS(Invoices!$B$6:$B$505,$A55,Invoices!$T$6:$T$505,"Disputed"))</f>
        <v/>
      </c>
      <c r="K55" s="34" t="str">
        <f aca="false">IF($A55="","",SUMIFS(Invoices!$S$6:$S$505,Invoices!$B$6:$B$505,$A55,Invoices!$T$6:$T$505,"Issued")+SUMIFS(Invoices!$S$6:$S$505,Invoices!$B$6:$B$505,$A55,Invoices!$T$6:$T$505,"Disputed"))</f>
        <v/>
      </c>
      <c r="L55" s="34" t="str">
        <f aca="false">IF($A55="","",SUMIFS(Invoices!$S$6:$S$505,Invoices!$B$6:$B$505,$A55,Invoices!$V$6:$V$505,"&gt;0"))</f>
        <v/>
      </c>
      <c r="M55" s="28"/>
    </row>
    <row r="56" customFormat="false" ht="15" hidden="false" customHeight="false" outlineLevel="0" collapsed="false">
      <c r="A56" s="26"/>
      <c r="B56" s="28"/>
      <c r="C56" s="28"/>
      <c r="D56" s="26"/>
      <c r="E56" s="37"/>
      <c r="F56" s="26"/>
      <c r="G56" s="26"/>
      <c r="H56" s="26"/>
      <c r="I56" s="28"/>
      <c r="J56" s="36" t="str">
        <f aca="false">IF($A56="","",COUNTIFS(Invoices!$B$6:$B$505,$A56,Invoices!$T$6:$T$505,"Issued")+COUNTIFS(Invoices!$B$6:$B$505,$A56,Invoices!$T$6:$T$505,"Disputed"))</f>
        <v/>
      </c>
      <c r="K56" s="34" t="str">
        <f aca="false">IF($A56="","",SUMIFS(Invoices!$S$6:$S$505,Invoices!$B$6:$B$505,$A56,Invoices!$T$6:$T$505,"Issued")+SUMIFS(Invoices!$S$6:$S$505,Invoices!$B$6:$B$505,$A56,Invoices!$T$6:$T$505,"Disputed"))</f>
        <v/>
      </c>
      <c r="L56" s="34" t="str">
        <f aca="false">IF($A56="","",SUMIFS(Invoices!$S$6:$S$505,Invoices!$B$6:$B$505,$A56,Invoices!$V$6:$V$505,"&gt;0"))</f>
        <v/>
      </c>
      <c r="M56" s="28"/>
    </row>
    <row r="57" customFormat="false" ht="15" hidden="false" customHeight="false" outlineLevel="0" collapsed="false">
      <c r="A57" s="26"/>
      <c r="B57" s="28"/>
      <c r="C57" s="28"/>
      <c r="D57" s="26"/>
      <c r="E57" s="37"/>
      <c r="F57" s="26"/>
      <c r="G57" s="26"/>
      <c r="H57" s="26"/>
      <c r="I57" s="28"/>
      <c r="J57" s="36" t="str">
        <f aca="false">IF($A57="","",COUNTIFS(Invoices!$B$6:$B$505,$A57,Invoices!$T$6:$T$505,"Issued")+COUNTIFS(Invoices!$B$6:$B$505,$A57,Invoices!$T$6:$T$505,"Disputed"))</f>
        <v/>
      </c>
      <c r="K57" s="34" t="str">
        <f aca="false">IF($A57="","",SUMIFS(Invoices!$S$6:$S$505,Invoices!$B$6:$B$505,$A57,Invoices!$T$6:$T$505,"Issued")+SUMIFS(Invoices!$S$6:$S$505,Invoices!$B$6:$B$505,$A57,Invoices!$T$6:$T$505,"Disputed"))</f>
        <v/>
      </c>
      <c r="L57" s="34" t="str">
        <f aca="false">IF($A57="","",SUMIFS(Invoices!$S$6:$S$505,Invoices!$B$6:$B$505,$A57,Invoices!$V$6:$V$505,"&gt;0"))</f>
        <v/>
      </c>
      <c r="M57" s="28"/>
    </row>
    <row r="58" customFormat="false" ht="15" hidden="false" customHeight="false" outlineLevel="0" collapsed="false">
      <c r="A58" s="26"/>
      <c r="B58" s="28"/>
      <c r="C58" s="28"/>
      <c r="D58" s="26"/>
      <c r="E58" s="37"/>
      <c r="F58" s="26"/>
      <c r="G58" s="26"/>
      <c r="H58" s="26"/>
      <c r="I58" s="28"/>
      <c r="J58" s="36" t="str">
        <f aca="false">IF($A58="","",COUNTIFS(Invoices!$B$6:$B$505,$A58,Invoices!$T$6:$T$505,"Issued")+COUNTIFS(Invoices!$B$6:$B$505,$A58,Invoices!$T$6:$T$505,"Disputed"))</f>
        <v/>
      </c>
      <c r="K58" s="34" t="str">
        <f aca="false">IF($A58="","",SUMIFS(Invoices!$S$6:$S$505,Invoices!$B$6:$B$505,$A58,Invoices!$T$6:$T$505,"Issued")+SUMIFS(Invoices!$S$6:$S$505,Invoices!$B$6:$B$505,$A58,Invoices!$T$6:$T$505,"Disputed"))</f>
        <v/>
      </c>
      <c r="L58" s="34" t="str">
        <f aca="false">IF($A58="","",SUMIFS(Invoices!$S$6:$S$505,Invoices!$B$6:$B$505,$A58,Invoices!$V$6:$V$505,"&gt;0"))</f>
        <v/>
      </c>
      <c r="M58" s="28"/>
    </row>
    <row r="59" customFormat="false" ht="15" hidden="false" customHeight="false" outlineLevel="0" collapsed="false">
      <c r="A59" s="26"/>
      <c r="B59" s="28"/>
      <c r="C59" s="28"/>
      <c r="D59" s="26"/>
      <c r="E59" s="37"/>
      <c r="F59" s="26"/>
      <c r="G59" s="26"/>
      <c r="H59" s="26"/>
      <c r="I59" s="28"/>
      <c r="J59" s="36" t="str">
        <f aca="false">IF($A59="","",COUNTIFS(Invoices!$B$6:$B$505,$A59,Invoices!$T$6:$T$505,"Issued")+COUNTIFS(Invoices!$B$6:$B$505,$A59,Invoices!$T$6:$T$505,"Disputed"))</f>
        <v/>
      </c>
      <c r="K59" s="34" t="str">
        <f aca="false">IF($A59="","",SUMIFS(Invoices!$S$6:$S$505,Invoices!$B$6:$B$505,$A59,Invoices!$T$6:$T$505,"Issued")+SUMIFS(Invoices!$S$6:$S$505,Invoices!$B$6:$B$505,$A59,Invoices!$T$6:$T$505,"Disputed"))</f>
        <v/>
      </c>
      <c r="L59" s="34" t="str">
        <f aca="false">IF($A59="","",SUMIFS(Invoices!$S$6:$S$505,Invoices!$B$6:$B$505,$A59,Invoices!$V$6:$V$505,"&gt;0"))</f>
        <v/>
      </c>
      <c r="M59" s="28"/>
    </row>
    <row r="60" customFormat="false" ht="15" hidden="false" customHeight="false" outlineLevel="0" collapsed="false">
      <c r="A60" s="26"/>
      <c r="B60" s="28"/>
      <c r="C60" s="28"/>
      <c r="D60" s="26"/>
      <c r="E60" s="37"/>
      <c r="F60" s="26"/>
      <c r="G60" s="26"/>
      <c r="H60" s="26"/>
      <c r="I60" s="28"/>
      <c r="J60" s="36" t="str">
        <f aca="false">IF($A60="","",COUNTIFS(Invoices!$B$6:$B$505,$A60,Invoices!$T$6:$T$505,"Issued")+COUNTIFS(Invoices!$B$6:$B$505,$A60,Invoices!$T$6:$T$505,"Disputed"))</f>
        <v/>
      </c>
      <c r="K60" s="34" t="str">
        <f aca="false">IF($A60="","",SUMIFS(Invoices!$S$6:$S$505,Invoices!$B$6:$B$505,$A60,Invoices!$T$6:$T$505,"Issued")+SUMIFS(Invoices!$S$6:$S$505,Invoices!$B$6:$B$505,$A60,Invoices!$T$6:$T$505,"Disputed"))</f>
        <v/>
      </c>
      <c r="L60" s="34" t="str">
        <f aca="false">IF($A60="","",SUMIFS(Invoices!$S$6:$S$505,Invoices!$B$6:$B$505,$A60,Invoices!$V$6:$V$505,"&gt;0"))</f>
        <v/>
      </c>
      <c r="M60" s="28"/>
    </row>
    <row r="61" customFormat="false" ht="15" hidden="false" customHeight="false" outlineLevel="0" collapsed="false">
      <c r="A61" s="26"/>
      <c r="B61" s="28"/>
      <c r="C61" s="28"/>
      <c r="D61" s="26"/>
      <c r="E61" s="37"/>
      <c r="F61" s="26"/>
      <c r="G61" s="26"/>
      <c r="H61" s="26"/>
      <c r="I61" s="28"/>
      <c r="J61" s="36" t="str">
        <f aca="false">IF($A61="","",COUNTIFS(Invoices!$B$6:$B$505,$A61,Invoices!$T$6:$T$505,"Issued")+COUNTIFS(Invoices!$B$6:$B$505,$A61,Invoices!$T$6:$T$505,"Disputed"))</f>
        <v/>
      </c>
      <c r="K61" s="34" t="str">
        <f aca="false">IF($A61="","",SUMIFS(Invoices!$S$6:$S$505,Invoices!$B$6:$B$505,$A61,Invoices!$T$6:$T$505,"Issued")+SUMIFS(Invoices!$S$6:$S$505,Invoices!$B$6:$B$505,$A61,Invoices!$T$6:$T$505,"Disputed"))</f>
        <v/>
      </c>
      <c r="L61" s="34" t="str">
        <f aca="false">IF($A61="","",SUMIFS(Invoices!$S$6:$S$505,Invoices!$B$6:$B$505,$A61,Invoices!$V$6:$V$505,"&gt;0"))</f>
        <v/>
      </c>
      <c r="M61" s="28"/>
    </row>
    <row r="62" customFormat="false" ht="15" hidden="false" customHeight="false" outlineLevel="0" collapsed="false">
      <c r="A62" s="26"/>
      <c r="B62" s="28"/>
      <c r="C62" s="28"/>
      <c r="D62" s="26"/>
      <c r="E62" s="37"/>
      <c r="F62" s="26"/>
      <c r="G62" s="26"/>
      <c r="H62" s="26"/>
      <c r="I62" s="28"/>
      <c r="J62" s="36" t="str">
        <f aca="false">IF($A62="","",COUNTIFS(Invoices!$B$6:$B$505,$A62,Invoices!$T$6:$T$505,"Issued")+COUNTIFS(Invoices!$B$6:$B$505,$A62,Invoices!$T$6:$T$505,"Disputed"))</f>
        <v/>
      </c>
      <c r="K62" s="34" t="str">
        <f aca="false">IF($A62="","",SUMIFS(Invoices!$S$6:$S$505,Invoices!$B$6:$B$505,$A62,Invoices!$T$6:$T$505,"Issued")+SUMIFS(Invoices!$S$6:$S$505,Invoices!$B$6:$B$505,$A62,Invoices!$T$6:$T$505,"Disputed"))</f>
        <v/>
      </c>
      <c r="L62" s="34" t="str">
        <f aca="false">IF($A62="","",SUMIFS(Invoices!$S$6:$S$505,Invoices!$B$6:$B$505,$A62,Invoices!$V$6:$V$505,"&gt;0"))</f>
        <v/>
      </c>
      <c r="M62" s="28"/>
    </row>
    <row r="63" customFormat="false" ht="15" hidden="false" customHeight="false" outlineLevel="0" collapsed="false">
      <c r="A63" s="26"/>
      <c r="B63" s="28"/>
      <c r="C63" s="28"/>
      <c r="D63" s="26"/>
      <c r="E63" s="37"/>
      <c r="F63" s="26"/>
      <c r="G63" s="26"/>
      <c r="H63" s="26"/>
      <c r="I63" s="28"/>
      <c r="J63" s="36" t="str">
        <f aca="false">IF($A63="","",COUNTIFS(Invoices!$B$6:$B$505,$A63,Invoices!$T$6:$T$505,"Issued")+COUNTIFS(Invoices!$B$6:$B$505,$A63,Invoices!$T$6:$T$505,"Disputed"))</f>
        <v/>
      </c>
      <c r="K63" s="34" t="str">
        <f aca="false">IF($A63="","",SUMIFS(Invoices!$S$6:$S$505,Invoices!$B$6:$B$505,$A63,Invoices!$T$6:$T$505,"Issued")+SUMIFS(Invoices!$S$6:$S$505,Invoices!$B$6:$B$505,$A63,Invoices!$T$6:$T$505,"Disputed"))</f>
        <v/>
      </c>
      <c r="L63" s="34" t="str">
        <f aca="false">IF($A63="","",SUMIFS(Invoices!$S$6:$S$505,Invoices!$B$6:$B$505,$A63,Invoices!$V$6:$V$505,"&gt;0"))</f>
        <v/>
      </c>
      <c r="M63" s="28"/>
    </row>
    <row r="64" customFormat="false" ht="15" hidden="false" customHeight="false" outlineLevel="0" collapsed="false">
      <c r="A64" s="26"/>
      <c r="B64" s="28"/>
      <c r="C64" s="28"/>
      <c r="D64" s="26"/>
      <c r="E64" s="37"/>
      <c r="F64" s="26"/>
      <c r="G64" s="26"/>
      <c r="H64" s="26"/>
      <c r="I64" s="28"/>
      <c r="J64" s="36" t="str">
        <f aca="false">IF($A64="","",COUNTIFS(Invoices!$B$6:$B$505,$A64,Invoices!$T$6:$T$505,"Issued")+COUNTIFS(Invoices!$B$6:$B$505,$A64,Invoices!$T$6:$T$505,"Disputed"))</f>
        <v/>
      </c>
      <c r="K64" s="34" t="str">
        <f aca="false">IF($A64="","",SUMIFS(Invoices!$S$6:$S$505,Invoices!$B$6:$B$505,$A64,Invoices!$T$6:$T$505,"Issued")+SUMIFS(Invoices!$S$6:$S$505,Invoices!$B$6:$B$505,$A64,Invoices!$T$6:$T$505,"Disputed"))</f>
        <v/>
      </c>
      <c r="L64" s="34" t="str">
        <f aca="false">IF($A64="","",SUMIFS(Invoices!$S$6:$S$505,Invoices!$B$6:$B$505,$A64,Invoices!$V$6:$V$505,"&gt;0"))</f>
        <v/>
      </c>
      <c r="M64" s="28"/>
    </row>
    <row r="65" customFormat="false" ht="15" hidden="false" customHeight="false" outlineLevel="0" collapsed="false">
      <c r="A65" s="26"/>
      <c r="B65" s="28"/>
      <c r="C65" s="28"/>
      <c r="D65" s="26"/>
      <c r="E65" s="37"/>
      <c r="F65" s="26"/>
      <c r="G65" s="26"/>
      <c r="H65" s="26"/>
      <c r="I65" s="28"/>
      <c r="J65" s="36" t="str">
        <f aca="false">IF($A65="","",COUNTIFS(Invoices!$B$6:$B$505,$A65,Invoices!$T$6:$T$505,"Issued")+COUNTIFS(Invoices!$B$6:$B$505,$A65,Invoices!$T$6:$T$505,"Disputed"))</f>
        <v/>
      </c>
      <c r="K65" s="34" t="str">
        <f aca="false">IF($A65="","",SUMIFS(Invoices!$S$6:$S$505,Invoices!$B$6:$B$505,$A65,Invoices!$T$6:$T$505,"Issued")+SUMIFS(Invoices!$S$6:$S$505,Invoices!$B$6:$B$505,$A65,Invoices!$T$6:$T$505,"Disputed"))</f>
        <v/>
      </c>
      <c r="L65" s="34" t="str">
        <f aca="false">IF($A65="","",SUMIFS(Invoices!$S$6:$S$505,Invoices!$B$6:$B$505,$A65,Invoices!$V$6:$V$505,"&gt;0"))</f>
        <v/>
      </c>
      <c r="M65" s="28"/>
    </row>
    <row r="66" customFormat="false" ht="15" hidden="false" customHeight="false" outlineLevel="0" collapsed="false">
      <c r="A66" s="26"/>
      <c r="B66" s="28"/>
      <c r="C66" s="28"/>
      <c r="D66" s="26"/>
      <c r="E66" s="37"/>
      <c r="F66" s="26"/>
      <c r="G66" s="26"/>
      <c r="H66" s="26"/>
      <c r="I66" s="28"/>
      <c r="J66" s="36" t="str">
        <f aca="false">IF($A66="","",COUNTIFS(Invoices!$B$6:$B$505,$A66,Invoices!$T$6:$T$505,"Issued")+COUNTIFS(Invoices!$B$6:$B$505,$A66,Invoices!$T$6:$T$505,"Disputed"))</f>
        <v/>
      </c>
      <c r="K66" s="34" t="str">
        <f aca="false">IF($A66="","",SUMIFS(Invoices!$S$6:$S$505,Invoices!$B$6:$B$505,$A66,Invoices!$T$6:$T$505,"Issued")+SUMIFS(Invoices!$S$6:$S$505,Invoices!$B$6:$B$505,$A66,Invoices!$T$6:$T$505,"Disputed"))</f>
        <v/>
      </c>
      <c r="L66" s="34" t="str">
        <f aca="false">IF($A66="","",SUMIFS(Invoices!$S$6:$S$505,Invoices!$B$6:$B$505,$A66,Invoices!$V$6:$V$505,"&gt;0"))</f>
        <v/>
      </c>
      <c r="M66" s="28"/>
    </row>
    <row r="67" customFormat="false" ht="15" hidden="false" customHeight="false" outlineLevel="0" collapsed="false">
      <c r="A67" s="26"/>
      <c r="B67" s="28"/>
      <c r="C67" s="28"/>
      <c r="D67" s="26"/>
      <c r="E67" s="37"/>
      <c r="F67" s="26"/>
      <c r="G67" s="26"/>
      <c r="H67" s="26"/>
      <c r="I67" s="28"/>
      <c r="J67" s="36" t="str">
        <f aca="false">IF($A67="","",COUNTIFS(Invoices!$B$6:$B$505,$A67,Invoices!$T$6:$T$505,"Issued")+COUNTIFS(Invoices!$B$6:$B$505,$A67,Invoices!$T$6:$T$505,"Disputed"))</f>
        <v/>
      </c>
      <c r="K67" s="34" t="str">
        <f aca="false">IF($A67="","",SUMIFS(Invoices!$S$6:$S$505,Invoices!$B$6:$B$505,$A67,Invoices!$T$6:$T$505,"Issued")+SUMIFS(Invoices!$S$6:$S$505,Invoices!$B$6:$B$505,$A67,Invoices!$T$6:$T$505,"Disputed"))</f>
        <v/>
      </c>
      <c r="L67" s="34" t="str">
        <f aca="false">IF($A67="","",SUMIFS(Invoices!$S$6:$S$505,Invoices!$B$6:$B$505,$A67,Invoices!$V$6:$V$505,"&gt;0"))</f>
        <v/>
      </c>
      <c r="M67" s="28"/>
    </row>
    <row r="68" customFormat="false" ht="15" hidden="false" customHeight="false" outlineLevel="0" collapsed="false">
      <c r="A68" s="26"/>
      <c r="B68" s="28"/>
      <c r="C68" s="28"/>
      <c r="D68" s="26"/>
      <c r="E68" s="37"/>
      <c r="F68" s="26"/>
      <c r="G68" s="26"/>
      <c r="H68" s="26"/>
      <c r="I68" s="28"/>
      <c r="J68" s="36" t="str">
        <f aca="false">IF($A68="","",COUNTIFS(Invoices!$B$6:$B$505,$A68,Invoices!$T$6:$T$505,"Issued")+COUNTIFS(Invoices!$B$6:$B$505,$A68,Invoices!$T$6:$T$505,"Disputed"))</f>
        <v/>
      </c>
      <c r="K68" s="34" t="str">
        <f aca="false">IF($A68="","",SUMIFS(Invoices!$S$6:$S$505,Invoices!$B$6:$B$505,$A68,Invoices!$T$6:$T$505,"Issued")+SUMIFS(Invoices!$S$6:$S$505,Invoices!$B$6:$B$505,$A68,Invoices!$T$6:$T$505,"Disputed"))</f>
        <v/>
      </c>
      <c r="L68" s="34" t="str">
        <f aca="false">IF($A68="","",SUMIFS(Invoices!$S$6:$S$505,Invoices!$B$6:$B$505,$A68,Invoices!$V$6:$V$505,"&gt;0"))</f>
        <v/>
      </c>
      <c r="M68" s="28"/>
    </row>
    <row r="69" customFormat="false" ht="15" hidden="false" customHeight="false" outlineLevel="0" collapsed="false">
      <c r="A69" s="26"/>
      <c r="B69" s="28"/>
      <c r="C69" s="28"/>
      <c r="D69" s="26"/>
      <c r="E69" s="37"/>
      <c r="F69" s="26"/>
      <c r="G69" s="26"/>
      <c r="H69" s="26"/>
      <c r="I69" s="28"/>
      <c r="J69" s="36" t="str">
        <f aca="false">IF($A69="","",COUNTIFS(Invoices!$B$6:$B$505,$A69,Invoices!$T$6:$T$505,"Issued")+COUNTIFS(Invoices!$B$6:$B$505,$A69,Invoices!$T$6:$T$505,"Disputed"))</f>
        <v/>
      </c>
      <c r="K69" s="34" t="str">
        <f aca="false">IF($A69="","",SUMIFS(Invoices!$S$6:$S$505,Invoices!$B$6:$B$505,$A69,Invoices!$T$6:$T$505,"Issued")+SUMIFS(Invoices!$S$6:$S$505,Invoices!$B$6:$B$505,$A69,Invoices!$T$6:$T$505,"Disputed"))</f>
        <v/>
      </c>
      <c r="L69" s="34" t="str">
        <f aca="false">IF($A69="","",SUMIFS(Invoices!$S$6:$S$505,Invoices!$B$6:$B$505,$A69,Invoices!$V$6:$V$505,"&gt;0"))</f>
        <v/>
      </c>
      <c r="M69" s="28"/>
    </row>
    <row r="70" customFormat="false" ht="15" hidden="false" customHeight="false" outlineLevel="0" collapsed="false">
      <c r="A70" s="26"/>
      <c r="B70" s="28"/>
      <c r="C70" s="28"/>
      <c r="D70" s="26"/>
      <c r="E70" s="37"/>
      <c r="F70" s="26"/>
      <c r="G70" s="26"/>
      <c r="H70" s="26"/>
      <c r="I70" s="28"/>
      <c r="J70" s="36" t="str">
        <f aca="false">IF($A70="","",COUNTIFS(Invoices!$B$6:$B$505,$A70,Invoices!$T$6:$T$505,"Issued")+COUNTIFS(Invoices!$B$6:$B$505,$A70,Invoices!$T$6:$T$505,"Disputed"))</f>
        <v/>
      </c>
      <c r="K70" s="34" t="str">
        <f aca="false">IF($A70="","",SUMIFS(Invoices!$S$6:$S$505,Invoices!$B$6:$B$505,$A70,Invoices!$T$6:$T$505,"Issued")+SUMIFS(Invoices!$S$6:$S$505,Invoices!$B$6:$B$505,$A70,Invoices!$T$6:$T$505,"Disputed"))</f>
        <v/>
      </c>
      <c r="L70" s="34" t="str">
        <f aca="false">IF($A70="","",SUMIFS(Invoices!$S$6:$S$505,Invoices!$B$6:$B$505,$A70,Invoices!$V$6:$V$505,"&gt;0"))</f>
        <v/>
      </c>
      <c r="M70" s="28"/>
    </row>
    <row r="71" customFormat="false" ht="15" hidden="false" customHeight="false" outlineLevel="0" collapsed="false">
      <c r="A71" s="26"/>
      <c r="B71" s="28"/>
      <c r="C71" s="28"/>
      <c r="D71" s="26"/>
      <c r="E71" s="37"/>
      <c r="F71" s="26"/>
      <c r="G71" s="26"/>
      <c r="H71" s="26"/>
      <c r="I71" s="28"/>
      <c r="J71" s="36" t="str">
        <f aca="false">IF($A71="","",COUNTIFS(Invoices!$B$6:$B$505,$A71,Invoices!$T$6:$T$505,"Issued")+COUNTIFS(Invoices!$B$6:$B$505,$A71,Invoices!$T$6:$T$505,"Disputed"))</f>
        <v/>
      </c>
      <c r="K71" s="34" t="str">
        <f aca="false">IF($A71="","",SUMIFS(Invoices!$S$6:$S$505,Invoices!$B$6:$B$505,$A71,Invoices!$T$6:$T$505,"Issued")+SUMIFS(Invoices!$S$6:$S$505,Invoices!$B$6:$B$505,$A71,Invoices!$T$6:$T$505,"Disputed"))</f>
        <v/>
      </c>
      <c r="L71" s="34" t="str">
        <f aca="false">IF($A71="","",SUMIFS(Invoices!$S$6:$S$505,Invoices!$B$6:$B$505,$A71,Invoices!$V$6:$V$505,"&gt;0"))</f>
        <v/>
      </c>
      <c r="M71" s="28"/>
    </row>
    <row r="72" customFormat="false" ht="15" hidden="false" customHeight="false" outlineLevel="0" collapsed="false">
      <c r="A72" s="26"/>
      <c r="B72" s="28"/>
      <c r="C72" s="28"/>
      <c r="D72" s="26"/>
      <c r="E72" s="37"/>
      <c r="F72" s="26"/>
      <c r="G72" s="26"/>
      <c r="H72" s="26"/>
      <c r="I72" s="28"/>
      <c r="J72" s="36" t="str">
        <f aca="false">IF($A72="","",COUNTIFS(Invoices!$B$6:$B$505,$A72,Invoices!$T$6:$T$505,"Issued")+COUNTIFS(Invoices!$B$6:$B$505,$A72,Invoices!$T$6:$T$505,"Disputed"))</f>
        <v/>
      </c>
      <c r="K72" s="34" t="str">
        <f aca="false">IF($A72="","",SUMIFS(Invoices!$S$6:$S$505,Invoices!$B$6:$B$505,$A72,Invoices!$T$6:$T$505,"Issued")+SUMIFS(Invoices!$S$6:$S$505,Invoices!$B$6:$B$505,$A72,Invoices!$T$6:$T$505,"Disputed"))</f>
        <v/>
      </c>
      <c r="L72" s="34" t="str">
        <f aca="false">IF($A72="","",SUMIFS(Invoices!$S$6:$S$505,Invoices!$B$6:$B$505,$A72,Invoices!$V$6:$V$505,"&gt;0"))</f>
        <v/>
      </c>
      <c r="M72" s="28"/>
    </row>
    <row r="73" customFormat="false" ht="15" hidden="false" customHeight="false" outlineLevel="0" collapsed="false">
      <c r="A73" s="26"/>
      <c r="B73" s="28"/>
      <c r="C73" s="28"/>
      <c r="D73" s="26"/>
      <c r="E73" s="37"/>
      <c r="F73" s="26"/>
      <c r="G73" s="26"/>
      <c r="H73" s="26"/>
      <c r="I73" s="28"/>
      <c r="J73" s="36" t="str">
        <f aca="false">IF($A73="","",COUNTIFS(Invoices!$B$6:$B$505,$A73,Invoices!$T$6:$T$505,"Issued")+COUNTIFS(Invoices!$B$6:$B$505,$A73,Invoices!$T$6:$T$505,"Disputed"))</f>
        <v/>
      </c>
      <c r="K73" s="34" t="str">
        <f aca="false">IF($A73="","",SUMIFS(Invoices!$S$6:$S$505,Invoices!$B$6:$B$505,$A73,Invoices!$T$6:$T$505,"Issued")+SUMIFS(Invoices!$S$6:$S$505,Invoices!$B$6:$B$505,$A73,Invoices!$T$6:$T$505,"Disputed"))</f>
        <v/>
      </c>
      <c r="L73" s="34" t="str">
        <f aca="false">IF($A73="","",SUMIFS(Invoices!$S$6:$S$505,Invoices!$B$6:$B$505,$A73,Invoices!$V$6:$V$505,"&gt;0"))</f>
        <v/>
      </c>
      <c r="M73" s="28"/>
    </row>
    <row r="74" customFormat="false" ht="15" hidden="false" customHeight="false" outlineLevel="0" collapsed="false">
      <c r="A74" s="26"/>
      <c r="B74" s="28"/>
      <c r="C74" s="28"/>
      <c r="D74" s="26"/>
      <c r="E74" s="37"/>
      <c r="F74" s="26"/>
      <c r="G74" s="26"/>
      <c r="H74" s="26"/>
      <c r="I74" s="28"/>
      <c r="J74" s="36" t="str">
        <f aca="false">IF($A74="","",COUNTIFS(Invoices!$B$6:$B$505,$A74,Invoices!$T$6:$T$505,"Issued")+COUNTIFS(Invoices!$B$6:$B$505,$A74,Invoices!$T$6:$T$505,"Disputed"))</f>
        <v/>
      </c>
      <c r="K74" s="34" t="str">
        <f aca="false">IF($A74="","",SUMIFS(Invoices!$S$6:$S$505,Invoices!$B$6:$B$505,$A74,Invoices!$T$6:$T$505,"Issued")+SUMIFS(Invoices!$S$6:$S$505,Invoices!$B$6:$B$505,$A74,Invoices!$T$6:$T$505,"Disputed"))</f>
        <v/>
      </c>
      <c r="L74" s="34" t="str">
        <f aca="false">IF($A74="","",SUMIFS(Invoices!$S$6:$S$505,Invoices!$B$6:$B$505,$A74,Invoices!$V$6:$V$505,"&gt;0"))</f>
        <v/>
      </c>
      <c r="M74" s="28"/>
    </row>
    <row r="75" customFormat="false" ht="15" hidden="false" customHeight="false" outlineLevel="0" collapsed="false">
      <c r="A75" s="26"/>
      <c r="B75" s="28"/>
      <c r="C75" s="28"/>
      <c r="D75" s="26"/>
      <c r="E75" s="37"/>
      <c r="F75" s="26"/>
      <c r="G75" s="26"/>
      <c r="H75" s="26"/>
      <c r="I75" s="28"/>
      <c r="J75" s="36" t="str">
        <f aca="false">IF($A75="","",COUNTIFS(Invoices!$B$6:$B$505,$A75,Invoices!$T$6:$T$505,"Issued")+COUNTIFS(Invoices!$B$6:$B$505,$A75,Invoices!$T$6:$T$505,"Disputed"))</f>
        <v/>
      </c>
      <c r="K75" s="34" t="str">
        <f aca="false">IF($A75="","",SUMIFS(Invoices!$S$6:$S$505,Invoices!$B$6:$B$505,$A75,Invoices!$T$6:$T$505,"Issued")+SUMIFS(Invoices!$S$6:$S$505,Invoices!$B$6:$B$505,$A75,Invoices!$T$6:$T$505,"Disputed"))</f>
        <v/>
      </c>
      <c r="L75" s="34" t="str">
        <f aca="false">IF($A75="","",SUMIFS(Invoices!$S$6:$S$505,Invoices!$B$6:$B$505,$A75,Invoices!$V$6:$V$505,"&gt;0"))</f>
        <v/>
      </c>
      <c r="M75" s="28"/>
    </row>
    <row r="76" customFormat="false" ht="15" hidden="false" customHeight="false" outlineLevel="0" collapsed="false">
      <c r="A76" s="26"/>
      <c r="B76" s="28"/>
      <c r="C76" s="28"/>
      <c r="D76" s="26"/>
      <c r="E76" s="37"/>
      <c r="F76" s="26"/>
      <c r="G76" s="26"/>
      <c r="H76" s="26"/>
      <c r="I76" s="28"/>
      <c r="J76" s="36" t="str">
        <f aca="false">IF($A76="","",COUNTIFS(Invoices!$B$6:$B$505,$A76,Invoices!$T$6:$T$505,"Issued")+COUNTIFS(Invoices!$B$6:$B$505,$A76,Invoices!$T$6:$T$505,"Disputed"))</f>
        <v/>
      </c>
      <c r="K76" s="34" t="str">
        <f aca="false">IF($A76="","",SUMIFS(Invoices!$S$6:$S$505,Invoices!$B$6:$B$505,$A76,Invoices!$T$6:$T$505,"Issued")+SUMIFS(Invoices!$S$6:$S$505,Invoices!$B$6:$B$505,$A76,Invoices!$T$6:$T$505,"Disputed"))</f>
        <v/>
      </c>
      <c r="L76" s="34" t="str">
        <f aca="false">IF($A76="","",SUMIFS(Invoices!$S$6:$S$505,Invoices!$B$6:$B$505,$A76,Invoices!$V$6:$V$505,"&gt;0"))</f>
        <v/>
      </c>
      <c r="M76" s="28"/>
    </row>
    <row r="77" customFormat="false" ht="15" hidden="false" customHeight="false" outlineLevel="0" collapsed="false">
      <c r="A77" s="26"/>
      <c r="B77" s="28"/>
      <c r="C77" s="28"/>
      <c r="D77" s="26"/>
      <c r="E77" s="37"/>
      <c r="F77" s="26"/>
      <c r="G77" s="26"/>
      <c r="H77" s="26"/>
      <c r="I77" s="28"/>
      <c r="J77" s="36" t="str">
        <f aca="false">IF($A77="","",COUNTIFS(Invoices!$B$6:$B$505,$A77,Invoices!$T$6:$T$505,"Issued")+COUNTIFS(Invoices!$B$6:$B$505,$A77,Invoices!$T$6:$T$505,"Disputed"))</f>
        <v/>
      </c>
      <c r="K77" s="34" t="str">
        <f aca="false">IF($A77="","",SUMIFS(Invoices!$S$6:$S$505,Invoices!$B$6:$B$505,$A77,Invoices!$T$6:$T$505,"Issued")+SUMIFS(Invoices!$S$6:$S$505,Invoices!$B$6:$B$505,$A77,Invoices!$T$6:$T$505,"Disputed"))</f>
        <v/>
      </c>
      <c r="L77" s="34" t="str">
        <f aca="false">IF($A77="","",SUMIFS(Invoices!$S$6:$S$505,Invoices!$B$6:$B$505,$A77,Invoices!$V$6:$V$505,"&gt;0"))</f>
        <v/>
      </c>
      <c r="M77" s="28"/>
    </row>
    <row r="78" customFormat="false" ht="15" hidden="false" customHeight="false" outlineLevel="0" collapsed="false">
      <c r="A78" s="26"/>
      <c r="B78" s="28"/>
      <c r="C78" s="28"/>
      <c r="D78" s="26"/>
      <c r="E78" s="37"/>
      <c r="F78" s="26"/>
      <c r="G78" s="26"/>
      <c r="H78" s="26"/>
      <c r="I78" s="28"/>
      <c r="J78" s="36" t="str">
        <f aca="false">IF($A78="","",COUNTIFS(Invoices!$B$6:$B$505,$A78,Invoices!$T$6:$T$505,"Issued")+COUNTIFS(Invoices!$B$6:$B$505,$A78,Invoices!$T$6:$T$505,"Disputed"))</f>
        <v/>
      </c>
      <c r="K78" s="34" t="str">
        <f aca="false">IF($A78="","",SUMIFS(Invoices!$S$6:$S$505,Invoices!$B$6:$B$505,$A78,Invoices!$T$6:$T$505,"Issued")+SUMIFS(Invoices!$S$6:$S$505,Invoices!$B$6:$B$505,$A78,Invoices!$T$6:$T$505,"Disputed"))</f>
        <v/>
      </c>
      <c r="L78" s="34" t="str">
        <f aca="false">IF($A78="","",SUMIFS(Invoices!$S$6:$S$505,Invoices!$B$6:$B$505,$A78,Invoices!$V$6:$V$505,"&gt;0"))</f>
        <v/>
      </c>
      <c r="M78" s="28"/>
    </row>
    <row r="79" customFormat="false" ht="15" hidden="false" customHeight="false" outlineLevel="0" collapsed="false">
      <c r="A79" s="26"/>
      <c r="B79" s="28"/>
      <c r="C79" s="28"/>
      <c r="D79" s="26"/>
      <c r="E79" s="37"/>
      <c r="F79" s="26"/>
      <c r="G79" s="26"/>
      <c r="H79" s="26"/>
      <c r="I79" s="28"/>
      <c r="J79" s="36" t="str">
        <f aca="false">IF($A79="","",COUNTIFS(Invoices!$B$6:$B$505,$A79,Invoices!$T$6:$T$505,"Issued")+COUNTIFS(Invoices!$B$6:$B$505,$A79,Invoices!$T$6:$T$505,"Disputed"))</f>
        <v/>
      </c>
      <c r="K79" s="34" t="str">
        <f aca="false">IF($A79="","",SUMIFS(Invoices!$S$6:$S$505,Invoices!$B$6:$B$505,$A79,Invoices!$T$6:$T$505,"Issued")+SUMIFS(Invoices!$S$6:$S$505,Invoices!$B$6:$B$505,$A79,Invoices!$T$6:$T$505,"Disputed"))</f>
        <v/>
      </c>
      <c r="L79" s="34" t="str">
        <f aca="false">IF($A79="","",SUMIFS(Invoices!$S$6:$S$505,Invoices!$B$6:$B$505,$A79,Invoices!$V$6:$V$505,"&gt;0"))</f>
        <v/>
      </c>
      <c r="M79" s="28"/>
    </row>
    <row r="80" customFormat="false" ht="15" hidden="false" customHeight="false" outlineLevel="0" collapsed="false">
      <c r="A80" s="26"/>
      <c r="B80" s="28"/>
      <c r="C80" s="28"/>
      <c r="D80" s="26"/>
      <c r="E80" s="37"/>
      <c r="F80" s="26"/>
      <c r="G80" s="26"/>
      <c r="H80" s="26"/>
      <c r="I80" s="28"/>
      <c r="J80" s="36" t="str">
        <f aca="false">IF($A80="","",COUNTIFS(Invoices!$B$6:$B$505,$A80,Invoices!$T$6:$T$505,"Issued")+COUNTIFS(Invoices!$B$6:$B$505,$A80,Invoices!$T$6:$T$505,"Disputed"))</f>
        <v/>
      </c>
      <c r="K80" s="34" t="str">
        <f aca="false">IF($A80="","",SUMIFS(Invoices!$S$6:$S$505,Invoices!$B$6:$B$505,$A80,Invoices!$T$6:$T$505,"Issued")+SUMIFS(Invoices!$S$6:$S$505,Invoices!$B$6:$B$505,$A80,Invoices!$T$6:$T$505,"Disputed"))</f>
        <v/>
      </c>
      <c r="L80" s="34" t="str">
        <f aca="false">IF($A80="","",SUMIFS(Invoices!$S$6:$S$505,Invoices!$B$6:$B$505,$A80,Invoices!$V$6:$V$505,"&gt;0"))</f>
        <v/>
      </c>
      <c r="M80" s="28"/>
    </row>
    <row r="81" customFormat="false" ht="15" hidden="false" customHeight="false" outlineLevel="0" collapsed="false">
      <c r="A81" s="26"/>
      <c r="B81" s="28"/>
      <c r="C81" s="28"/>
      <c r="D81" s="26"/>
      <c r="E81" s="37"/>
      <c r="F81" s="26"/>
      <c r="G81" s="26"/>
      <c r="H81" s="26"/>
      <c r="I81" s="28"/>
      <c r="J81" s="36" t="str">
        <f aca="false">IF($A81="","",COUNTIFS(Invoices!$B$6:$B$505,$A81,Invoices!$T$6:$T$505,"Issued")+COUNTIFS(Invoices!$B$6:$B$505,$A81,Invoices!$T$6:$T$505,"Disputed"))</f>
        <v/>
      </c>
      <c r="K81" s="34" t="str">
        <f aca="false">IF($A81="","",SUMIFS(Invoices!$S$6:$S$505,Invoices!$B$6:$B$505,$A81,Invoices!$T$6:$T$505,"Issued")+SUMIFS(Invoices!$S$6:$S$505,Invoices!$B$6:$B$505,$A81,Invoices!$T$6:$T$505,"Disputed"))</f>
        <v/>
      </c>
      <c r="L81" s="34" t="str">
        <f aca="false">IF($A81="","",SUMIFS(Invoices!$S$6:$S$505,Invoices!$B$6:$B$505,$A81,Invoices!$V$6:$V$505,"&gt;0"))</f>
        <v/>
      </c>
      <c r="M81" s="28"/>
    </row>
    <row r="82" customFormat="false" ht="15" hidden="false" customHeight="false" outlineLevel="0" collapsed="false">
      <c r="A82" s="26"/>
      <c r="B82" s="28"/>
      <c r="C82" s="28"/>
      <c r="D82" s="26"/>
      <c r="E82" s="37"/>
      <c r="F82" s="26"/>
      <c r="G82" s="26"/>
      <c r="H82" s="26"/>
      <c r="I82" s="28"/>
      <c r="J82" s="36" t="str">
        <f aca="false">IF($A82="","",COUNTIFS(Invoices!$B$6:$B$505,$A82,Invoices!$T$6:$T$505,"Issued")+COUNTIFS(Invoices!$B$6:$B$505,$A82,Invoices!$T$6:$T$505,"Disputed"))</f>
        <v/>
      </c>
      <c r="K82" s="34" t="str">
        <f aca="false">IF($A82="","",SUMIFS(Invoices!$S$6:$S$505,Invoices!$B$6:$B$505,$A82,Invoices!$T$6:$T$505,"Issued")+SUMIFS(Invoices!$S$6:$S$505,Invoices!$B$6:$B$505,$A82,Invoices!$T$6:$T$505,"Disputed"))</f>
        <v/>
      </c>
      <c r="L82" s="34" t="str">
        <f aca="false">IF($A82="","",SUMIFS(Invoices!$S$6:$S$505,Invoices!$B$6:$B$505,$A82,Invoices!$V$6:$V$505,"&gt;0"))</f>
        <v/>
      </c>
      <c r="M82" s="28"/>
    </row>
    <row r="83" customFormat="false" ht="15" hidden="false" customHeight="false" outlineLevel="0" collapsed="false">
      <c r="A83" s="26"/>
      <c r="B83" s="28"/>
      <c r="C83" s="28"/>
      <c r="D83" s="26"/>
      <c r="E83" s="37"/>
      <c r="F83" s="26"/>
      <c r="G83" s="26"/>
      <c r="H83" s="26"/>
      <c r="I83" s="28"/>
      <c r="J83" s="36" t="str">
        <f aca="false">IF($A83="","",COUNTIFS(Invoices!$B$6:$B$505,$A83,Invoices!$T$6:$T$505,"Issued")+COUNTIFS(Invoices!$B$6:$B$505,$A83,Invoices!$T$6:$T$505,"Disputed"))</f>
        <v/>
      </c>
      <c r="K83" s="34" t="str">
        <f aca="false">IF($A83="","",SUMIFS(Invoices!$S$6:$S$505,Invoices!$B$6:$B$505,$A83,Invoices!$T$6:$T$505,"Issued")+SUMIFS(Invoices!$S$6:$S$505,Invoices!$B$6:$B$505,$A83,Invoices!$T$6:$T$505,"Disputed"))</f>
        <v/>
      </c>
      <c r="L83" s="34" t="str">
        <f aca="false">IF($A83="","",SUMIFS(Invoices!$S$6:$S$505,Invoices!$B$6:$B$505,$A83,Invoices!$V$6:$V$505,"&gt;0"))</f>
        <v/>
      </c>
      <c r="M83" s="28"/>
    </row>
    <row r="84" customFormat="false" ht="15" hidden="false" customHeight="false" outlineLevel="0" collapsed="false">
      <c r="A84" s="26"/>
      <c r="B84" s="28"/>
      <c r="C84" s="28"/>
      <c r="D84" s="26"/>
      <c r="E84" s="37"/>
      <c r="F84" s="26"/>
      <c r="G84" s="26"/>
      <c r="H84" s="26"/>
      <c r="I84" s="28"/>
      <c r="J84" s="36" t="str">
        <f aca="false">IF($A84="","",COUNTIFS(Invoices!$B$6:$B$505,$A84,Invoices!$T$6:$T$505,"Issued")+COUNTIFS(Invoices!$B$6:$B$505,$A84,Invoices!$T$6:$T$505,"Disputed"))</f>
        <v/>
      </c>
      <c r="K84" s="34" t="str">
        <f aca="false">IF($A84="","",SUMIFS(Invoices!$S$6:$S$505,Invoices!$B$6:$B$505,$A84,Invoices!$T$6:$T$505,"Issued")+SUMIFS(Invoices!$S$6:$S$505,Invoices!$B$6:$B$505,$A84,Invoices!$T$6:$T$505,"Disputed"))</f>
        <v/>
      </c>
      <c r="L84" s="34" t="str">
        <f aca="false">IF($A84="","",SUMIFS(Invoices!$S$6:$S$505,Invoices!$B$6:$B$505,$A84,Invoices!$V$6:$V$505,"&gt;0"))</f>
        <v/>
      </c>
      <c r="M84" s="28"/>
    </row>
    <row r="85" customFormat="false" ht="15" hidden="false" customHeight="false" outlineLevel="0" collapsed="false">
      <c r="A85" s="26"/>
      <c r="B85" s="28"/>
      <c r="C85" s="28"/>
      <c r="D85" s="26"/>
      <c r="E85" s="37"/>
      <c r="F85" s="26"/>
      <c r="G85" s="26"/>
      <c r="H85" s="26"/>
      <c r="I85" s="28"/>
      <c r="J85" s="36" t="str">
        <f aca="false">IF($A85="","",COUNTIFS(Invoices!$B$6:$B$505,$A85,Invoices!$T$6:$T$505,"Issued")+COUNTIFS(Invoices!$B$6:$B$505,$A85,Invoices!$T$6:$T$505,"Disputed"))</f>
        <v/>
      </c>
      <c r="K85" s="34" t="str">
        <f aca="false">IF($A85="","",SUMIFS(Invoices!$S$6:$S$505,Invoices!$B$6:$B$505,$A85,Invoices!$T$6:$T$505,"Issued")+SUMIFS(Invoices!$S$6:$S$505,Invoices!$B$6:$B$505,$A85,Invoices!$T$6:$T$505,"Disputed"))</f>
        <v/>
      </c>
      <c r="L85" s="34" t="str">
        <f aca="false">IF($A85="","",SUMIFS(Invoices!$S$6:$S$505,Invoices!$B$6:$B$505,$A85,Invoices!$V$6:$V$505,"&gt;0"))</f>
        <v/>
      </c>
      <c r="M85" s="28"/>
    </row>
    <row r="86" customFormat="false" ht="15" hidden="false" customHeight="false" outlineLevel="0" collapsed="false">
      <c r="A86" s="26"/>
      <c r="B86" s="28"/>
      <c r="C86" s="28"/>
      <c r="D86" s="26"/>
      <c r="E86" s="37"/>
      <c r="F86" s="26"/>
      <c r="G86" s="26"/>
      <c r="H86" s="26"/>
      <c r="I86" s="28"/>
      <c r="J86" s="36" t="str">
        <f aca="false">IF($A86="","",COUNTIFS(Invoices!$B$6:$B$505,$A86,Invoices!$T$6:$T$505,"Issued")+COUNTIFS(Invoices!$B$6:$B$505,$A86,Invoices!$T$6:$T$505,"Disputed"))</f>
        <v/>
      </c>
      <c r="K86" s="34" t="str">
        <f aca="false">IF($A86="","",SUMIFS(Invoices!$S$6:$S$505,Invoices!$B$6:$B$505,$A86,Invoices!$T$6:$T$505,"Issued")+SUMIFS(Invoices!$S$6:$S$505,Invoices!$B$6:$B$505,$A86,Invoices!$T$6:$T$505,"Disputed"))</f>
        <v/>
      </c>
      <c r="L86" s="34" t="str">
        <f aca="false">IF($A86="","",SUMIFS(Invoices!$S$6:$S$505,Invoices!$B$6:$B$505,$A86,Invoices!$V$6:$V$505,"&gt;0"))</f>
        <v/>
      </c>
      <c r="M86" s="28"/>
    </row>
    <row r="87" customFormat="false" ht="15" hidden="false" customHeight="false" outlineLevel="0" collapsed="false">
      <c r="A87" s="26"/>
      <c r="B87" s="28"/>
      <c r="C87" s="28"/>
      <c r="D87" s="26"/>
      <c r="E87" s="37"/>
      <c r="F87" s="26"/>
      <c r="G87" s="26"/>
      <c r="H87" s="26"/>
      <c r="I87" s="28"/>
      <c r="J87" s="36" t="str">
        <f aca="false">IF($A87="","",COUNTIFS(Invoices!$B$6:$B$505,$A87,Invoices!$T$6:$T$505,"Issued")+COUNTIFS(Invoices!$B$6:$B$505,$A87,Invoices!$T$6:$T$505,"Disputed"))</f>
        <v/>
      </c>
      <c r="K87" s="34" t="str">
        <f aca="false">IF($A87="","",SUMIFS(Invoices!$S$6:$S$505,Invoices!$B$6:$B$505,$A87,Invoices!$T$6:$T$505,"Issued")+SUMIFS(Invoices!$S$6:$S$505,Invoices!$B$6:$B$505,$A87,Invoices!$T$6:$T$505,"Disputed"))</f>
        <v/>
      </c>
      <c r="L87" s="34" t="str">
        <f aca="false">IF($A87="","",SUMIFS(Invoices!$S$6:$S$505,Invoices!$B$6:$B$505,$A87,Invoices!$V$6:$V$505,"&gt;0"))</f>
        <v/>
      </c>
      <c r="M87" s="28"/>
    </row>
    <row r="88" customFormat="false" ht="15" hidden="false" customHeight="false" outlineLevel="0" collapsed="false">
      <c r="A88" s="26"/>
      <c r="B88" s="28"/>
      <c r="C88" s="28"/>
      <c r="D88" s="26"/>
      <c r="E88" s="37"/>
      <c r="F88" s="26"/>
      <c r="G88" s="26"/>
      <c r="H88" s="26"/>
      <c r="I88" s="28"/>
      <c r="J88" s="36" t="str">
        <f aca="false">IF($A88="","",COUNTIFS(Invoices!$B$6:$B$505,$A88,Invoices!$T$6:$T$505,"Issued")+COUNTIFS(Invoices!$B$6:$B$505,$A88,Invoices!$T$6:$T$505,"Disputed"))</f>
        <v/>
      </c>
      <c r="K88" s="34" t="str">
        <f aca="false">IF($A88="","",SUMIFS(Invoices!$S$6:$S$505,Invoices!$B$6:$B$505,$A88,Invoices!$T$6:$T$505,"Issued")+SUMIFS(Invoices!$S$6:$S$505,Invoices!$B$6:$B$505,$A88,Invoices!$T$6:$T$505,"Disputed"))</f>
        <v/>
      </c>
      <c r="L88" s="34" t="str">
        <f aca="false">IF($A88="","",SUMIFS(Invoices!$S$6:$S$505,Invoices!$B$6:$B$505,$A88,Invoices!$V$6:$V$505,"&gt;0"))</f>
        <v/>
      </c>
      <c r="M88" s="28"/>
    </row>
    <row r="89" customFormat="false" ht="15" hidden="false" customHeight="false" outlineLevel="0" collapsed="false">
      <c r="A89" s="26"/>
      <c r="B89" s="28"/>
      <c r="C89" s="28"/>
      <c r="D89" s="26"/>
      <c r="E89" s="37"/>
      <c r="F89" s="26"/>
      <c r="G89" s="26"/>
      <c r="H89" s="26"/>
      <c r="I89" s="28"/>
      <c r="J89" s="36" t="str">
        <f aca="false">IF($A89="","",COUNTIFS(Invoices!$B$6:$B$505,$A89,Invoices!$T$6:$T$505,"Issued")+COUNTIFS(Invoices!$B$6:$B$505,$A89,Invoices!$T$6:$T$505,"Disputed"))</f>
        <v/>
      </c>
      <c r="K89" s="34" t="str">
        <f aca="false">IF($A89="","",SUMIFS(Invoices!$S$6:$S$505,Invoices!$B$6:$B$505,$A89,Invoices!$T$6:$T$505,"Issued")+SUMIFS(Invoices!$S$6:$S$505,Invoices!$B$6:$B$505,$A89,Invoices!$T$6:$T$505,"Disputed"))</f>
        <v/>
      </c>
      <c r="L89" s="34" t="str">
        <f aca="false">IF($A89="","",SUMIFS(Invoices!$S$6:$S$505,Invoices!$B$6:$B$505,$A89,Invoices!$V$6:$V$505,"&gt;0"))</f>
        <v/>
      </c>
      <c r="M89" s="28"/>
    </row>
    <row r="90" customFormat="false" ht="15" hidden="false" customHeight="false" outlineLevel="0" collapsed="false">
      <c r="A90" s="26"/>
      <c r="B90" s="28"/>
      <c r="C90" s="28"/>
      <c r="D90" s="26"/>
      <c r="E90" s="37"/>
      <c r="F90" s="26"/>
      <c r="G90" s="26"/>
      <c r="H90" s="26"/>
      <c r="I90" s="28"/>
      <c r="J90" s="36" t="str">
        <f aca="false">IF($A90="","",COUNTIFS(Invoices!$B$6:$B$505,$A90,Invoices!$T$6:$T$505,"Issued")+COUNTIFS(Invoices!$B$6:$B$505,$A90,Invoices!$T$6:$T$505,"Disputed"))</f>
        <v/>
      </c>
      <c r="K90" s="34" t="str">
        <f aca="false">IF($A90="","",SUMIFS(Invoices!$S$6:$S$505,Invoices!$B$6:$B$505,$A90,Invoices!$T$6:$T$505,"Issued")+SUMIFS(Invoices!$S$6:$S$505,Invoices!$B$6:$B$505,$A90,Invoices!$T$6:$T$505,"Disputed"))</f>
        <v/>
      </c>
      <c r="L90" s="34" t="str">
        <f aca="false">IF($A90="","",SUMIFS(Invoices!$S$6:$S$505,Invoices!$B$6:$B$505,$A90,Invoices!$V$6:$V$505,"&gt;0"))</f>
        <v/>
      </c>
      <c r="M90" s="28"/>
    </row>
    <row r="91" customFormat="false" ht="15" hidden="false" customHeight="false" outlineLevel="0" collapsed="false">
      <c r="A91" s="26"/>
      <c r="B91" s="28"/>
      <c r="C91" s="28"/>
      <c r="D91" s="26"/>
      <c r="E91" s="37"/>
      <c r="F91" s="26"/>
      <c r="G91" s="26"/>
      <c r="H91" s="26"/>
      <c r="I91" s="28"/>
      <c r="J91" s="36" t="str">
        <f aca="false">IF($A91="","",COUNTIFS(Invoices!$B$6:$B$505,$A91,Invoices!$T$6:$T$505,"Issued")+COUNTIFS(Invoices!$B$6:$B$505,$A91,Invoices!$T$6:$T$505,"Disputed"))</f>
        <v/>
      </c>
      <c r="K91" s="34" t="str">
        <f aca="false">IF($A91="","",SUMIFS(Invoices!$S$6:$S$505,Invoices!$B$6:$B$505,$A91,Invoices!$T$6:$T$505,"Issued")+SUMIFS(Invoices!$S$6:$S$505,Invoices!$B$6:$B$505,$A91,Invoices!$T$6:$T$505,"Disputed"))</f>
        <v/>
      </c>
      <c r="L91" s="34" t="str">
        <f aca="false">IF($A91="","",SUMIFS(Invoices!$S$6:$S$505,Invoices!$B$6:$B$505,$A91,Invoices!$V$6:$V$505,"&gt;0"))</f>
        <v/>
      </c>
      <c r="M91" s="28"/>
    </row>
    <row r="92" customFormat="false" ht="15" hidden="false" customHeight="false" outlineLevel="0" collapsed="false">
      <c r="A92" s="26"/>
      <c r="B92" s="28"/>
      <c r="C92" s="28"/>
      <c r="D92" s="26"/>
      <c r="E92" s="37"/>
      <c r="F92" s="26"/>
      <c r="G92" s="26"/>
      <c r="H92" s="26"/>
      <c r="I92" s="28"/>
      <c r="J92" s="36" t="str">
        <f aca="false">IF($A92="","",COUNTIFS(Invoices!$B$6:$B$505,$A92,Invoices!$T$6:$T$505,"Issued")+COUNTIFS(Invoices!$B$6:$B$505,$A92,Invoices!$T$6:$T$505,"Disputed"))</f>
        <v/>
      </c>
      <c r="K92" s="34" t="str">
        <f aca="false">IF($A92="","",SUMIFS(Invoices!$S$6:$S$505,Invoices!$B$6:$B$505,$A92,Invoices!$T$6:$T$505,"Issued")+SUMIFS(Invoices!$S$6:$S$505,Invoices!$B$6:$B$505,$A92,Invoices!$T$6:$T$505,"Disputed"))</f>
        <v/>
      </c>
      <c r="L92" s="34" t="str">
        <f aca="false">IF($A92="","",SUMIFS(Invoices!$S$6:$S$505,Invoices!$B$6:$B$505,$A92,Invoices!$V$6:$V$505,"&gt;0"))</f>
        <v/>
      </c>
      <c r="M92" s="28"/>
    </row>
    <row r="93" customFormat="false" ht="15" hidden="false" customHeight="false" outlineLevel="0" collapsed="false">
      <c r="A93" s="26"/>
      <c r="B93" s="28"/>
      <c r="C93" s="28"/>
      <c r="D93" s="26"/>
      <c r="E93" s="37"/>
      <c r="F93" s="26"/>
      <c r="G93" s="26"/>
      <c r="H93" s="26"/>
      <c r="I93" s="28"/>
      <c r="J93" s="36" t="str">
        <f aca="false">IF($A93="","",COUNTIFS(Invoices!$B$6:$B$505,$A93,Invoices!$T$6:$T$505,"Issued")+COUNTIFS(Invoices!$B$6:$B$505,$A93,Invoices!$T$6:$T$505,"Disputed"))</f>
        <v/>
      </c>
      <c r="K93" s="34" t="str">
        <f aca="false">IF($A93="","",SUMIFS(Invoices!$S$6:$S$505,Invoices!$B$6:$B$505,$A93,Invoices!$T$6:$T$505,"Issued")+SUMIFS(Invoices!$S$6:$S$505,Invoices!$B$6:$B$505,$A93,Invoices!$T$6:$T$505,"Disputed"))</f>
        <v/>
      </c>
      <c r="L93" s="34" t="str">
        <f aca="false">IF($A93="","",SUMIFS(Invoices!$S$6:$S$505,Invoices!$B$6:$B$505,$A93,Invoices!$V$6:$V$505,"&gt;0"))</f>
        <v/>
      </c>
      <c r="M93" s="28"/>
    </row>
    <row r="94" customFormat="false" ht="15" hidden="false" customHeight="false" outlineLevel="0" collapsed="false">
      <c r="A94" s="26"/>
      <c r="B94" s="28"/>
      <c r="C94" s="28"/>
      <c r="D94" s="26"/>
      <c r="E94" s="37"/>
      <c r="F94" s="26"/>
      <c r="G94" s="26"/>
      <c r="H94" s="26"/>
      <c r="I94" s="28"/>
      <c r="J94" s="36" t="str">
        <f aca="false">IF($A94="","",COUNTIFS(Invoices!$B$6:$B$505,$A94,Invoices!$T$6:$T$505,"Issued")+COUNTIFS(Invoices!$B$6:$B$505,$A94,Invoices!$T$6:$T$505,"Disputed"))</f>
        <v/>
      </c>
      <c r="K94" s="34" t="str">
        <f aca="false">IF($A94="","",SUMIFS(Invoices!$S$6:$S$505,Invoices!$B$6:$B$505,$A94,Invoices!$T$6:$T$505,"Issued")+SUMIFS(Invoices!$S$6:$S$505,Invoices!$B$6:$B$505,$A94,Invoices!$T$6:$T$505,"Disputed"))</f>
        <v/>
      </c>
      <c r="L94" s="34" t="str">
        <f aca="false">IF($A94="","",SUMIFS(Invoices!$S$6:$S$505,Invoices!$B$6:$B$505,$A94,Invoices!$V$6:$V$505,"&gt;0"))</f>
        <v/>
      </c>
      <c r="M94" s="28"/>
    </row>
    <row r="95" customFormat="false" ht="15" hidden="false" customHeight="false" outlineLevel="0" collapsed="false">
      <c r="A95" s="26"/>
      <c r="B95" s="28"/>
      <c r="C95" s="28"/>
      <c r="D95" s="26"/>
      <c r="E95" s="37"/>
      <c r="F95" s="26"/>
      <c r="G95" s="26"/>
      <c r="H95" s="26"/>
      <c r="I95" s="28"/>
      <c r="J95" s="36" t="str">
        <f aca="false">IF($A95="","",COUNTIFS(Invoices!$B$6:$B$505,$A95,Invoices!$T$6:$T$505,"Issued")+COUNTIFS(Invoices!$B$6:$B$505,$A95,Invoices!$T$6:$T$505,"Disputed"))</f>
        <v/>
      </c>
      <c r="K95" s="34" t="str">
        <f aca="false">IF($A95="","",SUMIFS(Invoices!$S$6:$S$505,Invoices!$B$6:$B$505,$A95,Invoices!$T$6:$T$505,"Issued")+SUMIFS(Invoices!$S$6:$S$505,Invoices!$B$6:$B$505,$A95,Invoices!$T$6:$T$505,"Disputed"))</f>
        <v/>
      </c>
      <c r="L95" s="34" t="str">
        <f aca="false">IF($A95="","",SUMIFS(Invoices!$S$6:$S$505,Invoices!$B$6:$B$505,$A95,Invoices!$V$6:$V$505,"&gt;0"))</f>
        <v/>
      </c>
      <c r="M95" s="28"/>
    </row>
    <row r="96" customFormat="false" ht="15" hidden="false" customHeight="false" outlineLevel="0" collapsed="false">
      <c r="A96" s="26"/>
      <c r="B96" s="28"/>
      <c r="C96" s="28"/>
      <c r="D96" s="26"/>
      <c r="E96" s="37"/>
      <c r="F96" s="26"/>
      <c r="G96" s="26"/>
      <c r="H96" s="26"/>
      <c r="I96" s="28"/>
      <c r="J96" s="36" t="str">
        <f aca="false">IF($A96="","",COUNTIFS(Invoices!$B$6:$B$505,$A96,Invoices!$T$6:$T$505,"Issued")+COUNTIFS(Invoices!$B$6:$B$505,$A96,Invoices!$T$6:$T$505,"Disputed"))</f>
        <v/>
      </c>
      <c r="K96" s="34" t="str">
        <f aca="false">IF($A96="","",SUMIFS(Invoices!$S$6:$S$505,Invoices!$B$6:$B$505,$A96,Invoices!$T$6:$T$505,"Issued")+SUMIFS(Invoices!$S$6:$S$505,Invoices!$B$6:$B$505,$A96,Invoices!$T$6:$T$505,"Disputed"))</f>
        <v/>
      </c>
      <c r="L96" s="34" t="str">
        <f aca="false">IF($A96="","",SUMIFS(Invoices!$S$6:$S$505,Invoices!$B$6:$B$505,$A96,Invoices!$V$6:$V$505,"&gt;0"))</f>
        <v/>
      </c>
      <c r="M96" s="28"/>
    </row>
    <row r="97" customFormat="false" ht="15" hidden="false" customHeight="false" outlineLevel="0" collapsed="false">
      <c r="A97" s="26"/>
      <c r="B97" s="28"/>
      <c r="C97" s="28"/>
      <c r="D97" s="26"/>
      <c r="E97" s="37"/>
      <c r="F97" s="26"/>
      <c r="G97" s="26"/>
      <c r="H97" s="26"/>
      <c r="I97" s="28"/>
      <c r="J97" s="36" t="str">
        <f aca="false">IF($A97="","",COUNTIFS(Invoices!$B$6:$B$505,$A97,Invoices!$T$6:$T$505,"Issued")+COUNTIFS(Invoices!$B$6:$B$505,$A97,Invoices!$T$6:$T$505,"Disputed"))</f>
        <v/>
      </c>
      <c r="K97" s="34" t="str">
        <f aca="false">IF($A97="","",SUMIFS(Invoices!$S$6:$S$505,Invoices!$B$6:$B$505,$A97,Invoices!$T$6:$T$505,"Issued")+SUMIFS(Invoices!$S$6:$S$505,Invoices!$B$6:$B$505,$A97,Invoices!$T$6:$T$505,"Disputed"))</f>
        <v/>
      </c>
      <c r="L97" s="34" t="str">
        <f aca="false">IF($A97="","",SUMIFS(Invoices!$S$6:$S$505,Invoices!$B$6:$B$505,$A97,Invoices!$V$6:$V$505,"&gt;0"))</f>
        <v/>
      </c>
      <c r="M97" s="28"/>
    </row>
    <row r="98" customFormat="false" ht="15" hidden="false" customHeight="false" outlineLevel="0" collapsed="false">
      <c r="A98" s="26"/>
      <c r="B98" s="28"/>
      <c r="C98" s="28"/>
      <c r="D98" s="26"/>
      <c r="E98" s="37"/>
      <c r="F98" s="26"/>
      <c r="G98" s="26"/>
      <c r="H98" s="26"/>
      <c r="I98" s="28"/>
      <c r="J98" s="36" t="str">
        <f aca="false">IF($A98="","",COUNTIFS(Invoices!$B$6:$B$505,$A98,Invoices!$T$6:$T$505,"Issued")+COUNTIFS(Invoices!$B$6:$B$505,$A98,Invoices!$T$6:$T$505,"Disputed"))</f>
        <v/>
      </c>
      <c r="K98" s="34" t="str">
        <f aca="false">IF($A98="","",SUMIFS(Invoices!$S$6:$S$505,Invoices!$B$6:$B$505,$A98,Invoices!$T$6:$T$505,"Issued")+SUMIFS(Invoices!$S$6:$S$505,Invoices!$B$6:$B$505,$A98,Invoices!$T$6:$T$505,"Disputed"))</f>
        <v/>
      </c>
      <c r="L98" s="34" t="str">
        <f aca="false">IF($A98="","",SUMIFS(Invoices!$S$6:$S$505,Invoices!$B$6:$B$505,$A98,Invoices!$V$6:$V$505,"&gt;0"))</f>
        <v/>
      </c>
      <c r="M98" s="28"/>
    </row>
    <row r="99" customFormat="false" ht="15" hidden="false" customHeight="false" outlineLevel="0" collapsed="false">
      <c r="A99" s="26"/>
      <c r="B99" s="28"/>
      <c r="C99" s="28"/>
      <c r="D99" s="26"/>
      <c r="E99" s="37"/>
      <c r="F99" s="26"/>
      <c r="G99" s="26"/>
      <c r="H99" s="26"/>
      <c r="I99" s="28"/>
      <c r="J99" s="36" t="str">
        <f aca="false">IF($A99="","",COUNTIFS(Invoices!$B$6:$B$505,$A99,Invoices!$T$6:$T$505,"Issued")+COUNTIFS(Invoices!$B$6:$B$505,$A99,Invoices!$T$6:$T$505,"Disputed"))</f>
        <v/>
      </c>
      <c r="K99" s="34" t="str">
        <f aca="false">IF($A99="","",SUMIFS(Invoices!$S$6:$S$505,Invoices!$B$6:$B$505,$A99,Invoices!$T$6:$T$505,"Issued")+SUMIFS(Invoices!$S$6:$S$505,Invoices!$B$6:$B$505,$A99,Invoices!$T$6:$T$505,"Disputed"))</f>
        <v/>
      </c>
      <c r="L99" s="34" t="str">
        <f aca="false">IF($A99="","",SUMIFS(Invoices!$S$6:$S$505,Invoices!$B$6:$B$505,$A99,Invoices!$V$6:$V$505,"&gt;0"))</f>
        <v/>
      </c>
      <c r="M99" s="28"/>
    </row>
    <row r="100" customFormat="false" ht="15" hidden="false" customHeight="false" outlineLevel="0" collapsed="false">
      <c r="A100" s="26"/>
      <c r="B100" s="28"/>
      <c r="C100" s="28"/>
      <c r="D100" s="26"/>
      <c r="E100" s="37"/>
      <c r="F100" s="26"/>
      <c r="G100" s="26"/>
      <c r="H100" s="26"/>
      <c r="I100" s="28"/>
      <c r="J100" s="36" t="str">
        <f aca="false">IF($A100="","",COUNTIFS(Invoices!$B$6:$B$505,$A100,Invoices!$T$6:$T$505,"Issued")+COUNTIFS(Invoices!$B$6:$B$505,$A100,Invoices!$T$6:$T$505,"Disputed"))</f>
        <v/>
      </c>
      <c r="K100" s="34" t="str">
        <f aca="false">IF($A100="","",SUMIFS(Invoices!$S$6:$S$505,Invoices!$B$6:$B$505,$A100,Invoices!$T$6:$T$505,"Issued")+SUMIFS(Invoices!$S$6:$S$505,Invoices!$B$6:$B$505,$A100,Invoices!$T$6:$T$505,"Disputed"))</f>
        <v/>
      </c>
      <c r="L100" s="34" t="str">
        <f aca="false">IF($A100="","",SUMIFS(Invoices!$S$6:$S$505,Invoices!$B$6:$B$505,$A100,Invoices!$V$6:$V$505,"&gt;0"))</f>
        <v/>
      </c>
      <c r="M100" s="28"/>
    </row>
    <row r="101" customFormat="false" ht="15" hidden="false" customHeight="false" outlineLevel="0" collapsed="false">
      <c r="A101" s="26"/>
      <c r="B101" s="28"/>
      <c r="C101" s="28"/>
      <c r="D101" s="26"/>
      <c r="E101" s="37"/>
      <c r="F101" s="26"/>
      <c r="G101" s="26"/>
      <c r="H101" s="26"/>
      <c r="I101" s="28"/>
      <c r="J101" s="36" t="str">
        <f aca="false">IF($A101="","",COUNTIFS(Invoices!$B$6:$B$505,$A101,Invoices!$T$6:$T$505,"Issued")+COUNTIFS(Invoices!$B$6:$B$505,$A101,Invoices!$T$6:$T$505,"Disputed"))</f>
        <v/>
      </c>
      <c r="K101" s="34" t="str">
        <f aca="false">IF($A101="","",SUMIFS(Invoices!$S$6:$S$505,Invoices!$B$6:$B$505,$A101,Invoices!$T$6:$T$505,"Issued")+SUMIFS(Invoices!$S$6:$S$505,Invoices!$B$6:$B$505,$A101,Invoices!$T$6:$T$505,"Disputed"))</f>
        <v/>
      </c>
      <c r="L101" s="34" t="str">
        <f aca="false">IF($A101="","",SUMIFS(Invoices!$S$6:$S$505,Invoices!$B$6:$B$505,$A101,Invoices!$V$6:$V$505,"&gt;0"))</f>
        <v/>
      </c>
      <c r="M101" s="28"/>
    </row>
    <row r="102" customFormat="false" ht="15" hidden="false" customHeight="false" outlineLevel="0" collapsed="false">
      <c r="A102" s="26"/>
      <c r="B102" s="28"/>
      <c r="C102" s="28"/>
      <c r="D102" s="26"/>
      <c r="E102" s="37"/>
      <c r="F102" s="26"/>
      <c r="G102" s="26"/>
      <c r="H102" s="26"/>
      <c r="I102" s="28"/>
      <c r="J102" s="36" t="str">
        <f aca="false">IF($A102="","",COUNTIFS(Invoices!$B$6:$B$505,$A102,Invoices!$T$6:$T$505,"Issued")+COUNTIFS(Invoices!$B$6:$B$505,$A102,Invoices!$T$6:$T$505,"Disputed"))</f>
        <v/>
      </c>
      <c r="K102" s="34" t="str">
        <f aca="false">IF($A102="","",SUMIFS(Invoices!$S$6:$S$505,Invoices!$B$6:$B$505,$A102,Invoices!$T$6:$T$505,"Issued")+SUMIFS(Invoices!$S$6:$S$505,Invoices!$B$6:$B$505,$A102,Invoices!$T$6:$T$505,"Disputed"))</f>
        <v/>
      </c>
      <c r="L102" s="34" t="str">
        <f aca="false">IF($A102="","",SUMIFS(Invoices!$S$6:$S$505,Invoices!$B$6:$B$505,$A102,Invoices!$V$6:$V$505,"&gt;0"))</f>
        <v/>
      </c>
      <c r="M102" s="28"/>
    </row>
    <row r="103" customFormat="false" ht="15" hidden="false" customHeight="false" outlineLevel="0" collapsed="false">
      <c r="A103" s="26"/>
      <c r="B103" s="28"/>
      <c r="C103" s="28"/>
      <c r="D103" s="26"/>
      <c r="E103" s="37"/>
      <c r="F103" s="26"/>
      <c r="G103" s="26"/>
      <c r="H103" s="26"/>
      <c r="I103" s="28"/>
      <c r="J103" s="36" t="str">
        <f aca="false">IF($A103="","",COUNTIFS(Invoices!$B$6:$B$505,$A103,Invoices!$T$6:$T$505,"Issued")+COUNTIFS(Invoices!$B$6:$B$505,$A103,Invoices!$T$6:$T$505,"Disputed"))</f>
        <v/>
      </c>
      <c r="K103" s="34" t="str">
        <f aca="false">IF($A103="","",SUMIFS(Invoices!$S$6:$S$505,Invoices!$B$6:$B$505,$A103,Invoices!$T$6:$T$505,"Issued")+SUMIFS(Invoices!$S$6:$S$505,Invoices!$B$6:$B$505,$A103,Invoices!$T$6:$T$505,"Disputed"))</f>
        <v/>
      </c>
      <c r="L103" s="34" t="str">
        <f aca="false">IF($A103="","",SUMIFS(Invoices!$S$6:$S$505,Invoices!$B$6:$B$505,$A103,Invoices!$V$6:$V$505,"&gt;0"))</f>
        <v/>
      </c>
      <c r="M103" s="28"/>
    </row>
    <row r="104" customFormat="false" ht="15" hidden="false" customHeight="false" outlineLevel="0" collapsed="false">
      <c r="A104" s="26"/>
      <c r="B104" s="28"/>
      <c r="C104" s="28"/>
      <c r="D104" s="26"/>
      <c r="E104" s="37"/>
      <c r="F104" s="26"/>
      <c r="G104" s="26"/>
      <c r="H104" s="26"/>
      <c r="I104" s="28"/>
      <c r="J104" s="36" t="str">
        <f aca="false">IF($A104="","",COUNTIFS(Invoices!$B$6:$B$505,$A104,Invoices!$T$6:$T$505,"Issued")+COUNTIFS(Invoices!$B$6:$B$505,$A104,Invoices!$T$6:$T$505,"Disputed"))</f>
        <v/>
      </c>
      <c r="K104" s="34" t="str">
        <f aca="false">IF($A104="","",SUMIFS(Invoices!$S$6:$S$505,Invoices!$B$6:$B$505,$A104,Invoices!$T$6:$T$505,"Issued")+SUMIFS(Invoices!$S$6:$S$505,Invoices!$B$6:$B$505,$A104,Invoices!$T$6:$T$505,"Disputed"))</f>
        <v/>
      </c>
      <c r="L104" s="34" t="str">
        <f aca="false">IF($A104="","",SUMIFS(Invoices!$S$6:$S$505,Invoices!$B$6:$B$505,$A104,Invoices!$V$6:$V$505,"&gt;0"))</f>
        <v/>
      </c>
      <c r="M104" s="28"/>
    </row>
    <row r="105" customFormat="false" ht="15" hidden="false" customHeight="false" outlineLevel="0" collapsed="false">
      <c r="A105" s="26"/>
      <c r="B105" s="28"/>
      <c r="C105" s="28"/>
      <c r="D105" s="26"/>
      <c r="E105" s="37"/>
      <c r="F105" s="26"/>
      <c r="G105" s="26"/>
      <c r="H105" s="26"/>
      <c r="I105" s="28"/>
      <c r="J105" s="36" t="str">
        <f aca="false">IF($A105="","",COUNTIFS(Invoices!$B$6:$B$505,$A105,Invoices!$T$6:$T$505,"Issued")+COUNTIFS(Invoices!$B$6:$B$505,$A105,Invoices!$T$6:$T$505,"Disputed"))</f>
        <v/>
      </c>
      <c r="K105" s="34" t="str">
        <f aca="false">IF($A105="","",SUMIFS(Invoices!$S$6:$S$505,Invoices!$B$6:$B$505,$A105,Invoices!$T$6:$T$505,"Issued")+SUMIFS(Invoices!$S$6:$S$505,Invoices!$B$6:$B$505,$A105,Invoices!$T$6:$T$505,"Disputed"))</f>
        <v/>
      </c>
      <c r="L105" s="34" t="str">
        <f aca="false">IF($A105="","",SUMIFS(Invoices!$S$6:$S$505,Invoices!$B$6:$B$505,$A105,Invoices!$V$6:$V$505,"&gt;0"))</f>
        <v/>
      </c>
      <c r="M105" s="28"/>
    </row>
  </sheetData>
  <conditionalFormatting sqref="A6:A105">
    <cfRule type="expression" priority="2" aboveAverage="0" equalAverage="0" bottom="0" percent="0" rank="0" text="" dxfId="0">
      <formula>AND($A6&lt;&gt;"",COUNTIF($A$6:$A$105,$A6)&gt;1)</formula>
    </cfRule>
  </conditionalFormatting>
  <conditionalFormatting sqref="H6:H105">
    <cfRule type="expression" priority="3" aboveAverage="0" equalAverage="0" bottom="0" percent="0" rank="0" text="" dxfId="3">
      <formula>OR($H6="On hold",$H6="Watch")</formula>
    </cfRule>
  </conditionalFormatting>
  <conditionalFormatting sqref="L6:L105">
    <cfRule type="expression" priority="4" aboveAverage="0" equalAverage="0" bottom="0" percent="0" rank="0" text="" dxfId="0">
      <formula>AND(ISNUMBER($L6),$L6&gt;0)</formula>
    </cfRule>
  </conditionalFormatting>
  <dataValidations count="5">
    <dataValidation allowBlank="true" error="Enter a number of 0 or more" errorStyle="stop" operator="greaterThanOrEqual" showDropDown="false" showErrorMessage="true" showInputMessage="false" sqref="E6:E105" type="decimal">
      <formula1>0</formula1>
      <formula2>0</formula2>
    </dataValidation>
    <dataValidation allowBlank="true" error="Client codes are 3 to 5 capital letters." errorStyle="stop" errorTitle="Check the ID" operator="between" showDropDown="false" showErrorMessage="true" showInputMessage="false" sqref="A6:A105" type="custom">
      <formula1>AND(LEN(A6)&gt;=3,LEN(A6)&lt;=5,EXACT(A6,UPPER(A6)))</formula1>
      <formula2>0</formula2>
    </dataValidation>
    <dataValidation allowBlank="true" errorStyle="stop" operator="between" showDropDown="false" showErrorMessage="true" showInputMessage="false" sqref="F6:F105" type="list">
      <formula1>Lists!$C$2:$C$8</formula1>
      <formula2>0</formula2>
    </dataValidation>
    <dataValidation allowBlank="true" errorStyle="stop" operator="between" showDropDown="false" showErrorMessage="true" showInputMessage="false" sqref="G6:G105" type="list">
      <formula1>Lists!$I$2:$I$3</formula1>
      <formula2>0</formula2>
    </dataValidation>
    <dataValidation allowBlank="true" errorStyle="stop" operator="between" showDropDown="false" showErrorMessage="true" showInputMessage="false" sqref="H6:H105" type="list">
      <formula1>Lists!$H$2:$H$5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0" width="24"/>
  </cols>
  <sheetData>
    <row r="1" customFormat="false" ht="15" hidden="false" customHeight="false" outlineLevel="0" collapsed="false">
      <c r="A1" s="38" t="s">
        <v>142</v>
      </c>
      <c r="B1" s="38" t="s">
        <v>130</v>
      </c>
      <c r="C1" s="38" t="s">
        <v>135</v>
      </c>
      <c r="D1" s="38" t="s">
        <v>211</v>
      </c>
      <c r="E1" s="38" t="s">
        <v>212</v>
      </c>
      <c r="F1" s="38" t="s">
        <v>213</v>
      </c>
      <c r="G1" s="38" t="s">
        <v>172</v>
      </c>
      <c r="H1" s="38" t="s">
        <v>214</v>
      </c>
      <c r="I1" s="38" t="s">
        <v>215</v>
      </c>
      <c r="K1" s="6" t="s">
        <v>216</v>
      </c>
    </row>
    <row r="2" customFormat="false" ht="15" hidden="false" customHeight="false" outlineLevel="0" collapsed="false">
      <c r="A2" s="39" t="s">
        <v>111</v>
      </c>
      <c r="B2" s="39" t="s">
        <v>217</v>
      </c>
      <c r="C2" s="39" t="s">
        <v>218</v>
      </c>
      <c r="D2" s="39" t="s">
        <v>175</v>
      </c>
      <c r="E2" s="39" t="s">
        <v>219</v>
      </c>
      <c r="F2" s="39" t="s">
        <v>111</v>
      </c>
      <c r="G2" s="39" t="s">
        <v>177</v>
      </c>
      <c r="H2" s="39" t="s">
        <v>208</v>
      </c>
      <c r="I2" s="39" t="s">
        <v>207</v>
      </c>
    </row>
    <row r="3" customFormat="false" ht="15" hidden="false" customHeight="false" outlineLevel="0" collapsed="false">
      <c r="A3" s="39" t="s">
        <v>158</v>
      </c>
      <c r="B3" s="39" t="s">
        <v>220</v>
      </c>
      <c r="C3" s="39" t="s">
        <v>157</v>
      </c>
      <c r="D3" s="39" t="s">
        <v>221</v>
      </c>
      <c r="E3" s="39" t="s">
        <v>222</v>
      </c>
      <c r="F3" s="39" t="s">
        <v>223</v>
      </c>
      <c r="G3" s="39" t="s">
        <v>207</v>
      </c>
      <c r="H3" s="39" t="s">
        <v>224</v>
      </c>
      <c r="I3" s="39" t="s">
        <v>225</v>
      </c>
    </row>
    <row r="4" customFormat="false" ht="15" hidden="false" customHeight="false" outlineLevel="0" collapsed="false">
      <c r="A4" s="39" t="s">
        <v>116</v>
      </c>
      <c r="B4" s="39" t="s">
        <v>226</v>
      </c>
      <c r="C4" s="39" t="s">
        <v>227</v>
      </c>
      <c r="D4" s="39" t="s">
        <v>228</v>
      </c>
      <c r="E4" s="39" t="s">
        <v>189</v>
      </c>
      <c r="F4" s="39" t="s">
        <v>158</v>
      </c>
      <c r="G4" s="39" t="s">
        <v>229</v>
      </c>
      <c r="H4" s="39" t="s">
        <v>230</v>
      </c>
    </row>
    <row r="5" customFormat="false" ht="15" hidden="false" customHeight="false" outlineLevel="0" collapsed="false">
      <c r="A5" s="39" t="s">
        <v>119</v>
      </c>
      <c r="B5" s="39" t="s">
        <v>155</v>
      </c>
      <c r="C5" s="39" t="s">
        <v>231</v>
      </c>
      <c r="D5" s="39" t="s">
        <v>232</v>
      </c>
      <c r="E5" s="39" t="s">
        <v>233</v>
      </c>
      <c r="F5" s="39" t="s">
        <v>119</v>
      </c>
      <c r="H5" s="39" t="s">
        <v>234</v>
      </c>
    </row>
    <row r="6" customFormat="false" ht="15" hidden="false" customHeight="false" outlineLevel="0" collapsed="false">
      <c r="B6" s="39" t="s">
        <v>235</v>
      </c>
      <c r="C6" s="39" t="s">
        <v>236</v>
      </c>
      <c r="D6" s="39" t="s">
        <v>237</v>
      </c>
      <c r="E6" s="39" t="s">
        <v>238</v>
      </c>
    </row>
    <row r="7" customFormat="false" ht="15" hidden="false" customHeight="false" outlineLevel="0" collapsed="false">
      <c r="B7" s="39" t="s">
        <v>239</v>
      </c>
      <c r="C7" s="39" t="s">
        <v>240</v>
      </c>
    </row>
    <row r="8" customFormat="false" ht="15" hidden="false" customHeight="false" outlineLevel="0" collapsed="false">
      <c r="B8" s="39" t="s">
        <v>241</v>
      </c>
      <c r="C8" s="39"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2026-10-01T04:02:36Z</dcterms:created>
  <dc:creator>openpyxl</dc:creator>
  <dc:description/>
  <dc:language>en-US</dc:language>
  <cp:lastModifiedBy/>
  <dcterms:modified xsi:type="dcterms:W3CDTF">2026-10-01T04:02:38Z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